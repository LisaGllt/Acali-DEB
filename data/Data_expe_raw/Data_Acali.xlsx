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Acali-DEB/data/Data_expe_raw/"/>
    </mc:Choice>
  </mc:AlternateContent>
  <xr:revisionPtr revIDLastSave="0" documentId="13_ncr:1_{476CAC20-8815-4846-A958-468730FCEFDE}" xr6:coauthVersionLast="47" xr6:coauthVersionMax="47" xr10:uidLastSave="{00000000-0000-0000-0000-000000000000}"/>
  <bookViews>
    <workbookView xWindow="-33340" yWindow="-1120" windowWidth="29400" windowHeight="18380" activeTab="7" xr2:uid="{CD4FDE89-23B3-2D49-982F-D39A09A16516}"/>
  </bookViews>
  <sheets>
    <sheet name="Bart2019_XP1" sheetId="1" r:id="rId1"/>
    <sheet name="Bart2019_XP2" sheetId="2" r:id="rId2"/>
    <sheet name="Bart2019_XP3" sheetId="3" r:id="rId3"/>
    <sheet name="Bart2019_XP4" sheetId="4" r:id="rId4"/>
    <sheet name="Bart2019_XP5" sheetId="5" r:id="rId5"/>
    <sheet name="Bart2020_Ctrl" sheetId="6" r:id="rId6"/>
    <sheet name="Gollot2026_lufa" sheetId="7" r:id="rId7"/>
    <sheet name="Gollot2026_dens" sheetId="8" r:id="rId8"/>
    <sheet name="Data_DEB_mean" sheetId="11" r:id="rId9"/>
    <sheet name="Data_DEB_mean (2)" sheetId="12" r:id="rId10"/>
    <sheet name="csv" sheetId="9" r:id="rId11"/>
  </sheets>
  <definedNames>
    <definedName name="_xlnm._FilterDatabase" localSheetId="5" hidden="1">Bart2020_Ctrl!$A$1:$Q$316</definedName>
    <definedName name="_xlnm._FilterDatabase" localSheetId="7" hidden="1">Gollot2026_dens!$A$1:$Q$181</definedName>
    <definedName name="_xlnm._FilterDatabase" localSheetId="6" hidden="1">Gollot2026_lufa!$A$1:$Q$151</definedName>
    <definedName name="DonnéesExternes_1" localSheetId="8" hidden="1">Data_DEB_mean!$A$1:$T$218</definedName>
    <definedName name="DonnéesExternes_1" localSheetId="9" hidden="1">'Data_DEB_mean (2)'!$A$1:$T$218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7" i="8" l="1"/>
  <c r="J181" i="8"/>
  <c r="J180" i="8"/>
  <c r="J179" i="8"/>
  <c r="J178" i="8"/>
  <c r="J176" i="8"/>
  <c r="J175" i="8"/>
  <c r="J174" i="8"/>
  <c r="J173" i="8"/>
  <c r="J172" i="8"/>
  <c r="J171" i="8"/>
  <c r="J170" i="8"/>
  <c r="J169" i="8"/>
  <c r="J168" i="8"/>
  <c r="J166" i="8"/>
  <c r="J165" i="8"/>
  <c r="J164" i="8"/>
  <c r="J163" i="8"/>
  <c r="J162" i="8"/>
  <c r="J143" i="8"/>
  <c r="J144" i="8"/>
  <c r="J145" i="8"/>
  <c r="J146" i="8"/>
  <c r="J147" i="8"/>
  <c r="J148" i="8"/>
  <c r="J149" i="8"/>
  <c r="J150" i="8"/>
  <c r="J151" i="8"/>
  <c r="J142" i="8"/>
  <c r="J119" i="8"/>
  <c r="K119" i="8" s="1"/>
  <c r="J121" i="8"/>
  <c r="K121" i="8" s="1"/>
  <c r="J122" i="8"/>
  <c r="K122" i="8" s="1"/>
  <c r="J123" i="8"/>
  <c r="K123" i="8" s="1"/>
  <c r="J120" i="8"/>
  <c r="K120" i="8" s="1"/>
  <c r="J114" i="8"/>
  <c r="K114" i="8" s="1"/>
  <c r="J115" i="8"/>
  <c r="K115" i="8" s="1"/>
  <c r="J116" i="8"/>
  <c r="K116" i="8" s="1"/>
  <c r="J117" i="8"/>
  <c r="K117" i="8" s="1"/>
  <c r="J118" i="8"/>
  <c r="K118" i="8" s="1"/>
  <c r="J113" i="8"/>
  <c r="K113" i="8" s="1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32" i="3"/>
  <c r="K131" i="1"/>
  <c r="K133" i="1" s="1"/>
  <c r="K135" i="1" s="1"/>
  <c r="K137" i="1" s="1"/>
  <c r="K139" i="1" s="1"/>
  <c r="K141" i="1" s="1"/>
  <c r="K143" i="1" s="1"/>
  <c r="K145" i="1" s="1"/>
  <c r="K147" i="1" s="1"/>
  <c r="K149" i="1" s="1"/>
  <c r="K142" i="8" l="1"/>
  <c r="K151" i="8"/>
  <c r="K150" i="8"/>
  <c r="K149" i="8"/>
  <c r="K170" i="8"/>
  <c r="K169" i="8"/>
  <c r="K179" i="8" s="1"/>
  <c r="K148" i="8"/>
  <c r="K168" i="8" s="1"/>
  <c r="K178" i="8" s="1"/>
  <c r="K162" i="8"/>
  <c r="K172" i="8" s="1"/>
  <c r="K147" i="8"/>
  <c r="K157" i="8" s="1"/>
  <c r="K143" i="8"/>
  <c r="K163" i="8" s="1"/>
  <c r="K173" i="8" s="1"/>
  <c r="K146" i="8"/>
  <c r="K166" i="8" s="1"/>
  <c r="K176" i="8" s="1"/>
  <c r="K145" i="8"/>
  <c r="K165" i="8" s="1"/>
  <c r="K144" i="8"/>
  <c r="K164" i="8" s="1"/>
  <c r="K174" i="8" s="1"/>
  <c r="K171" i="8"/>
  <c r="K181" i="8" s="1"/>
  <c r="K180" i="8"/>
  <c r="K175" i="8"/>
  <c r="H149" i="1"/>
  <c r="H148" i="1"/>
  <c r="H147" i="1"/>
  <c r="H146" i="1"/>
  <c r="H145" i="1"/>
  <c r="H144" i="1"/>
  <c r="H142" i="1"/>
  <c r="H141" i="1"/>
  <c r="H140" i="1"/>
  <c r="H139" i="1"/>
  <c r="H138" i="1"/>
  <c r="H136" i="1"/>
  <c r="H135" i="1"/>
  <c r="H134" i="1"/>
  <c r="H133" i="1"/>
  <c r="H132" i="1"/>
  <c r="H131" i="1"/>
  <c r="D132" i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J105" i="1"/>
  <c r="K105" i="1" s="1"/>
  <c r="J103" i="1"/>
  <c r="J101" i="1"/>
  <c r="K101" i="1" s="1"/>
  <c r="J99" i="1"/>
  <c r="J97" i="1"/>
  <c r="K97" i="1" s="1"/>
  <c r="J95" i="1"/>
  <c r="J93" i="1"/>
  <c r="K93" i="1" s="1"/>
  <c r="J91" i="1"/>
  <c r="J89" i="1"/>
  <c r="K89" i="1" s="1"/>
  <c r="J87" i="1"/>
  <c r="J85" i="1"/>
  <c r="K85" i="1" s="1"/>
  <c r="J83" i="1"/>
  <c r="J82" i="1"/>
  <c r="J80" i="1"/>
  <c r="J78" i="1"/>
  <c r="J76" i="1"/>
  <c r="K76" i="1" s="1"/>
  <c r="K78" i="1" s="1"/>
  <c r="J74" i="1"/>
  <c r="J72" i="1"/>
  <c r="J70" i="1"/>
  <c r="J68" i="1"/>
  <c r="J66" i="1"/>
  <c r="J64" i="1"/>
  <c r="J62" i="1"/>
  <c r="J60" i="1"/>
  <c r="J58" i="1"/>
  <c r="J56" i="1"/>
  <c r="K56" i="1" s="1"/>
  <c r="K58" i="1" s="1"/>
  <c r="J55" i="1"/>
  <c r="J53" i="1"/>
  <c r="J51" i="1"/>
  <c r="J49" i="1"/>
  <c r="K49" i="1" s="1"/>
  <c r="K51" i="1" s="1"/>
  <c r="J47" i="1"/>
  <c r="J45" i="1"/>
  <c r="J43" i="1"/>
  <c r="J41" i="1"/>
  <c r="J39" i="1"/>
  <c r="J37" i="1"/>
  <c r="J35" i="1"/>
  <c r="J33" i="1"/>
  <c r="J31" i="1"/>
  <c r="J29" i="1"/>
  <c r="K29" i="1" s="1"/>
  <c r="K31" i="1" s="1"/>
  <c r="K33" i="1" s="1"/>
  <c r="K35" i="1" s="1"/>
  <c r="J4" i="1"/>
  <c r="J6" i="1"/>
  <c r="J8" i="1"/>
  <c r="J10" i="1"/>
  <c r="J12" i="1"/>
  <c r="J14" i="1"/>
  <c r="J16" i="1"/>
  <c r="J18" i="1"/>
  <c r="J20" i="1"/>
  <c r="J22" i="1"/>
  <c r="J24" i="1"/>
  <c r="J26" i="1"/>
  <c r="J28" i="1"/>
  <c r="J2" i="1"/>
  <c r="K2" i="1" s="1"/>
  <c r="K60" i="1" l="1"/>
  <c r="K62" i="1" s="1"/>
  <c r="K64" i="1" s="1"/>
  <c r="K66" i="1" s="1"/>
  <c r="K80" i="1"/>
  <c r="K82" i="1" s="1"/>
  <c r="K68" i="1"/>
  <c r="K70" i="1" s="1"/>
  <c r="K72" i="1" s="1"/>
  <c r="K4" i="1"/>
  <c r="K6" i="1" s="1"/>
  <c r="K8" i="1" s="1"/>
  <c r="K10" i="1" s="1"/>
  <c r="K12" i="1" s="1"/>
  <c r="K14" i="1" s="1"/>
  <c r="K16" i="1" s="1"/>
  <c r="K18" i="1" s="1"/>
  <c r="K22" i="1" s="1"/>
  <c r="K24" i="1" s="1"/>
  <c r="K26" i="1" s="1"/>
  <c r="K28" i="1" s="1"/>
  <c r="K37" i="1"/>
  <c r="K39" i="1" s="1"/>
  <c r="K41" i="1" s="1"/>
  <c r="K43" i="1" s="1"/>
  <c r="K45" i="1" s="1"/>
  <c r="K53" i="1"/>
  <c r="K5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A0E901-16F1-6D46-9729-E9ED53C9E1D6}" keepAlive="1" name="Requête - Data_DEB_mean" description="Connexion à la requête « Data_DEB_mean » dans le classeur." type="5" refreshedVersion="8" background="1" saveData="1">
    <dbPr connection="Provider=Microsoft.Mashup.OleDb.1;Data Source=$Workbook$;Location=Data_DEB_mean;Extended Properties=&quot;&quot;" command="SELECT * FROM [Data_DEB_mean]"/>
  </connection>
  <connection id="2" xr16:uid="{11CAE2B6-BCE8-9F47-B748-38E1DCA957CC}" keepAlive="1" name="Requête - Data_DEB_mean (2)" description="Connexion à la requête « Data_DEB_mean (2) » dans le classeur." type="5" refreshedVersion="8" background="1" saveData="1">
    <dbPr connection="Provider=Microsoft.Mashup.OleDb.1;Data Source=$Workbook$;Location=&quot;Data_DEB_mean (2)&quot;;Extended Properties=&quot;&quot;" command="SELECT * FROM [Data_DEB_mean (2)]"/>
  </connection>
</connections>
</file>

<file path=xl/sharedStrings.xml><?xml version="1.0" encoding="utf-8"?>
<sst xmlns="http://schemas.openxmlformats.org/spreadsheetml/2006/main" count="12031" uniqueCount="583">
  <si>
    <t>Breeding_culture</t>
  </si>
  <si>
    <t>Experiment</t>
  </si>
  <si>
    <t>Time</t>
  </si>
  <si>
    <t>ID_cosm</t>
  </si>
  <si>
    <t>Nb_ind_measurement</t>
  </si>
  <si>
    <t>Nb_ind</t>
  </si>
  <si>
    <t>Status</t>
  </si>
  <si>
    <t>Weight_tot</t>
  </si>
  <si>
    <t>Reproduction</t>
  </si>
  <si>
    <t>Cocoons</t>
  </si>
  <si>
    <t>Cocoons_ind</t>
  </si>
  <si>
    <t>Environment</t>
  </si>
  <si>
    <t>Food</t>
  </si>
  <si>
    <t>Soil</t>
  </si>
  <si>
    <t>Soil_w</t>
  </si>
  <si>
    <t>WHC</t>
  </si>
  <si>
    <t>Texp</t>
  </si>
  <si>
    <t>Mons</t>
  </si>
  <si>
    <t>Bart2019_XP1_1</t>
  </si>
  <si>
    <t>I_13</t>
  </si>
  <si>
    <t>I_14</t>
  </si>
  <si>
    <t>I_15</t>
  </si>
  <si>
    <t>I_16</t>
  </si>
  <si>
    <t>I_20</t>
  </si>
  <si>
    <t>Bart2019_XP1_2</t>
  </si>
  <si>
    <t>J</t>
  </si>
  <si>
    <t>A</t>
  </si>
  <si>
    <t>Soil_change</t>
  </si>
  <si>
    <t>Clx</t>
  </si>
  <si>
    <t>End</t>
  </si>
  <si>
    <t>I_11</t>
  </si>
  <si>
    <t>Pool_repro</t>
  </si>
  <si>
    <t>Bart2019_XP2</t>
  </si>
  <si>
    <t>I_21</t>
  </si>
  <si>
    <t>I_22</t>
  </si>
  <si>
    <t>I_23</t>
  </si>
  <si>
    <t>I_24</t>
  </si>
  <si>
    <t>I_25</t>
  </si>
  <si>
    <t>I_26</t>
  </si>
  <si>
    <t>I_27</t>
  </si>
  <si>
    <t>Bart2019_XP3</t>
  </si>
  <si>
    <t>Bart2019_XP5</t>
  </si>
  <si>
    <t>I_28</t>
  </si>
  <si>
    <t>I_29</t>
  </si>
  <si>
    <t>I_30</t>
  </si>
  <si>
    <t>I_31</t>
  </si>
  <si>
    <t>I_32</t>
  </si>
  <si>
    <t>Bart2019_XP4_1</t>
  </si>
  <si>
    <t>I_3</t>
  </si>
  <si>
    <t>I_6</t>
  </si>
  <si>
    <t>I_2</t>
  </si>
  <si>
    <t>I_4</t>
  </si>
  <si>
    <t>I_5</t>
  </si>
  <si>
    <t>I_7</t>
  </si>
  <si>
    <t>I_8</t>
  </si>
  <si>
    <t>I_9</t>
  </si>
  <si>
    <t>Bart2019_XP4_2</t>
  </si>
  <si>
    <t>I_33</t>
  </si>
  <si>
    <t>I_34</t>
  </si>
  <si>
    <t>I_35</t>
  </si>
  <si>
    <t>I_36</t>
  </si>
  <si>
    <t>I_37</t>
  </si>
  <si>
    <t>Bart2020_Ctrl</t>
  </si>
  <si>
    <t>Gollot2026_lufa</t>
  </si>
  <si>
    <t>Versailles</t>
  </si>
  <si>
    <t>LUFA24</t>
  </si>
  <si>
    <t>D</t>
  </si>
  <si>
    <t>I_17</t>
  </si>
  <si>
    <t>I_18</t>
  </si>
  <si>
    <t>I_19</t>
  </si>
  <si>
    <t>D1</t>
  </si>
  <si>
    <t>A1</t>
  </si>
  <si>
    <t>A2</t>
  </si>
  <si>
    <t>A3</t>
  </si>
  <si>
    <t>A4</t>
  </si>
  <si>
    <t>D2</t>
  </si>
  <si>
    <t>D2b</t>
  </si>
  <si>
    <t>D5</t>
  </si>
  <si>
    <t>D7</t>
  </si>
  <si>
    <t>B3</t>
  </si>
  <si>
    <t>Nothing</t>
  </si>
  <si>
    <t>Column1</t>
  </si>
  <si>
    <t>Weight</t>
  </si>
  <si>
    <t>ID_experiment</t>
  </si>
  <si>
    <t>7.7</t>
  </si>
  <si>
    <t>0</t>
  </si>
  <si>
    <t>3</t>
  </si>
  <si>
    <t>10</t>
  </si>
  <si>
    <t>15.8</t>
  </si>
  <si>
    <t>NA</t>
  </si>
  <si>
    <t>21.0666666666667</t>
  </si>
  <si>
    <t>38.2</t>
  </si>
  <si>
    <t>46.4333333333333</t>
  </si>
  <si>
    <t>64</t>
  </si>
  <si>
    <t>90.6333333333333</t>
  </si>
  <si>
    <t>160.3</t>
  </si>
  <si>
    <t>195.433333333333</t>
  </si>
  <si>
    <t>308.4</t>
  </si>
  <si>
    <t>391.666666666667</t>
  </si>
  <si>
    <t>447.6</t>
  </si>
  <si>
    <t>536.8</t>
  </si>
  <si>
    <t>797.8</t>
  </si>
  <si>
    <t>835.6</t>
  </si>
  <si>
    <t>1065</t>
  </si>
  <si>
    <t>1117.6</t>
  </si>
  <si>
    <t>1053.4</t>
  </si>
  <si>
    <t>1123.8</t>
  </si>
  <si>
    <t>1185</t>
  </si>
  <si>
    <t>1332.66666666667</t>
  </si>
  <si>
    <t>1368</t>
  </si>
  <si>
    <t>1337.8</t>
  </si>
  <si>
    <t>1645</t>
  </si>
  <si>
    <t>1778.66666666667</t>
  </si>
  <si>
    <t>1505</t>
  </si>
  <si>
    <t>1577.33333333333</t>
  </si>
  <si>
    <t>1620</t>
  </si>
  <si>
    <t>1632</t>
  </si>
  <si>
    <t>1670</t>
  </si>
  <si>
    <t>1772.66666666667</t>
  </si>
  <si>
    <t>1862</t>
  </si>
  <si>
    <t>1863.03333333333</t>
  </si>
  <si>
    <t>2103</t>
  </si>
  <si>
    <t>2082.66666666667</t>
  </si>
  <si>
    <t>1720</t>
  </si>
  <si>
    <t>2101.66666666667</t>
  </si>
  <si>
    <t>1919</t>
  </si>
  <si>
    <t>2241.33333333333</t>
  </si>
  <si>
    <t>2027</t>
  </si>
  <si>
    <t>2227.66666666667</t>
  </si>
  <si>
    <t>2195</t>
  </si>
  <si>
    <t>2184</t>
  </si>
  <si>
    <t>2088</t>
  </si>
  <si>
    <t>2208.66666666667</t>
  </si>
  <si>
    <t>2327</t>
  </si>
  <si>
    <t>2316</t>
  </si>
  <si>
    <t>2540</t>
  </si>
  <si>
    <t>2649.33333333333</t>
  </si>
  <si>
    <t>2449</t>
  </si>
  <si>
    <t>2722.33333333333</t>
  </si>
  <si>
    <t>2605</t>
  </si>
  <si>
    <t>2771.66666666667</t>
  </si>
  <si>
    <t>14.2</t>
  </si>
  <si>
    <t>11.8833333333333</t>
  </si>
  <si>
    <t>39</t>
  </si>
  <si>
    <t>25.95</t>
  </si>
  <si>
    <t>78.2</t>
  </si>
  <si>
    <t>52.1666666666667</t>
  </si>
  <si>
    <t>139.4</t>
  </si>
  <si>
    <t>89.15</t>
  </si>
  <si>
    <t>337</t>
  </si>
  <si>
    <t>205.166666666667</t>
  </si>
  <si>
    <t>610</t>
  </si>
  <si>
    <t>436.583333333333</t>
  </si>
  <si>
    <t>740</t>
  </si>
  <si>
    <t>533.066666666667</t>
  </si>
  <si>
    <t>1098</t>
  </si>
  <si>
    <t>801.466666666667</t>
  </si>
  <si>
    <t>1974.04</t>
  </si>
  <si>
    <t>5.334</t>
  </si>
  <si>
    <t>2.667</t>
  </si>
  <si>
    <t>987.02</t>
  </si>
  <si>
    <t>1896.9</t>
  </si>
  <si>
    <t>948.45</t>
  </si>
  <si>
    <t>2049</t>
  </si>
  <si>
    <t>17.66</t>
  </si>
  <si>
    <t>8.83</t>
  </si>
  <si>
    <t>11.497</t>
  </si>
  <si>
    <t>1024.5</t>
  </si>
  <si>
    <t>1908.4</t>
  </si>
  <si>
    <t>954.2</t>
  </si>
  <si>
    <t>2132</t>
  </si>
  <si>
    <t>20.32</t>
  </si>
  <si>
    <t>10.16</t>
  </si>
  <si>
    <t>21.657</t>
  </si>
  <si>
    <t>1066</t>
  </si>
  <si>
    <t>2072</t>
  </si>
  <si>
    <t>1036</t>
  </si>
  <si>
    <t>2198.7</t>
  </si>
  <si>
    <t>20</t>
  </si>
  <si>
    <t>31.657</t>
  </si>
  <si>
    <t>1099.35</t>
  </si>
  <si>
    <t>3082.5</t>
  </si>
  <si>
    <t>1027.5</t>
  </si>
  <si>
    <t>3400.5</t>
  </si>
  <si>
    <t>30.48</t>
  </si>
  <si>
    <t>41.817</t>
  </si>
  <si>
    <t>1133.5</t>
  </si>
  <si>
    <t>3435.3</t>
  </si>
  <si>
    <t>1145.1</t>
  </si>
  <si>
    <t>3375.9</t>
  </si>
  <si>
    <t>35.001</t>
  </si>
  <si>
    <t>11.667</t>
  </si>
  <si>
    <t>53.484</t>
  </si>
  <si>
    <t>1125.3</t>
  </si>
  <si>
    <t>3447.9</t>
  </si>
  <si>
    <t>1149.3</t>
  </si>
  <si>
    <t>3697.15</t>
  </si>
  <si>
    <t>30.99</t>
  </si>
  <si>
    <t>10.33</t>
  </si>
  <si>
    <t>63.814</t>
  </si>
  <si>
    <t>1232.38333333333</t>
  </si>
  <si>
    <t>6754.8</t>
  </si>
  <si>
    <t>1125.8</t>
  </si>
  <si>
    <t>7410</t>
  </si>
  <si>
    <t>60</t>
  </si>
  <si>
    <t>73.814</t>
  </si>
  <si>
    <t>1235</t>
  </si>
  <si>
    <t>7029</t>
  </si>
  <si>
    <t>1171.5</t>
  </si>
  <si>
    <t>7723.8</t>
  </si>
  <si>
    <t>55.002</t>
  </si>
  <si>
    <t>9.167</t>
  </si>
  <si>
    <t>82.981</t>
  </si>
  <si>
    <t>1287.3</t>
  </si>
  <si>
    <t>7954.8</t>
  </si>
  <si>
    <t>1325.8</t>
  </si>
  <si>
    <t>8556.48</t>
  </si>
  <si>
    <t>46.98</t>
  </si>
  <si>
    <t>7.83</t>
  </si>
  <si>
    <t>90.811</t>
  </si>
  <si>
    <t>1426.08</t>
  </si>
  <si>
    <t>12.5914285714286</t>
  </si>
  <si>
    <t>39.8</t>
  </si>
  <si>
    <t>28.3857142857143</t>
  </si>
  <si>
    <t>113</t>
  </si>
  <si>
    <t>92.9571428571429</t>
  </si>
  <si>
    <t>190.3</t>
  </si>
  <si>
    <t>152.057142857143</t>
  </si>
  <si>
    <t>361.2</t>
  </si>
  <si>
    <t>319.471428571429</t>
  </si>
  <si>
    <t>459.6</t>
  </si>
  <si>
    <t>380.242857142857</t>
  </si>
  <si>
    <t>650.5</t>
  </si>
  <si>
    <t>564.657142857143</t>
  </si>
  <si>
    <t>668</t>
  </si>
  <si>
    <t>596.585714285714</t>
  </si>
  <si>
    <t>10.2</t>
  </si>
  <si>
    <t>10.66</t>
  </si>
  <si>
    <t>15</t>
  </si>
  <si>
    <t>15.34</t>
  </si>
  <si>
    <t>16.5</t>
  </si>
  <si>
    <t>16.32</t>
  </si>
  <si>
    <t>15.6</t>
  </si>
  <si>
    <t>18.14</t>
  </si>
  <si>
    <t>19.6</t>
  </si>
  <si>
    <t>20.12</t>
  </si>
  <si>
    <t>21.7</t>
  </si>
  <si>
    <t>23.2</t>
  </si>
  <si>
    <t>42.5</t>
  </si>
  <si>
    <t>51.9</t>
  </si>
  <si>
    <t>92.5</t>
  </si>
  <si>
    <t>111.1</t>
  </si>
  <si>
    <t>111</t>
  </si>
  <si>
    <t>119.92</t>
  </si>
  <si>
    <t>118</t>
  </si>
  <si>
    <t>131.26</t>
  </si>
  <si>
    <t>120</t>
  </si>
  <si>
    <t>156.88</t>
  </si>
  <si>
    <t>222</t>
  </si>
  <si>
    <t>260.8</t>
  </si>
  <si>
    <t>262</t>
  </si>
  <si>
    <t>292.8</t>
  </si>
  <si>
    <t>272</t>
  </si>
  <si>
    <t>308.6</t>
  </si>
  <si>
    <t>352</t>
  </si>
  <si>
    <t>377.8</t>
  </si>
  <si>
    <t>388.8</t>
  </si>
  <si>
    <t>444</t>
  </si>
  <si>
    <t>476</t>
  </si>
  <si>
    <t>7.5</t>
  </si>
  <si>
    <t>1</t>
  </si>
  <si>
    <t>9.35</t>
  </si>
  <si>
    <t>12.2</t>
  </si>
  <si>
    <t>14.8</t>
  </si>
  <si>
    <t>29</t>
  </si>
  <si>
    <t>36.05</t>
  </si>
  <si>
    <t>41.8</t>
  </si>
  <si>
    <t>50.65</t>
  </si>
  <si>
    <t>92.2</t>
  </si>
  <si>
    <t>96.1</t>
  </si>
  <si>
    <t>219</t>
  </si>
  <si>
    <t>217.65</t>
  </si>
  <si>
    <t>303.9</t>
  </si>
  <si>
    <t>293.35</t>
  </si>
  <si>
    <t>435.3</t>
  </si>
  <si>
    <t>407.65</t>
  </si>
  <si>
    <t>552</t>
  </si>
  <si>
    <t>560</t>
  </si>
  <si>
    <t>590</t>
  </si>
  <si>
    <t>599.65</t>
  </si>
  <si>
    <t>736</t>
  </si>
  <si>
    <t>678.4</t>
  </si>
  <si>
    <t>831.5</t>
  </si>
  <si>
    <t>681</t>
  </si>
  <si>
    <t>988</t>
  </si>
  <si>
    <t>869</t>
  </si>
  <si>
    <t>1007</t>
  </si>
  <si>
    <t>923.5</t>
  </si>
  <si>
    <t>1064</t>
  </si>
  <si>
    <t>1002.5</t>
  </si>
  <si>
    <t>1120</t>
  </si>
  <si>
    <t>1058.8</t>
  </si>
  <si>
    <t>1196.8</t>
  </si>
  <si>
    <t>1162.5</t>
  </si>
  <si>
    <t>1329</t>
  </si>
  <si>
    <t>1264.5</t>
  </si>
  <si>
    <t>1456</t>
  </si>
  <si>
    <t>1353</t>
  </si>
  <si>
    <t>1558</t>
  </si>
  <si>
    <t>1470.5</t>
  </si>
  <si>
    <t>1587</t>
  </si>
  <si>
    <t>1537.5</t>
  </si>
  <si>
    <t>1640</t>
  </si>
  <si>
    <t>1542</t>
  </si>
  <si>
    <t>1615.4</t>
  </si>
  <si>
    <t>1527.35</t>
  </si>
  <si>
    <t>1790</t>
  </si>
  <si>
    <t>1524</t>
  </si>
  <si>
    <t>1886</t>
  </si>
  <si>
    <t>1723</t>
  </si>
  <si>
    <t>1880</t>
  </si>
  <si>
    <t>1685</t>
  </si>
  <si>
    <t>1954</t>
  </si>
  <si>
    <t>1613</t>
  </si>
  <si>
    <t>2170</t>
  </si>
  <si>
    <t>1936</t>
  </si>
  <si>
    <t>1975</t>
  </si>
  <si>
    <t>1646.5</t>
  </si>
  <si>
    <t>10.7166666666667</t>
  </si>
  <si>
    <t>10.3</t>
  </si>
  <si>
    <t>20.1333333333333</t>
  </si>
  <si>
    <t>26.3</t>
  </si>
  <si>
    <t>38.95</t>
  </si>
  <si>
    <t>31.5</t>
  </si>
  <si>
    <t>56.1666666666667</t>
  </si>
  <si>
    <t>74.1</t>
  </si>
  <si>
    <t>98.3333333333333</t>
  </si>
  <si>
    <t>162.3</t>
  </si>
  <si>
    <t>218.966666666667</t>
  </si>
  <si>
    <t>224.2</t>
  </si>
  <si>
    <t>301.9</t>
  </si>
  <si>
    <t>411.6</t>
  </si>
  <si>
    <t>440.333333333333</t>
  </si>
  <si>
    <t>619</t>
  </si>
  <si>
    <t>606.933333333333</t>
  </si>
  <si>
    <t>604.5</t>
  </si>
  <si>
    <t>639.525</t>
  </si>
  <si>
    <t>1307</t>
  </si>
  <si>
    <t>5.6</t>
  </si>
  <si>
    <t>2.8</t>
  </si>
  <si>
    <t>653.5</t>
  </si>
  <si>
    <t>1304.72</t>
  </si>
  <si>
    <t>652.36</t>
  </si>
  <si>
    <t>1468.6</t>
  </si>
  <si>
    <t>12.32</t>
  </si>
  <si>
    <t>6.16</t>
  </si>
  <si>
    <t>8.96</t>
  </si>
  <si>
    <t>734.3</t>
  </si>
  <si>
    <t>1391.6</t>
  </si>
  <si>
    <t>695.8</t>
  </si>
  <si>
    <t>1373</t>
  </si>
  <si>
    <t>13.334</t>
  </si>
  <si>
    <t>6.667</t>
  </si>
  <si>
    <t>15.627</t>
  </si>
  <si>
    <t>686.5</t>
  </si>
  <si>
    <t>1426.52</t>
  </si>
  <si>
    <t>713.26</t>
  </si>
  <si>
    <t>1322.8</t>
  </si>
  <si>
    <t>15.66</t>
  </si>
  <si>
    <t>23.457</t>
  </si>
  <si>
    <t>661.4</t>
  </si>
  <si>
    <t>2067.9</t>
  </si>
  <si>
    <t>689.3</t>
  </si>
  <si>
    <t>2379.9</t>
  </si>
  <si>
    <t>23.001</t>
  </si>
  <si>
    <t>7.667</t>
  </si>
  <si>
    <t>31.124</t>
  </si>
  <si>
    <t>793.3</t>
  </si>
  <si>
    <t>2179.8</t>
  </si>
  <si>
    <t>726.6</t>
  </si>
  <si>
    <t>2519.85</t>
  </si>
  <si>
    <t>24.5001</t>
  </si>
  <si>
    <t>8.1667</t>
  </si>
  <si>
    <t>39.2907</t>
  </si>
  <si>
    <t>839.95</t>
  </si>
  <si>
    <t>2236.5</t>
  </si>
  <si>
    <t>745.5</t>
  </si>
  <si>
    <t>2346</t>
  </si>
  <si>
    <t>25.5</t>
  </si>
  <si>
    <t>8.5</t>
  </si>
  <si>
    <t>47.7907</t>
  </si>
  <si>
    <t>782</t>
  </si>
  <si>
    <t>3884.4</t>
  </si>
  <si>
    <t>647.4</t>
  </si>
  <si>
    <t>4545.6</t>
  </si>
  <si>
    <t>24.96</t>
  </si>
  <si>
    <t>4.16</t>
  </si>
  <si>
    <t>51.9507</t>
  </si>
  <si>
    <t>757.6</t>
  </si>
  <si>
    <t>4573.5</t>
  </si>
  <si>
    <t>762.25</t>
  </si>
  <si>
    <t>4624.02</t>
  </si>
  <si>
    <t>22.8</t>
  </si>
  <si>
    <t>3.8</t>
  </si>
  <si>
    <t>55.7507</t>
  </si>
  <si>
    <t>770.67</t>
  </si>
  <si>
    <t>4515</t>
  </si>
  <si>
    <t>752.5</t>
  </si>
  <si>
    <t>4597.8</t>
  </si>
  <si>
    <t>27</t>
  </si>
  <si>
    <t>4.5</t>
  </si>
  <si>
    <t>60.2507</t>
  </si>
  <si>
    <t>766.3</t>
  </si>
  <si>
    <t>8.6</t>
  </si>
  <si>
    <t>1.5</t>
  </si>
  <si>
    <t>11.1</t>
  </si>
  <si>
    <t>23.8</t>
  </si>
  <si>
    <t>27.16</t>
  </si>
  <si>
    <t>64.3</t>
  </si>
  <si>
    <t>72.16</t>
  </si>
  <si>
    <t>115</t>
  </si>
  <si>
    <t>117.52</t>
  </si>
  <si>
    <t>239</t>
  </si>
  <si>
    <t>260.6</t>
  </si>
  <si>
    <t>324</t>
  </si>
  <si>
    <t>319.1</t>
  </si>
  <si>
    <t>485</t>
  </si>
  <si>
    <t>460.4</t>
  </si>
  <si>
    <t>541</t>
  </si>
  <si>
    <t>548.6</t>
  </si>
  <si>
    <t>672</t>
  </si>
  <si>
    <t>635</t>
  </si>
  <si>
    <t>11.5185714285714</t>
  </si>
  <si>
    <t>Bart2020</t>
  </si>
  <si>
    <t>30.532967032967</t>
  </si>
  <si>
    <t>90.2469387755102</t>
  </si>
  <si>
    <t>142.428571428571</t>
  </si>
  <si>
    <t>905</t>
  </si>
  <si>
    <t>776.333333333333</t>
  </si>
  <si>
    <t>865</t>
  </si>
  <si>
    <t>4.4</t>
  </si>
  <si>
    <t>12.4133333333333</t>
  </si>
  <si>
    <t>32.2148148148148</t>
  </si>
  <si>
    <t>92.437037037037</t>
  </si>
  <si>
    <t>152.551851851852</t>
  </si>
  <si>
    <t>360.296296296296</t>
  </si>
  <si>
    <t>Gollot2026_dens</t>
  </si>
  <si>
    <t>D1A1</t>
  </si>
  <si>
    <t>13.2</t>
  </si>
  <si>
    <t>11.05</t>
  </si>
  <si>
    <t>Gollot2026_dens_D1</t>
  </si>
  <si>
    <t>D2A1</t>
  </si>
  <si>
    <t>9.5</t>
  </si>
  <si>
    <t>10.475</t>
  </si>
  <si>
    <t>Gollot2026_dens_D2</t>
  </si>
  <si>
    <t>D2bA1</t>
  </si>
  <si>
    <t>9.7</t>
  </si>
  <si>
    <t>9.23</t>
  </si>
  <si>
    <t>Gollot2026_dens_D2b</t>
  </si>
  <si>
    <t>D5A1</t>
  </si>
  <si>
    <t>11.18</t>
  </si>
  <si>
    <t>0.6</t>
  </si>
  <si>
    <t>10.67</t>
  </si>
  <si>
    <t>Gollot2026_dens_D5</t>
  </si>
  <si>
    <t>D7A1</t>
  </si>
  <si>
    <t>10.328571</t>
  </si>
  <si>
    <t>0.428571428571429</t>
  </si>
  <si>
    <t>10.00357125</t>
  </si>
  <si>
    <t>Gollot2026_dens_D7</t>
  </si>
  <si>
    <t>47.6</t>
  </si>
  <si>
    <t>44.8333333333333</t>
  </si>
  <si>
    <t>36.7</t>
  </si>
  <si>
    <t>35.2125</t>
  </si>
  <si>
    <t>30.05</t>
  </si>
  <si>
    <t>41.9</t>
  </si>
  <si>
    <t>37.31</t>
  </si>
  <si>
    <t>34.207143</t>
  </si>
  <si>
    <t>144.5</t>
  </si>
  <si>
    <t>119.45</t>
  </si>
  <si>
    <t>83.4</t>
  </si>
  <si>
    <t>83.8375</t>
  </si>
  <si>
    <t>89.5</t>
  </si>
  <si>
    <t>126.18</t>
  </si>
  <si>
    <t>96.065</t>
  </si>
  <si>
    <t>D7A2</t>
  </si>
  <si>
    <t>85.04</t>
  </si>
  <si>
    <t>0.4285714</t>
  </si>
  <si>
    <t>81.3228573333333</t>
  </si>
  <si>
    <t>342.1</t>
  </si>
  <si>
    <t>281.666666666667</t>
  </si>
  <si>
    <t>186.7</t>
  </si>
  <si>
    <t>185.6125</t>
  </si>
  <si>
    <t>167.1</t>
  </si>
  <si>
    <t>212.36</t>
  </si>
  <si>
    <t>185.73</t>
  </si>
  <si>
    <t>161.885714</t>
  </si>
  <si>
    <t>155.204762</t>
  </si>
  <si>
    <t>658.2</t>
  </si>
  <si>
    <t>514.025</t>
  </si>
  <si>
    <t>371.85</t>
  </si>
  <si>
    <t>353.775</t>
  </si>
  <si>
    <t>D2bA4</t>
  </si>
  <si>
    <t>253.85</t>
  </si>
  <si>
    <t>315.375</t>
  </si>
  <si>
    <t>393.46</t>
  </si>
  <si>
    <t>346.94</t>
  </si>
  <si>
    <t>280.485714</t>
  </si>
  <si>
    <t>276.335714</t>
  </si>
  <si>
    <t>850.5</t>
  </si>
  <si>
    <t>779.766666666667</t>
  </si>
  <si>
    <t>661.75</t>
  </si>
  <si>
    <t>603.825</t>
  </si>
  <si>
    <t>452.3</t>
  </si>
  <si>
    <t>539.025</t>
  </si>
  <si>
    <t>574.1</t>
  </si>
  <si>
    <t>522.43</t>
  </si>
  <si>
    <t>390.742857</t>
  </si>
  <si>
    <t>1121.5</t>
  </si>
  <si>
    <t>914.15</t>
  </si>
  <si>
    <t>784.6</t>
  </si>
  <si>
    <t>0.5</t>
  </si>
  <si>
    <t>781.775</t>
  </si>
  <si>
    <t>629.8</t>
  </si>
  <si>
    <t>729</t>
  </si>
  <si>
    <t>683</t>
  </si>
  <si>
    <t>6</t>
  </si>
  <si>
    <t>1.2</t>
  </si>
  <si>
    <t>0.85</t>
  </si>
  <si>
    <t>657.61</t>
  </si>
  <si>
    <t>1493.4</t>
  </si>
  <si>
    <t>1041.1</t>
  </si>
  <si>
    <t>1023.3</t>
  </si>
  <si>
    <t>974.4875</t>
  </si>
  <si>
    <t>776.55</t>
  </si>
  <si>
    <t>706.62</t>
  </si>
  <si>
    <t>714.66</t>
  </si>
  <si>
    <t>1903.2</t>
  </si>
  <si>
    <t>1388.85</t>
  </si>
  <si>
    <t>1196.25</t>
  </si>
  <si>
    <t>1112.725</t>
  </si>
  <si>
    <t>878.85</t>
  </si>
  <si>
    <t>1030.35</t>
  </si>
  <si>
    <t>783.88</t>
  </si>
  <si>
    <t>2</t>
  </si>
  <si>
    <t>0.4</t>
  </si>
  <si>
    <t>6.1</t>
  </si>
  <si>
    <t>833.5</t>
  </si>
  <si>
    <t>1797.4</t>
  </si>
  <si>
    <t>1450.25</t>
  </si>
  <si>
    <t>1259.55</t>
  </si>
  <si>
    <t>1129.1375</t>
  </si>
  <si>
    <t>956.05</t>
  </si>
  <si>
    <t>11</t>
  </si>
  <si>
    <t>1001.2</t>
  </si>
  <si>
    <t>771.7</t>
  </si>
  <si>
    <t>852.86</t>
  </si>
  <si>
    <t>2233.6</t>
  </si>
  <si>
    <t>1895.25</t>
  </si>
  <si>
    <t>1446.45</t>
  </si>
  <si>
    <t>21</t>
  </si>
  <si>
    <t>10.5</t>
  </si>
  <si>
    <t>24.25</t>
  </si>
  <si>
    <t>1276.45</t>
  </si>
  <si>
    <t>1009.55</t>
  </si>
  <si>
    <t>7</t>
  </si>
  <si>
    <t>3.5</t>
  </si>
  <si>
    <t>6.5</t>
  </si>
  <si>
    <t>838.08</t>
  </si>
  <si>
    <t>45</t>
  </si>
  <si>
    <t>9</t>
  </si>
  <si>
    <t>12.8</t>
  </si>
  <si>
    <t>896.79</t>
  </si>
  <si>
    <t>2302.9</t>
  </si>
  <si>
    <t>1963.9</t>
  </si>
  <si>
    <t>1240.05</t>
  </si>
  <si>
    <t>8</t>
  </si>
  <si>
    <t>4</t>
  </si>
  <si>
    <t>30</t>
  </si>
  <si>
    <t>1090.475</t>
  </si>
  <si>
    <t>922.25</t>
  </si>
  <si>
    <t>712.94</t>
  </si>
  <si>
    <t>15.75</t>
  </si>
  <si>
    <t>847.565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</si>
</sst>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500D390-615D-D04D-A6E4-4A88392B6698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Breeding_culture" tableColumnId="2"/>
      <queryTableField id="3" name="Experiment" tableColumnId="3"/>
      <queryTableField id="4" name="ID_cosm" tableColumnId="4"/>
      <queryTableField id="5" name="Time" tableColumnId="5"/>
      <queryTableField id="6" name="Nb_ind_measurement" tableColumnId="6"/>
      <queryTableField id="7" name="Nb_ind" tableColumnId="7"/>
      <queryTableField id="8" name="Status" tableColumnId="8"/>
      <queryTableField id="9" name="Weight_tot" tableColumnId="9"/>
      <queryTableField id="10" name="Cocoons" tableColumnId="10"/>
      <queryTableField id="11" name="Cocoons_ind" tableColumnId="11"/>
      <queryTableField id="12" name="Reproduction" tableColumnId="12"/>
      <queryTableField id="13" name="Environment" tableColumnId="13"/>
      <queryTableField id="14" name="Food" tableColumnId="14"/>
      <queryTableField id="15" name="Soil" tableColumnId="15"/>
      <queryTableField id="16" name="Soil_w" tableColumnId="16"/>
      <queryTableField id="17" name="WHC" tableColumnId="17"/>
      <queryTableField id="18" name="Texp" tableColumnId="18"/>
      <queryTableField id="19" name="Weight" tableColumnId="19"/>
      <queryTableField id="20" name="ID_experiment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A04818C-F691-8648-B753-A99CD37ECC6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Breeding_culture" tableColumnId="2"/>
      <queryTableField id="3" name="Experiment" tableColumnId="3"/>
      <queryTableField id="4" name="ID_cosm" tableColumnId="4"/>
      <queryTableField id="5" name="Time" tableColumnId="5"/>
      <queryTableField id="6" name="Nb_ind_measurement" tableColumnId="6"/>
      <queryTableField id="7" name="Nb_ind" tableColumnId="7"/>
      <queryTableField id="8" name="Status" tableColumnId="8"/>
      <queryTableField id="9" name="Weight_tot" tableColumnId="9"/>
      <queryTableField id="10" name="Cocoons" tableColumnId="10"/>
      <queryTableField id="11" name="Cocoons_ind" tableColumnId="11"/>
      <queryTableField id="12" name="Reproduction" tableColumnId="12"/>
      <queryTableField id="13" name="Environment" tableColumnId="13"/>
      <queryTableField id="14" name="Food" tableColumnId="14"/>
      <queryTableField id="15" name="Soil" tableColumnId="15"/>
      <queryTableField id="16" name="Soil_w" tableColumnId="16"/>
      <queryTableField id="17" name="WHC" tableColumnId="17"/>
      <queryTableField id="18" name="Texp" tableColumnId="18"/>
      <queryTableField id="19" name="Weight" tableColumnId="19"/>
      <queryTableField id="20" name="ID_experimen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872FB-2313-5B47-A399-63D31B698B30}" name="Data_DEB_mean" displayName="Data_DEB_mean" ref="A1:T218" tableType="queryTable" totalsRowShown="0">
  <autoFilter ref="A1:T218" xr:uid="{731872FB-2313-5B47-A399-63D31B698B30}">
    <filterColumn colId="2">
      <filters>
        <filter val="Bart2019_XP4_2"/>
      </filters>
    </filterColumn>
  </autoFilter>
  <tableColumns count="20">
    <tableColumn id="1" xr3:uid="{CAC38176-019C-534C-BC4A-91A68CBB9ECB}" uniqueName="1" name="Column1" queryTableFieldId="1"/>
    <tableColumn id="2" xr3:uid="{1625D9FB-4998-D542-8375-6C9734EED136}" uniqueName="2" name="Breeding_culture" queryTableFieldId="2" dataDxfId="25"/>
    <tableColumn id="3" xr3:uid="{2BBF8C55-A6EF-CA42-BCF2-E1159915EB18}" uniqueName="3" name="Experiment" queryTableFieldId="3" dataDxfId="24"/>
    <tableColumn id="4" xr3:uid="{3B7DB8A0-090B-7146-B003-B697F448110E}" uniqueName="4" name="ID_cosm" queryTableFieldId="4" dataDxfId="23"/>
    <tableColumn id="5" xr3:uid="{1DF2D280-B840-124C-BFE7-EB0E2487CC56}" uniqueName="5" name="Time" queryTableFieldId="5"/>
    <tableColumn id="6" xr3:uid="{0B1DC7F5-D49A-964B-994A-3E841525361F}" uniqueName="6" name="Nb_ind_measurement" queryTableFieldId="6"/>
    <tableColumn id="7" xr3:uid="{232E0883-F2E2-0A47-8655-2C297E58ED65}" uniqueName="7" name="Nb_ind" queryTableFieldId="7"/>
    <tableColumn id="8" xr3:uid="{D1371A44-AC33-AA48-9A6F-C4134477F3F8}" uniqueName="8" name="Status" queryTableFieldId="8" dataDxfId="22"/>
    <tableColumn id="9" xr3:uid="{62EFB57E-1216-6944-9327-7881DB74A977}" uniqueName="9" name="Weight_tot" queryTableFieldId="9" dataDxfId="21"/>
    <tableColumn id="10" xr3:uid="{88576444-1C3E-5045-86CF-BE354B9E277D}" uniqueName="10" name="Cocoons" queryTableFieldId="10" dataDxfId="20"/>
    <tableColumn id="11" xr3:uid="{5108CB85-63D5-EC4D-88F9-04144491A565}" uniqueName="11" name="Cocoons_ind" queryTableFieldId="11" dataDxfId="19"/>
    <tableColumn id="12" xr3:uid="{A5F0740F-F163-0041-9FBD-8140312ACEC4}" uniqueName="12" name="Reproduction" queryTableFieldId="12" dataDxfId="18"/>
    <tableColumn id="13" xr3:uid="{DA53C607-C730-8844-B966-04F9051811C1}" uniqueName="13" name="Environment" queryTableFieldId="13" dataDxfId="17"/>
    <tableColumn id="14" xr3:uid="{AAAD5BB7-416F-D441-BE88-441F46ACC8E8}" uniqueName="14" name="Food" queryTableFieldId="14" dataDxfId="16"/>
    <tableColumn id="15" xr3:uid="{29C68323-F9B7-884B-8DFA-637E2EBA6214}" uniqueName="15" name="Soil" queryTableFieldId="15" dataDxfId="15"/>
    <tableColumn id="16" xr3:uid="{EFB44EDE-91F4-BE44-8BF0-951D65CDCE98}" uniqueName="16" name="Soil_w" queryTableFieldId="16"/>
    <tableColumn id="17" xr3:uid="{B5C5F3E5-06C3-4844-8994-63B3254584C3}" uniqueName="17" name="WHC" queryTableFieldId="17"/>
    <tableColumn id="18" xr3:uid="{AD38DCCA-92B1-3F44-AD7F-D537D488B5BB}" uniqueName="18" name="Texp" queryTableFieldId="18"/>
    <tableColumn id="19" xr3:uid="{EAED6AAD-BAC8-E446-BC0B-52B648A76259}" uniqueName="19" name="Weight" queryTableFieldId="19" dataDxfId="14"/>
    <tableColumn id="20" xr3:uid="{D1562727-4112-674D-9594-861A16A9DABD}" uniqueName="20" name="ID_experiment" queryTableFieldId="20" dataDxfId="1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2034EA-610E-B74D-A512-1D0E44AE5DAE}" name="Data_DEB_mean__2" displayName="Data_DEB_mean__2" ref="A1:T218" tableType="queryTable" totalsRowShown="0">
  <autoFilter ref="A1:T218" xr:uid="{D82034EA-610E-B74D-A512-1D0E44AE5DAE}">
    <filterColumn colId="2">
      <filters>
        <filter val="Bart2019_XP4_2"/>
      </filters>
    </filterColumn>
  </autoFilter>
  <tableColumns count="20">
    <tableColumn id="1" xr3:uid="{DFFEB819-9F2B-5D42-8110-C123EC46BF1A}" uniqueName="1" name="Column1" queryTableFieldId="1"/>
    <tableColumn id="2" xr3:uid="{293476C4-0388-B44D-94C5-E90C05FF4F16}" uniqueName="2" name="Breeding_culture" queryTableFieldId="2" dataDxfId="12"/>
    <tableColumn id="3" xr3:uid="{BE0FC4AB-BA6C-C24F-A8CD-56ED76A3034B}" uniqueName="3" name="Experiment" queryTableFieldId="3" dataDxfId="11"/>
    <tableColumn id="4" xr3:uid="{14275800-E9E0-6745-8CD0-671263DE7FD5}" uniqueName="4" name="ID_cosm" queryTableFieldId="4" dataDxfId="10"/>
    <tableColumn id="5" xr3:uid="{E92A7927-244D-F04C-9DE6-3621CF2239F3}" uniqueName="5" name="Time" queryTableFieldId="5"/>
    <tableColumn id="6" xr3:uid="{E21145ED-2DED-F04F-8291-057EC8BE7EA6}" uniqueName="6" name="Nb_ind_measurement" queryTableFieldId="6"/>
    <tableColumn id="7" xr3:uid="{575F7C87-C062-F74B-AC8D-3A9FEE58C1D0}" uniqueName="7" name="Nb_ind" queryTableFieldId="7"/>
    <tableColumn id="8" xr3:uid="{B37331FC-1BD2-D049-A4BD-AC84254E756E}" uniqueName="8" name="Status" queryTableFieldId="8" dataDxfId="9"/>
    <tableColumn id="9" xr3:uid="{8825BA6F-F28D-4B4A-A975-507E1F46B9FE}" uniqueName="9" name="Weight_tot" queryTableFieldId="9" dataDxfId="8"/>
    <tableColumn id="10" xr3:uid="{92377575-AB4E-154B-AE8C-8BB38A94D97E}" uniqueName="10" name="Cocoons" queryTableFieldId="10" dataDxfId="7"/>
    <tableColumn id="11" xr3:uid="{5F8B3B13-9F55-0C43-860E-0CB92A33379A}" uniqueName="11" name="Cocoons_ind" queryTableFieldId="11" dataDxfId="6"/>
    <tableColumn id="12" xr3:uid="{506B749A-49F8-E74E-B5E3-5C896D75B395}" uniqueName="12" name="Reproduction" queryTableFieldId="12" dataDxfId="5"/>
    <tableColumn id="13" xr3:uid="{894BCC4D-50DB-4E43-9DF1-2CC58614959C}" uniqueName="13" name="Environment" queryTableFieldId="13" dataDxfId="4"/>
    <tableColumn id="14" xr3:uid="{294F0982-7025-F949-B10A-5C7B81793C41}" uniqueName="14" name="Food" queryTableFieldId="14" dataDxfId="3"/>
    <tableColumn id="15" xr3:uid="{BB6BA37F-FCD1-F842-B35C-D7B3766143D3}" uniqueName="15" name="Soil" queryTableFieldId="15" dataDxfId="2"/>
    <tableColumn id="16" xr3:uid="{8C8BE6E6-F6C7-FA4B-912A-5D278446FCE9}" uniqueName="16" name="Soil_w" queryTableFieldId="16"/>
    <tableColumn id="17" xr3:uid="{71961124-89A4-EA42-9E0E-E26597A69CB8}" uniqueName="17" name="WHC" queryTableFieldId="17"/>
    <tableColumn id="18" xr3:uid="{A12C331D-7F8B-EA45-851C-B2515AE334AB}" uniqueName="18" name="Texp" queryTableFieldId="18"/>
    <tableColumn id="19" xr3:uid="{C14C69F3-3784-2545-B4CD-17C9A67937BE}" uniqueName="19" name="Weight" queryTableFieldId="19" dataDxfId="1"/>
    <tableColumn id="20" xr3:uid="{E0E273C0-792B-3747-9445-636D280CAD1B}" uniqueName="20" name="ID_experiment" queryTableFieldId="2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6948-1F7A-9940-897C-9E3AE7141EBF}">
  <dimension ref="A1:Q149"/>
  <sheetViews>
    <sheetView zoomScale="75" workbookViewId="0">
      <pane ySplit="1" topLeftCell="A55" activePane="bottomLeft" state="frozen"/>
      <selection pane="bottomLeft" sqref="A1:XFD1"/>
    </sheetView>
  </sheetViews>
  <sheetFormatPr baseColWidth="10" defaultRowHeight="16" x14ac:dyDescent="0.2"/>
  <cols>
    <col min="1" max="1" width="17" customWidth="1"/>
    <col min="2" max="2" width="15.1640625" customWidth="1"/>
    <col min="3" max="3" width="13.33203125" style="2" customWidth="1"/>
    <col min="4" max="4" width="10.83203125" style="6"/>
    <col min="5" max="5" width="20" customWidth="1"/>
    <col min="7" max="7" width="10.83203125" style="2"/>
    <col min="8" max="8" width="12.83203125" customWidth="1"/>
    <col min="10" max="10" width="14.6640625" customWidth="1"/>
    <col min="11" max="11" width="12.6640625" customWidth="1"/>
    <col min="12" max="12" width="13.83203125" customWidth="1"/>
  </cols>
  <sheetData>
    <row r="1" spans="1:17" s="1" customFormat="1" x14ac:dyDescent="0.2">
      <c r="A1" s="1" t="s">
        <v>0</v>
      </c>
      <c r="B1" s="1" t="s">
        <v>1</v>
      </c>
      <c r="C1" s="3" t="s">
        <v>3</v>
      </c>
      <c r="D1" s="8" t="s">
        <v>2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9</v>
      </c>
      <c r="J1" s="1" t="s">
        <v>10</v>
      </c>
      <c r="K1" s="1" t="s">
        <v>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s="2" t="s">
        <v>19</v>
      </c>
      <c r="D2" s="6">
        <v>0</v>
      </c>
      <c r="E2">
        <v>1</v>
      </c>
      <c r="F2">
        <v>1</v>
      </c>
      <c r="G2" s="2" t="s">
        <v>25</v>
      </c>
      <c r="H2">
        <v>7.7</v>
      </c>
      <c r="I2">
        <v>0</v>
      </c>
      <c r="J2">
        <f>I2/E2</f>
        <v>0</v>
      </c>
      <c r="K2">
        <f>J2</f>
        <v>0</v>
      </c>
      <c r="L2" t="s">
        <v>27</v>
      </c>
      <c r="M2">
        <v>3</v>
      </c>
      <c r="N2" t="s">
        <v>28</v>
      </c>
      <c r="O2">
        <v>400</v>
      </c>
      <c r="P2">
        <v>70</v>
      </c>
      <c r="Q2">
        <v>15</v>
      </c>
    </row>
    <row r="3" spans="1:17" x14ac:dyDescent="0.2">
      <c r="A3" t="s">
        <v>17</v>
      </c>
      <c r="B3" t="s">
        <v>18</v>
      </c>
      <c r="C3" s="2" t="s">
        <v>19</v>
      </c>
      <c r="D3" s="6">
        <v>14</v>
      </c>
      <c r="E3">
        <v>1</v>
      </c>
      <c r="F3">
        <v>1</v>
      </c>
      <c r="G3" s="2" t="s">
        <v>25</v>
      </c>
      <c r="H3">
        <v>15.8</v>
      </c>
      <c r="L3" t="s">
        <v>12</v>
      </c>
      <c r="M3">
        <v>3</v>
      </c>
      <c r="N3" t="s">
        <v>28</v>
      </c>
      <c r="O3">
        <v>400</v>
      </c>
      <c r="P3">
        <v>70</v>
      </c>
      <c r="Q3">
        <v>15</v>
      </c>
    </row>
    <row r="4" spans="1:17" x14ac:dyDescent="0.2">
      <c r="A4" t="s">
        <v>17</v>
      </c>
      <c r="B4" t="s">
        <v>18</v>
      </c>
      <c r="C4" s="2" t="s">
        <v>19</v>
      </c>
      <c r="D4" s="6">
        <v>28</v>
      </c>
      <c r="E4">
        <v>1</v>
      </c>
      <c r="F4">
        <v>1</v>
      </c>
      <c r="G4" s="2" t="s">
        <v>25</v>
      </c>
      <c r="H4">
        <v>38.200000000000003</v>
      </c>
      <c r="I4">
        <v>0</v>
      </c>
      <c r="J4">
        <f t="shared" ref="J4:J28" si="0">I4/E4</f>
        <v>0</v>
      </c>
      <c r="K4">
        <f>K2+J4</f>
        <v>0</v>
      </c>
      <c r="L4" t="s">
        <v>27</v>
      </c>
      <c r="M4">
        <v>3</v>
      </c>
      <c r="N4" t="s">
        <v>28</v>
      </c>
      <c r="O4">
        <v>400</v>
      </c>
      <c r="P4">
        <v>70</v>
      </c>
      <c r="Q4">
        <v>15</v>
      </c>
    </row>
    <row r="5" spans="1:17" x14ac:dyDescent="0.2">
      <c r="A5" t="s">
        <v>17</v>
      </c>
      <c r="B5" t="s">
        <v>18</v>
      </c>
      <c r="C5" s="2" t="s">
        <v>19</v>
      </c>
      <c r="D5" s="6">
        <v>42</v>
      </c>
      <c r="E5">
        <v>1</v>
      </c>
      <c r="F5">
        <v>1</v>
      </c>
      <c r="G5" s="2" t="s">
        <v>25</v>
      </c>
      <c r="H5">
        <v>64</v>
      </c>
      <c r="L5" t="s">
        <v>12</v>
      </c>
      <c r="M5">
        <v>3</v>
      </c>
      <c r="N5" t="s">
        <v>28</v>
      </c>
      <c r="O5">
        <v>400</v>
      </c>
      <c r="P5">
        <v>70</v>
      </c>
      <c r="Q5">
        <v>15</v>
      </c>
    </row>
    <row r="6" spans="1:17" x14ac:dyDescent="0.2">
      <c r="A6" t="s">
        <v>17</v>
      </c>
      <c r="B6" t="s">
        <v>18</v>
      </c>
      <c r="C6" s="2" t="s">
        <v>19</v>
      </c>
      <c r="D6" s="6">
        <v>56</v>
      </c>
      <c r="E6">
        <v>1</v>
      </c>
      <c r="F6">
        <v>1</v>
      </c>
      <c r="G6" s="2" t="s">
        <v>25</v>
      </c>
      <c r="H6">
        <v>160.30000000000001</v>
      </c>
      <c r="I6">
        <v>0</v>
      </c>
      <c r="J6">
        <f t="shared" si="0"/>
        <v>0</v>
      </c>
      <c r="K6">
        <f t="shared" ref="K6:K28" si="1">K4+J6</f>
        <v>0</v>
      </c>
      <c r="L6" t="s">
        <v>27</v>
      </c>
      <c r="M6">
        <v>3</v>
      </c>
      <c r="N6" t="s">
        <v>28</v>
      </c>
      <c r="O6">
        <v>400</v>
      </c>
      <c r="P6">
        <v>70</v>
      </c>
      <c r="Q6">
        <v>15</v>
      </c>
    </row>
    <row r="7" spans="1:17" x14ac:dyDescent="0.2">
      <c r="A7" t="s">
        <v>17</v>
      </c>
      <c r="B7" t="s">
        <v>18</v>
      </c>
      <c r="C7" s="2" t="s">
        <v>19</v>
      </c>
      <c r="D7" s="6">
        <v>70</v>
      </c>
      <c r="E7">
        <v>1</v>
      </c>
      <c r="F7">
        <v>1</v>
      </c>
      <c r="G7" s="2" t="s">
        <v>25</v>
      </c>
      <c r="H7">
        <v>308.39999999999998</v>
      </c>
      <c r="L7" t="s">
        <v>12</v>
      </c>
      <c r="M7">
        <v>3</v>
      </c>
      <c r="N7" t="s">
        <v>28</v>
      </c>
      <c r="O7">
        <v>400</v>
      </c>
      <c r="P7">
        <v>70</v>
      </c>
      <c r="Q7">
        <v>15</v>
      </c>
    </row>
    <row r="8" spans="1:17" x14ac:dyDescent="0.2">
      <c r="A8" t="s">
        <v>17</v>
      </c>
      <c r="B8" t="s">
        <v>18</v>
      </c>
      <c r="C8" s="2" t="s">
        <v>19</v>
      </c>
      <c r="D8" s="6">
        <v>84</v>
      </c>
      <c r="E8">
        <v>1</v>
      </c>
      <c r="F8">
        <v>1</v>
      </c>
      <c r="G8" s="2" t="s">
        <v>25</v>
      </c>
      <c r="H8">
        <v>447.6</v>
      </c>
      <c r="I8">
        <v>0</v>
      </c>
      <c r="J8">
        <f t="shared" si="0"/>
        <v>0</v>
      </c>
      <c r="K8">
        <f t="shared" si="1"/>
        <v>0</v>
      </c>
      <c r="L8" t="s">
        <v>27</v>
      </c>
      <c r="M8">
        <v>3</v>
      </c>
      <c r="N8" t="s">
        <v>28</v>
      </c>
      <c r="O8">
        <v>400</v>
      </c>
      <c r="P8">
        <v>70</v>
      </c>
      <c r="Q8">
        <v>15</v>
      </c>
    </row>
    <row r="9" spans="1:17" x14ac:dyDescent="0.2">
      <c r="A9" t="s">
        <v>17</v>
      </c>
      <c r="B9" t="s">
        <v>18</v>
      </c>
      <c r="C9" s="2" t="s">
        <v>19</v>
      </c>
      <c r="D9" s="6">
        <v>98</v>
      </c>
      <c r="E9">
        <v>1</v>
      </c>
      <c r="F9">
        <v>1</v>
      </c>
      <c r="G9" s="2" t="s">
        <v>26</v>
      </c>
      <c r="H9">
        <v>797.8</v>
      </c>
      <c r="L9" t="s">
        <v>12</v>
      </c>
      <c r="M9">
        <v>3</v>
      </c>
      <c r="N9" t="s">
        <v>28</v>
      </c>
      <c r="O9">
        <v>400</v>
      </c>
      <c r="P9">
        <v>70</v>
      </c>
      <c r="Q9">
        <v>15</v>
      </c>
    </row>
    <row r="10" spans="1:17" x14ac:dyDescent="0.2">
      <c r="A10" t="s">
        <v>17</v>
      </c>
      <c r="B10" t="s">
        <v>18</v>
      </c>
      <c r="C10" s="2" t="s">
        <v>19</v>
      </c>
      <c r="D10" s="6">
        <v>112</v>
      </c>
      <c r="E10">
        <v>1</v>
      </c>
      <c r="F10">
        <v>1</v>
      </c>
      <c r="G10" s="2" t="s">
        <v>26</v>
      </c>
      <c r="H10">
        <v>1065</v>
      </c>
      <c r="I10">
        <v>0</v>
      </c>
      <c r="J10">
        <f t="shared" si="0"/>
        <v>0</v>
      </c>
      <c r="K10">
        <f t="shared" si="1"/>
        <v>0</v>
      </c>
      <c r="L10" t="s">
        <v>27</v>
      </c>
      <c r="M10">
        <v>3</v>
      </c>
      <c r="N10" t="s">
        <v>28</v>
      </c>
      <c r="O10">
        <v>400</v>
      </c>
      <c r="P10">
        <v>70</v>
      </c>
      <c r="Q10">
        <v>15</v>
      </c>
    </row>
    <row r="11" spans="1:17" x14ac:dyDescent="0.2">
      <c r="A11" t="s">
        <v>17</v>
      </c>
      <c r="B11" t="s">
        <v>18</v>
      </c>
      <c r="C11" s="2" t="s">
        <v>19</v>
      </c>
      <c r="D11" s="6">
        <v>126</v>
      </c>
      <c r="E11">
        <v>1</v>
      </c>
      <c r="F11">
        <v>1</v>
      </c>
      <c r="G11" s="2" t="s">
        <v>26</v>
      </c>
      <c r="H11">
        <v>1053.4000000000001</v>
      </c>
      <c r="L11" t="s">
        <v>12</v>
      </c>
      <c r="M11">
        <v>3</v>
      </c>
      <c r="N11" t="s">
        <v>28</v>
      </c>
      <c r="O11">
        <v>400</v>
      </c>
      <c r="P11">
        <v>70</v>
      </c>
      <c r="Q11">
        <v>15</v>
      </c>
    </row>
    <row r="12" spans="1:17" x14ac:dyDescent="0.2">
      <c r="A12" t="s">
        <v>17</v>
      </c>
      <c r="B12" t="s">
        <v>18</v>
      </c>
      <c r="C12" s="2" t="s">
        <v>19</v>
      </c>
      <c r="D12" s="6">
        <v>140</v>
      </c>
      <c r="E12">
        <v>1</v>
      </c>
      <c r="F12">
        <v>1</v>
      </c>
      <c r="G12" s="2" t="s">
        <v>26</v>
      </c>
      <c r="H12">
        <v>1185</v>
      </c>
      <c r="I12">
        <v>0</v>
      </c>
      <c r="J12">
        <f t="shared" si="0"/>
        <v>0</v>
      </c>
      <c r="K12">
        <f t="shared" si="1"/>
        <v>0</v>
      </c>
      <c r="L12" t="s">
        <v>27</v>
      </c>
      <c r="M12">
        <v>3</v>
      </c>
      <c r="N12" t="s">
        <v>28</v>
      </c>
      <c r="O12">
        <v>400</v>
      </c>
      <c r="P12">
        <v>70</v>
      </c>
      <c r="Q12">
        <v>15</v>
      </c>
    </row>
    <row r="13" spans="1:17" x14ac:dyDescent="0.2">
      <c r="A13" t="s">
        <v>17</v>
      </c>
      <c r="B13" t="s">
        <v>18</v>
      </c>
      <c r="C13" s="2" t="s">
        <v>19</v>
      </c>
      <c r="D13" s="6">
        <v>154</v>
      </c>
      <c r="E13">
        <v>1</v>
      </c>
      <c r="F13">
        <v>1</v>
      </c>
      <c r="G13" s="2" t="s">
        <v>26</v>
      </c>
      <c r="H13">
        <v>1368</v>
      </c>
      <c r="L13" t="s">
        <v>12</v>
      </c>
      <c r="M13">
        <v>3</v>
      </c>
      <c r="N13" t="s">
        <v>28</v>
      </c>
      <c r="O13">
        <v>400</v>
      </c>
      <c r="P13">
        <v>70</v>
      </c>
      <c r="Q13">
        <v>15</v>
      </c>
    </row>
    <row r="14" spans="1:17" x14ac:dyDescent="0.2">
      <c r="A14" t="s">
        <v>17</v>
      </c>
      <c r="B14" t="s">
        <v>18</v>
      </c>
      <c r="C14" s="2" t="s">
        <v>19</v>
      </c>
      <c r="D14" s="6">
        <v>168</v>
      </c>
      <c r="E14">
        <v>1</v>
      </c>
      <c r="F14">
        <v>1</v>
      </c>
      <c r="G14" s="2" t="s">
        <v>26</v>
      </c>
      <c r="H14">
        <v>1645</v>
      </c>
      <c r="I14">
        <v>0</v>
      </c>
      <c r="J14">
        <f t="shared" si="0"/>
        <v>0</v>
      </c>
      <c r="K14">
        <f t="shared" si="1"/>
        <v>0</v>
      </c>
      <c r="L14" t="s">
        <v>27</v>
      </c>
      <c r="M14">
        <v>3</v>
      </c>
      <c r="N14" t="s">
        <v>28</v>
      </c>
      <c r="O14">
        <v>400</v>
      </c>
      <c r="P14">
        <v>70</v>
      </c>
      <c r="Q14">
        <v>15</v>
      </c>
    </row>
    <row r="15" spans="1:17" x14ac:dyDescent="0.2">
      <c r="A15" t="s">
        <v>17</v>
      </c>
      <c r="B15" t="s">
        <v>18</v>
      </c>
      <c r="C15" s="2" t="s">
        <v>19</v>
      </c>
      <c r="D15" s="6">
        <v>182</v>
      </c>
      <c r="E15">
        <v>1</v>
      </c>
      <c r="F15">
        <v>1</v>
      </c>
      <c r="G15" s="2" t="s">
        <v>26</v>
      </c>
      <c r="H15">
        <v>1505</v>
      </c>
      <c r="L15" t="s">
        <v>12</v>
      </c>
      <c r="M15">
        <v>3</v>
      </c>
      <c r="N15" t="s">
        <v>28</v>
      </c>
      <c r="O15">
        <v>400</v>
      </c>
      <c r="P15">
        <v>70</v>
      </c>
      <c r="Q15">
        <v>15</v>
      </c>
    </row>
    <row r="16" spans="1:17" x14ac:dyDescent="0.2">
      <c r="A16" t="s">
        <v>17</v>
      </c>
      <c r="B16" t="s">
        <v>18</v>
      </c>
      <c r="C16" s="2" t="s">
        <v>19</v>
      </c>
      <c r="D16" s="6">
        <v>196</v>
      </c>
      <c r="E16">
        <v>1</v>
      </c>
      <c r="F16">
        <v>1</v>
      </c>
      <c r="G16" s="2" t="s">
        <v>26</v>
      </c>
      <c r="H16">
        <v>1620</v>
      </c>
      <c r="I16">
        <v>0</v>
      </c>
      <c r="J16">
        <f t="shared" si="0"/>
        <v>0</v>
      </c>
      <c r="K16">
        <f t="shared" si="1"/>
        <v>0</v>
      </c>
      <c r="L16" t="s">
        <v>27</v>
      </c>
      <c r="M16">
        <v>3</v>
      </c>
      <c r="N16" t="s">
        <v>28</v>
      </c>
      <c r="O16">
        <v>400</v>
      </c>
      <c r="P16">
        <v>70</v>
      </c>
      <c r="Q16">
        <v>15</v>
      </c>
    </row>
    <row r="17" spans="1:17" x14ac:dyDescent="0.2">
      <c r="A17" t="s">
        <v>17</v>
      </c>
      <c r="B17" t="s">
        <v>18</v>
      </c>
      <c r="C17" s="2" t="s">
        <v>19</v>
      </c>
      <c r="D17" s="6">
        <v>210</v>
      </c>
      <c r="E17">
        <v>1</v>
      </c>
      <c r="F17">
        <v>1</v>
      </c>
      <c r="G17" s="2" t="s">
        <v>26</v>
      </c>
      <c r="H17">
        <v>1670</v>
      </c>
      <c r="L17" t="s">
        <v>12</v>
      </c>
      <c r="M17">
        <v>3</v>
      </c>
      <c r="N17" t="s">
        <v>28</v>
      </c>
      <c r="O17">
        <v>400</v>
      </c>
      <c r="P17">
        <v>70</v>
      </c>
      <c r="Q17">
        <v>15</v>
      </c>
    </row>
    <row r="18" spans="1:17" x14ac:dyDescent="0.2">
      <c r="A18" t="s">
        <v>17</v>
      </c>
      <c r="B18" t="s">
        <v>18</v>
      </c>
      <c r="C18" s="2" t="s">
        <v>19</v>
      </c>
      <c r="D18" s="6">
        <v>224</v>
      </c>
      <c r="E18">
        <v>1</v>
      </c>
      <c r="F18">
        <v>1</v>
      </c>
      <c r="G18" s="2" t="s">
        <v>26</v>
      </c>
      <c r="H18">
        <v>1862</v>
      </c>
      <c r="I18">
        <v>0</v>
      </c>
      <c r="J18">
        <f t="shared" si="0"/>
        <v>0</v>
      </c>
      <c r="K18">
        <f t="shared" si="1"/>
        <v>0</v>
      </c>
      <c r="L18" t="s">
        <v>27</v>
      </c>
      <c r="M18">
        <v>3</v>
      </c>
      <c r="N18" t="s">
        <v>28</v>
      </c>
      <c r="O18">
        <v>400</v>
      </c>
      <c r="P18">
        <v>70</v>
      </c>
      <c r="Q18">
        <v>15</v>
      </c>
    </row>
    <row r="19" spans="1:17" x14ac:dyDescent="0.2">
      <c r="A19" t="s">
        <v>17</v>
      </c>
      <c r="B19" t="s">
        <v>18</v>
      </c>
      <c r="C19" s="2" t="s">
        <v>19</v>
      </c>
      <c r="D19" s="6">
        <v>238</v>
      </c>
      <c r="E19">
        <v>1</v>
      </c>
      <c r="F19">
        <v>1</v>
      </c>
      <c r="G19" s="2" t="s">
        <v>26</v>
      </c>
      <c r="H19">
        <v>2103</v>
      </c>
      <c r="L19" t="s">
        <v>12</v>
      </c>
      <c r="M19">
        <v>3</v>
      </c>
      <c r="N19" t="s">
        <v>28</v>
      </c>
      <c r="O19">
        <v>400</v>
      </c>
      <c r="P19">
        <v>70</v>
      </c>
      <c r="Q19">
        <v>15</v>
      </c>
    </row>
    <row r="20" spans="1:17" x14ac:dyDescent="0.2">
      <c r="A20" t="s">
        <v>17</v>
      </c>
      <c r="B20" t="s">
        <v>18</v>
      </c>
      <c r="C20" s="2" t="s">
        <v>19</v>
      </c>
      <c r="D20" s="6">
        <v>252</v>
      </c>
      <c r="E20">
        <v>1</v>
      </c>
      <c r="F20">
        <v>1</v>
      </c>
      <c r="G20" s="2" t="s">
        <v>26</v>
      </c>
      <c r="H20">
        <v>1720</v>
      </c>
      <c r="I20">
        <v>0</v>
      </c>
      <c r="J20">
        <f t="shared" si="0"/>
        <v>0</v>
      </c>
      <c r="K20">
        <v>0</v>
      </c>
      <c r="L20" t="s">
        <v>27</v>
      </c>
      <c r="M20">
        <v>3</v>
      </c>
      <c r="N20" t="s">
        <v>28</v>
      </c>
      <c r="O20">
        <v>400</v>
      </c>
      <c r="P20">
        <v>70</v>
      </c>
      <c r="Q20">
        <v>15</v>
      </c>
    </row>
    <row r="21" spans="1:17" x14ac:dyDescent="0.2">
      <c r="A21" t="s">
        <v>17</v>
      </c>
      <c r="B21" t="s">
        <v>18</v>
      </c>
      <c r="C21" s="2" t="s">
        <v>19</v>
      </c>
      <c r="D21" s="6">
        <v>266</v>
      </c>
      <c r="E21">
        <v>1</v>
      </c>
      <c r="F21">
        <v>1</v>
      </c>
      <c r="G21" s="2" t="s">
        <v>26</v>
      </c>
      <c r="H21">
        <v>1919</v>
      </c>
      <c r="L21" t="s">
        <v>12</v>
      </c>
      <c r="M21">
        <v>3</v>
      </c>
      <c r="N21" t="s">
        <v>28</v>
      </c>
      <c r="O21">
        <v>400</v>
      </c>
      <c r="P21">
        <v>70</v>
      </c>
      <c r="Q21">
        <v>15</v>
      </c>
    </row>
    <row r="22" spans="1:17" x14ac:dyDescent="0.2">
      <c r="A22" t="s">
        <v>17</v>
      </c>
      <c r="B22" t="s">
        <v>18</v>
      </c>
      <c r="C22" s="2" t="s">
        <v>19</v>
      </c>
      <c r="D22" s="6">
        <v>280</v>
      </c>
      <c r="E22">
        <v>1</v>
      </c>
      <c r="F22">
        <v>1</v>
      </c>
      <c r="G22" s="2" t="s">
        <v>26</v>
      </c>
      <c r="H22">
        <v>2027</v>
      </c>
      <c r="I22">
        <v>0</v>
      </c>
      <c r="J22">
        <f t="shared" si="0"/>
        <v>0</v>
      </c>
      <c r="K22">
        <f t="shared" si="1"/>
        <v>0</v>
      </c>
      <c r="L22" t="s">
        <v>27</v>
      </c>
      <c r="M22">
        <v>3</v>
      </c>
      <c r="N22" t="s">
        <v>28</v>
      </c>
      <c r="O22">
        <v>400</v>
      </c>
      <c r="P22">
        <v>70</v>
      </c>
      <c r="Q22">
        <v>15</v>
      </c>
    </row>
    <row r="23" spans="1:17" x14ac:dyDescent="0.2">
      <c r="A23" t="s">
        <v>17</v>
      </c>
      <c r="B23" t="s">
        <v>18</v>
      </c>
      <c r="C23" s="2" t="s">
        <v>19</v>
      </c>
      <c r="D23" s="6">
        <v>294</v>
      </c>
      <c r="E23">
        <v>1</v>
      </c>
      <c r="F23">
        <v>1</v>
      </c>
      <c r="G23" s="2" t="s">
        <v>26</v>
      </c>
      <c r="H23">
        <v>2195</v>
      </c>
      <c r="L23" t="s">
        <v>12</v>
      </c>
      <c r="M23">
        <v>3</v>
      </c>
      <c r="N23" t="s">
        <v>28</v>
      </c>
      <c r="O23">
        <v>400</v>
      </c>
      <c r="P23">
        <v>70</v>
      </c>
      <c r="Q23">
        <v>15</v>
      </c>
    </row>
    <row r="24" spans="1:17" x14ac:dyDescent="0.2">
      <c r="A24" t="s">
        <v>17</v>
      </c>
      <c r="B24" t="s">
        <v>18</v>
      </c>
      <c r="C24" s="2" t="s">
        <v>19</v>
      </c>
      <c r="D24" s="6">
        <v>308</v>
      </c>
      <c r="E24">
        <v>1</v>
      </c>
      <c r="F24">
        <v>1</v>
      </c>
      <c r="G24" s="2" t="s">
        <v>26</v>
      </c>
      <c r="H24">
        <v>2088</v>
      </c>
      <c r="I24">
        <v>0</v>
      </c>
      <c r="J24">
        <f t="shared" si="0"/>
        <v>0</v>
      </c>
      <c r="K24">
        <f t="shared" si="1"/>
        <v>0</v>
      </c>
      <c r="L24" t="s">
        <v>27</v>
      </c>
      <c r="M24">
        <v>3</v>
      </c>
      <c r="N24" t="s">
        <v>28</v>
      </c>
      <c r="O24">
        <v>400</v>
      </c>
      <c r="P24">
        <v>70</v>
      </c>
      <c r="Q24">
        <v>15</v>
      </c>
    </row>
    <row r="25" spans="1:17" x14ac:dyDescent="0.2">
      <c r="A25" t="s">
        <v>17</v>
      </c>
      <c r="B25" t="s">
        <v>18</v>
      </c>
      <c r="C25" s="2" t="s">
        <v>19</v>
      </c>
      <c r="D25" s="6">
        <v>322</v>
      </c>
      <c r="E25">
        <v>1</v>
      </c>
      <c r="F25">
        <v>1</v>
      </c>
      <c r="G25" s="2" t="s">
        <v>26</v>
      </c>
      <c r="H25">
        <v>2327</v>
      </c>
      <c r="L25" t="s">
        <v>12</v>
      </c>
      <c r="M25">
        <v>3</v>
      </c>
      <c r="N25" t="s">
        <v>28</v>
      </c>
      <c r="O25">
        <v>400</v>
      </c>
      <c r="P25">
        <v>70</v>
      </c>
      <c r="Q25">
        <v>15</v>
      </c>
    </row>
    <row r="26" spans="1:17" x14ac:dyDescent="0.2">
      <c r="A26" t="s">
        <v>17</v>
      </c>
      <c r="B26" t="s">
        <v>18</v>
      </c>
      <c r="C26" s="2" t="s">
        <v>19</v>
      </c>
      <c r="D26" s="6">
        <v>336</v>
      </c>
      <c r="E26">
        <v>1</v>
      </c>
      <c r="F26">
        <v>1</v>
      </c>
      <c r="G26" s="2" t="s">
        <v>26</v>
      </c>
      <c r="H26">
        <v>2540</v>
      </c>
      <c r="I26">
        <v>0</v>
      </c>
      <c r="J26">
        <f t="shared" si="0"/>
        <v>0</v>
      </c>
      <c r="K26">
        <f t="shared" si="1"/>
        <v>0</v>
      </c>
      <c r="L26" t="s">
        <v>27</v>
      </c>
      <c r="M26">
        <v>3</v>
      </c>
      <c r="N26" t="s">
        <v>28</v>
      </c>
      <c r="O26">
        <v>400</v>
      </c>
      <c r="P26">
        <v>70</v>
      </c>
      <c r="Q26">
        <v>15</v>
      </c>
    </row>
    <row r="27" spans="1:17" x14ac:dyDescent="0.2">
      <c r="A27" t="s">
        <v>17</v>
      </c>
      <c r="B27" t="s">
        <v>18</v>
      </c>
      <c r="C27" s="2" t="s">
        <v>19</v>
      </c>
      <c r="D27" s="6">
        <v>350</v>
      </c>
      <c r="E27">
        <v>1</v>
      </c>
      <c r="F27">
        <v>1</v>
      </c>
      <c r="G27" s="2" t="s">
        <v>26</v>
      </c>
      <c r="H27">
        <v>2449</v>
      </c>
      <c r="L27" t="s">
        <v>12</v>
      </c>
      <c r="M27">
        <v>3</v>
      </c>
      <c r="N27" t="s">
        <v>28</v>
      </c>
      <c r="O27">
        <v>400</v>
      </c>
      <c r="P27">
        <v>70</v>
      </c>
      <c r="Q27">
        <v>15</v>
      </c>
    </row>
    <row r="28" spans="1:17" s="4" customFormat="1" x14ac:dyDescent="0.2">
      <c r="A28" s="4" t="s">
        <v>17</v>
      </c>
      <c r="B28" s="4" t="s">
        <v>18</v>
      </c>
      <c r="C28" s="5" t="s">
        <v>19</v>
      </c>
      <c r="D28" s="7">
        <v>364</v>
      </c>
      <c r="E28" s="4">
        <v>1</v>
      </c>
      <c r="F28" s="4">
        <v>1</v>
      </c>
      <c r="G28" s="5" t="s">
        <v>26</v>
      </c>
      <c r="H28" s="4">
        <v>2605</v>
      </c>
      <c r="I28" s="4">
        <v>0</v>
      </c>
      <c r="J28" s="4">
        <f t="shared" si="0"/>
        <v>0</v>
      </c>
      <c r="K28" s="4">
        <f t="shared" si="1"/>
        <v>0</v>
      </c>
      <c r="L28" s="4" t="s">
        <v>29</v>
      </c>
      <c r="M28" s="4">
        <v>3</v>
      </c>
      <c r="N28" s="4" t="s">
        <v>28</v>
      </c>
      <c r="O28" s="4">
        <v>400</v>
      </c>
      <c r="P28" s="4">
        <v>70</v>
      </c>
      <c r="Q28" s="4">
        <v>15</v>
      </c>
    </row>
    <row r="29" spans="1:17" x14ac:dyDescent="0.2">
      <c r="A29" t="s">
        <v>17</v>
      </c>
      <c r="B29" t="s">
        <v>18</v>
      </c>
      <c r="C29" s="2" t="s">
        <v>22</v>
      </c>
      <c r="D29" s="6">
        <v>0</v>
      </c>
      <c r="E29">
        <v>1</v>
      </c>
      <c r="F29">
        <v>1</v>
      </c>
      <c r="G29" s="2" t="s">
        <v>25</v>
      </c>
      <c r="H29">
        <v>11.8</v>
      </c>
      <c r="I29">
        <v>0</v>
      </c>
      <c r="J29">
        <f>I29/E29</f>
        <v>0</v>
      </c>
      <c r="K29">
        <f>J29</f>
        <v>0</v>
      </c>
      <c r="L29" t="s">
        <v>27</v>
      </c>
      <c r="M29">
        <v>3</v>
      </c>
      <c r="N29" t="s">
        <v>28</v>
      </c>
      <c r="O29">
        <v>400</v>
      </c>
      <c r="P29">
        <v>70</v>
      </c>
      <c r="Q29">
        <v>15</v>
      </c>
    </row>
    <row r="30" spans="1:17" x14ac:dyDescent="0.2">
      <c r="A30" t="s">
        <v>17</v>
      </c>
      <c r="B30" t="s">
        <v>18</v>
      </c>
      <c r="C30" s="2" t="s">
        <v>22</v>
      </c>
      <c r="D30" s="6">
        <v>14</v>
      </c>
      <c r="E30">
        <v>1</v>
      </c>
      <c r="F30">
        <v>1</v>
      </c>
      <c r="G30" s="2" t="s">
        <v>25</v>
      </c>
      <c r="H30">
        <v>19.8</v>
      </c>
      <c r="L30" t="s">
        <v>12</v>
      </c>
      <c r="M30">
        <v>3</v>
      </c>
      <c r="N30" t="s">
        <v>28</v>
      </c>
      <c r="O30">
        <v>400</v>
      </c>
      <c r="P30">
        <v>70</v>
      </c>
      <c r="Q30">
        <v>15</v>
      </c>
    </row>
    <row r="31" spans="1:17" x14ac:dyDescent="0.2">
      <c r="A31" t="s">
        <v>17</v>
      </c>
      <c r="B31" t="s">
        <v>18</v>
      </c>
      <c r="C31" s="2" t="s">
        <v>22</v>
      </c>
      <c r="D31" s="6">
        <v>28</v>
      </c>
      <c r="E31">
        <v>1</v>
      </c>
      <c r="F31">
        <v>1</v>
      </c>
      <c r="G31" s="2" t="s">
        <v>25</v>
      </c>
      <c r="H31">
        <v>36.5</v>
      </c>
      <c r="I31">
        <v>0</v>
      </c>
      <c r="J31">
        <f t="shared" ref="J31" si="2">I31/E31</f>
        <v>0</v>
      </c>
      <c r="K31">
        <f>K29+J31</f>
        <v>0</v>
      </c>
      <c r="L31" t="s">
        <v>27</v>
      </c>
      <c r="M31">
        <v>3</v>
      </c>
      <c r="N31" t="s">
        <v>28</v>
      </c>
      <c r="O31">
        <v>400</v>
      </c>
      <c r="P31">
        <v>70</v>
      </c>
      <c r="Q31">
        <v>15</v>
      </c>
    </row>
    <row r="32" spans="1:17" x14ac:dyDescent="0.2">
      <c r="A32" t="s">
        <v>17</v>
      </c>
      <c r="B32" t="s">
        <v>18</v>
      </c>
      <c r="C32" s="2" t="s">
        <v>22</v>
      </c>
      <c r="D32" s="6">
        <v>42</v>
      </c>
      <c r="E32">
        <v>1</v>
      </c>
      <c r="F32">
        <v>1</v>
      </c>
      <c r="G32" s="2" t="s">
        <v>25</v>
      </c>
      <c r="H32">
        <v>72.2</v>
      </c>
      <c r="L32" t="s">
        <v>12</v>
      </c>
      <c r="M32">
        <v>3</v>
      </c>
      <c r="N32" t="s">
        <v>28</v>
      </c>
      <c r="O32">
        <v>400</v>
      </c>
      <c r="P32">
        <v>70</v>
      </c>
      <c r="Q32">
        <v>15</v>
      </c>
    </row>
    <row r="33" spans="1:17" x14ac:dyDescent="0.2">
      <c r="A33" t="s">
        <v>17</v>
      </c>
      <c r="B33" t="s">
        <v>18</v>
      </c>
      <c r="C33" s="2" t="s">
        <v>22</v>
      </c>
      <c r="D33" s="6">
        <v>56</v>
      </c>
      <c r="E33">
        <v>1</v>
      </c>
      <c r="F33">
        <v>1</v>
      </c>
      <c r="G33" s="2" t="s">
        <v>25</v>
      </c>
      <c r="H33">
        <v>134</v>
      </c>
      <c r="I33">
        <v>0</v>
      </c>
      <c r="J33">
        <f t="shared" ref="J33" si="3">I33/E33</f>
        <v>0</v>
      </c>
      <c r="K33">
        <f t="shared" ref="K33:K55" si="4">K31+J33</f>
        <v>0</v>
      </c>
      <c r="L33" t="s">
        <v>27</v>
      </c>
      <c r="M33">
        <v>3</v>
      </c>
      <c r="N33" t="s">
        <v>28</v>
      </c>
      <c r="O33">
        <v>400</v>
      </c>
      <c r="P33">
        <v>70</v>
      </c>
      <c r="Q33">
        <v>15</v>
      </c>
    </row>
    <row r="34" spans="1:17" x14ac:dyDescent="0.2">
      <c r="A34" t="s">
        <v>17</v>
      </c>
      <c r="B34" t="s">
        <v>18</v>
      </c>
      <c r="C34" s="2" t="s">
        <v>22</v>
      </c>
      <c r="D34" s="6">
        <v>70</v>
      </c>
      <c r="E34">
        <v>1</v>
      </c>
      <c r="F34">
        <v>1</v>
      </c>
      <c r="G34" s="2" t="s">
        <v>25</v>
      </c>
      <c r="H34">
        <v>292.10000000000002</v>
      </c>
      <c r="L34" t="s">
        <v>12</v>
      </c>
      <c r="M34">
        <v>3</v>
      </c>
      <c r="N34" t="s">
        <v>28</v>
      </c>
      <c r="O34">
        <v>400</v>
      </c>
      <c r="P34">
        <v>70</v>
      </c>
      <c r="Q34">
        <v>15</v>
      </c>
    </row>
    <row r="35" spans="1:17" x14ac:dyDescent="0.2">
      <c r="A35" t="s">
        <v>17</v>
      </c>
      <c r="B35" t="s">
        <v>18</v>
      </c>
      <c r="C35" s="2" t="s">
        <v>22</v>
      </c>
      <c r="D35" s="6">
        <v>84</v>
      </c>
      <c r="E35">
        <v>1</v>
      </c>
      <c r="F35">
        <v>1</v>
      </c>
      <c r="G35" s="2" t="s">
        <v>25</v>
      </c>
      <c r="H35">
        <v>488.8</v>
      </c>
      <c r="I35">
        <v>0</v>
      </c>
      <c r="J35">
        <f t="shared" ref="J35" si="5">I35/E35</f>
        <v>0</v>
      </c>
      <c r="K35">
        <f t="shared" si="4"/>
        <v>0</v>
      </c>
      <c r="L35" t="s">
        <v>27</v>
      </c>
      <c r="M35">
        <v>3</v>
      </c>
      <c r="N35" t="s">
        <v>28</v>
      </c>
      <c r="O35">
        <v>400</v>
      </c>
      <c r="P35">
        <v>70</v>
      </c>
      <c r="Q35">
        <v>15</v>
      </c>
    </row>
    <row r="36" spans="1:17" x14ac:dyDescent="0.2">
      <c r="A36" t="s">
        <v>17</v>
      </c>
      <c r="B36" t="s">
        <v>18</v>
      </c>
      <c r="C36" s="2" t="s">
        <v>22</v>
      </c>
      <c r="D36" s="6">
        <v>98</v>
      </c>
      <c r="E36">
        <v>1</v>
      </c>
      <c r="F36">
        <v>1</v>
      </c>
      <c r="G36" s="2" t="s">
        <v>26</v>
      </c>
      <c r="H36">
        <v>729</v>
      </c>
      <c r="L36" t="s">
        <v>12</v>
      </c>
      <c r="M36">
        <v>3</v>
      </c>
      <c r="N36" t="s">
        <v>28</v>
      </c>
      <c r="O36">
        <v>400</v>
      </c>
      <c r="P36">
        <v>70</v>
      </c>
      <c r="Q36">
        <v>15</v>
      </c>
    </row>
    <row r="37" spans="1:17" x14ac:dyDescent="0.2">
      <c r="A37" t="s">
        <v>17</v>
      </c>
      <c r="B37" t="s">
        <v>18</v>
      </c>
      <c r="C37" s="2" t="s">
        <v>22</v>
      </c>
      <c r="D37" s="6">
        <v>112</v>
      </c>
      <c r="E37">
        <v>1</v>
      </c>
      <c r="F37">
        <v>1</v>
      </c>
      <c r="G37" s="2" t="s">
        <v>26</v>
      </c>
      <c r="H37">
        <v>944.8</v>
      </c>
      <c r="I37">
        <v>0</v>
      </c>
      <c r="J37">
        <f t="shared" ref="J37" si="6">I37/E37</f>
        <v>0</v>
      </c>
      <c r="K37">
        <f t="shared" si="4"/>
        <v>0</v>
      </c>
      <c r="L37" t="s">
        <v>27</v>
      </c>
      <c r="M37">
        <v>3</v>
      </c>
      <c r="N37" t="s">
        <v>28</v>
      </c>
      <c r="O37">
        <v>400</v>
      </c>
      <c r="P37">
        <v>70</v>
      </c>
      <c r="Q37">
        <v>15</v>
      </c>
    </row>
    <row r="38" spans="1:17" x14ac:dyDescent="0.2">
      <c r="A38" t="s">
        <v>17</v>
      </c>
      <c r="B38" t="s">
        <v>18</v>
      </c>
      <c r="C38" s="2" t="s">
        <v>22</v>
      </c>
      <c r="D38" s="6">
        <v>126</v>
      </c>
      <c r="E38">
        <v>1</v>
      </c>
      <c r="F38">
        <v>1</v>
      </c>
      <c r="G38" s="2" t="s">
        <v>26</v>
      </c>
      <c r="H38">
        <v>993.3</v>
      </c>
      <c r="L38" t="s">
        <v>12</v>
      </c>
      <c r="M38">
        <v>3</v>
      </c>
      <c r="N38" t="s">
        <v>28</v>
      </c>
      <c r="O38">
        <v>400</v>
      </c>
      <c r="P38">
        <v>70</v>
      </c>
      <c r="Q38">
        <v>15</v>
      </c>
    </row>
    <row r="39" spans="1:17" x14ac:dyDescent="0.2">
      <c r="A39" t="s">
        <v>17</v>
      </c>
      <c r="B39" t="s">
        <v>18</v>
      </c>
      <c r="C39" s="2" t="s">
        <v>22</v>
      </c>
      <c r="D39" s="6">
        <v>140</v>
      </c>
      <c r="E39">
        <v>1</v>
      </c>
      <c r="F39">
        <v>1</v>
      </c>
      <c r="G39" s="2" t="s">
        <v>26</v>
      </c>
      <c r="H39">
        <v>1198</v>
      </c>
      <c r="I39">
        <v>0</v>
      </c>
      <c r="J39">
        <f t="shared" ref="J39" si="7">I39/E39</f>
        <v>0</v>
      </c>
      <c r="K39">
        <f t="shared" si="4"/>
        <v>0</v>
      </c>
      <c r="L39" t="s">
        <v>27</v>
      </c>
      <c r="M39">
        <v>3</v>
      </c>
      <c r="N39" t="s">
        <v>28</v>
      </c>
      <c r="O39">
        <v>400</v>
      </c>
      <c r="P39">
        <v>70</v>
      </c>
      <c r="Q39">
        <v>15</v>
      </c>
    </row>
    <row r="40" spans="1:17" x14ac:dyDescent="0.2">
      <c r="A40" t="s">
        <v>17</v>
      </c>
      <c r="B40" t="s">
        <v>18</v>
      </c>
      <c r="C40" s="2" t="s">
        <v>22</v>
      </c>
      <c r="D40" s="6">
        <v>154</v>
      </c>
      <c r="E40">
        <v>1</v>
      </c>
      <c r="F40">
        <v>1</v>
      </c>
      <c r="G40" s="2" t="s">
        <v>26</v>
      </c>
      <c r="H40">
        <v>1241.5</v>
      </c>
      <c r="L40" t="s">
        <v>12</v>
      </c>
      <c r="M40">
        <v>3</v>
      </c>
      <c r="N40" t="s">
        <v>28</v>
      </c>
      <c r="O40">
        <v>400</v>
      </c>
      <c r="P40">
        <v>70</v>
      </c>
      <c r="Q40">
        <v>15</v>
      </c>
    </row>
    <row r="41" spans="1:17" x14ac:dyDescent="0.2">
      <c r="A41" t="s">
        <v>17</v>
      </c>
      <c r="B41" t="s">
        <v>18</v>
      </c>
      <c r="C41" s="2" t="s">
        <v>22</v>
      </c>
      <c r="D41" s="6">
        <v>168</v>
      </c>
      <c r="E41">
        <v>1</v>
      </c>
      <c r="F41">
        <v>1</v>
      </c>
      <c r="G41" s="2" t="s">
        <v>26</v>
      </c>
      <c r="H41">
        <v>1695</v>
      </c>
      <c r="I41">
        <v>0</v>
      </c>
      <c r="J41">
        <f t="shared" ref="J41" si="8">I41/E41</f>
        <v>0</v>
      </c>
      <c r="K41">
        <f t="shared" si="4"/>
        <v>0</v>
      </c>
      <c r="L41" t="s">
        <v>27</v>
      </c>
      <c r="M41">
        <v>3</v>
      </c>
      <c r="N41" t="s">
        <v>28</v>
      </c>
      <c r="O41">
        <v>400</v>
      </c>
      <c r="P41">
        <v>70</v>
      </c>
      <c r="Q41">
        <v>15</v>
      </c>
    </row>
    <row r="42" spans="1:17" x14ac:dyDescent="0.2">
      <c r="A42" t="s">
        <v>17</v>
      </c>
      <c r="B42" t="s">
        <v>18</v>
      </c>
      <c r="C42" s="2" t="s">
        <v>22</v>
      </c>
      <c r="D42" s="6">
        <v>182</v>
      </c>
      <c r="E42">
        <v>1</v>
      </c>
      <c r="F42">
        <v>1</v>
      </c>
      <c r="G42" s="2" t="s">
        <v>26</v>
      </c>
      <c r="H42">
        <v>1469</v>
      </c>
      <c r="L42" t="s">
        <v>12</v>
      </c>
      <c r="M42">
        <v>3</v>
      </c>
      <c r="N42" t="s">
        <v>28</v>
      </c>
      <c r="O42">
        <v>400</v>
      </c>
      <c r="P42">
        <v>70</v>
      </c>
      <c r="Q42">
        <v>15</v>
      </c>
    </row>
    <row r="43" spans="1:17" x14ac:dyDescent="0.2">
      <c r="A43" t="s">
        <v>17</v>
      </c>
      <c r="B43" t="s">
        <v>18</v>
      </c>
      <c r="C43" s="2" t="s">
        <v>22</v>
      </c>
      <c r="D43" s="6">
        <v>196</v>
      </c>
      <c r="E43">
        <v>1</v>
      </c>
      <c r="F43">
        <v>1</v>
      </c>
      <c r="G43" s="2" t="s">
        <v>26</v>
      </c>
      <c r="H43">
        <v>1690</v>
      </c>
      <c r="I43">
        <v>0</v>
      </c>
      <c r="J43">
        <f t="shared" ref="J43" si="9">I43/E43</f>
        <v>0</v>
      </c>
      <c r="K43">
        <f t="shared" si="4"/>
        <v>0</v>
      </c>
      <c r="L43" t="s">
        <v>27</v>
      </c>
      <c r="M43">
        <v>3</v>
      </c>
      <c r="N43" t="s">
        <v>28</v>
      </c>
      <c r="O43">
        <v>400</v>
      </c>
      <c r="P43">
        <v>70</v>
      </c>
      <c r="Q43">
        <v>15</v>
      </c>
    </row>
    <row r="44" spans="1:17" x14ac:dyDescent="0.2">
      <c r="A44" t="s">
        <v>17</v>
      </c>
      <c r="B44" t="s">
        <v>18</v>
      </c>
      <c r="C44" s="2" t="s">
        <v>22</v>
      </c>
      <c r="D44" s="6">
        <v>210</v>
      </c>
      <c r="E44">
        <v>1</v>
      </c>
      <c r="F44">
        <v>1</v>
      </c>
      <c r="G44" s="2" t="s">
        <v>26</v>
      </c>
      <c r="H44">
        <v>1808</v>
      </c>
      <c r="L44" t="s">
        <v>12</v>
      </c>
      <c r="M44">
        <v>3</v>
      </c>
      <c r="N44" t="s">
        <v>28</v>
      </c>
      <c r="O44">
        <v>400</v>
      </c>
      <c r="P44">
        <v>70</v>
      </c>
      <c r="Q44">
        <v>15</v>
      </c>
    </row>
    <row r="45" spans="1:17" x14ac:dyDescent="0.2">
      <c r="A45" t="s">
        <v>17</v>
      </c>
      <c r="B45" t="s">
        <v>18</v>
      </c>
      <c r="C45" s="2" t="s">
        <v>22</v>
      </c>
      <c r="D45" s="6">
        <v>224</v>
      </c>
      <c r="E45">
        <v>1</v>
      </c>
      <c r="F45">
        <v>1</v>
      </c>
      <c r="G45" s="2" t="s">
        <v>26</v>
      </c>
      <c r="H45">
        <v>1640</v>
      </c>
      <c r="I45">
        <v>0</v>
      </c>
      <c r="J45">
        <f t="shared" ref="J45" si="10">I45/E45</f>
        <v>0</v>
      </c>
      <c r="K45">
        <f t="shared" si="4"/>
        <v>0</v>
      </c>
      <c r="L45" t="s">
        <v>27</v>
      </c>
      <c r="M45">
        <v>3</v>
      </c>
      <c r="N45" t="s">
        <v>28</v>
      </c>
      <c r="O45">
        <v>400</v>
      </c>
      <c r="P45">
        <v>70</v>
      </c>
      <c r="Q45">
        <v>15</v>
      </c>
    </row>
    <row r="46" spans="1:17" x14ac:dyDescent="0.2">
      <c r="A46" t="s">
        <v>17</v>
      </c>
      <c r="B46" t="s">
        <v>18</v>
      </c>
      <c r="C46" s="2" t="s">
        <v>22</v>
      </c>
      <c r="D46" s="6">
        <v>238</v>
      </c>
      <c r="E46">
        <v>1</v>
      </c>
      <c r="F46">
        <v>1</v>
      </c>
      <c r="G46" s="2" t="s">
        <v>26</v>
      </c>
      <c r="H46">
        <v>1822</v>
      </c>
      <c r="L46" t="s">
        <v>12</v>
      </c>
      <c r="M46">
        <v>3</v>
      </c>
      <c r="N46" t="s">
        <v>28</v>
      </c>
      <c r="O46">
        <v>400</v>
      </c>
      <c r="P46">
        <v>70</v>
      </c>
      <c r="Q46">
        <v>15</v>
      </c>
    </row>
    <row r="47" spans="1:17" x14ac:dyDescent="0.2">
      <c r="A47" t="s">
        <v>17</v>
      </c>
      <c r="B47" t="s">
        <v>18</v>
      </c>
      <c r="C47" s="2" t="s">
        <v>22</v>
      </c>
      <c r="D47" s="6">
        <v>252</v>
      </c>
      <c r="E47">
        <v>1</v>
      </c>
      <c r="F47">
        <v>1</v>
      </c>
      <c r="G47" s="2" t="s">
        <v>26</v>
      </c>
      <c r="H47">
        <v>2148</v>
      </c>
      <c r="I47">
        <v>0</v>
      </c>
      <c r="J47">
        <f t="shared" ref="J47" si="11">I47/E47</f>
        <v>0</v>
      </c>
      <c r="K47">
        <v>0</v>
      </c>
      <c r="L47" t="s">
        <v>27</v>
      </c>
      <c r="M47">
        <v>3</v>
      </c>
      <c r="N47" t="s">
        <v>28</v>
      </c>
      <c r="O47">
        <v>400</v>
      </c>
      <c r="P47">
        <v>70</v>
      </c>
      <c r="Q47">
        <v>15</v>
      </c>
    </row>
    <row r="48" spans="1:17" x14ac:dyDescent="0.2">
      <c r="A48" t="s">
        <v>17</v>
      </c>
      <c r="B48" t="s">
        <v>18</v>
      </c>
      <c r="C48" s="2" t="s">
        <v>22</v>
      </c>
      <c r="D48" s="6">
        <v>266</v>
      </c>
      <c r="E48">
        <v>1</v>
      </c>
      <c r="F48">
        <v>1</v>
      </c>
      <c r="G48" s="2" t="s">
        <v>26</v>
      </c>
      <c r="H48">
        <v>2184</v>
      </c>
      <c r="L48" t="s">
        <v>12</v>
      </c>
      <c r="M48">
        <v>3</v>
      </c>
      <c r="N48" t="s">
        <v>28</v>
      </c>
      <c r="O48">
        <v>400</v>
      </c>
      <c r="P48">
        <v>70</v>
      </c>
      <c r="Q48">
        <v>15</v>
      </c>
    </row>
    <row r="49" spans="1:17" x14ac:dyDescent="0.2">
      <c r="A49" t="s">
        <v>17</v>
      </c>
      <c r="B49" t="s">
        <v>18</v>
      </c>
      <c r="C49" s="2" t="s">
        <v>22</v>
      </c>
      <c r="D49" s="6">
        <v>280</v>
      </c>
      <c r="E49">
        <v>1</v>
      </c>
      <c r="F49">
        <v>1</v>
      </c>
      <c r="G49" s="2" t="s">
        <v>26</v>
      </c>
      <c r="H49">
        <v>2212</v>
      </c>
      <c r="I49">
        <v>0</v>
      </c>
      <c r="J49">
        <f t="shared" ref="J49" si="12">I49/E49</f>
        <v>0</v>
      </c>
      <c r="K49">
        <f t="shared" si="4"/>
        <v>0</v>
      </c>
      <c r="L49" t="s">
        <v>27</v>
      </c>
      <c r="M49">
        <v>3</v>
      </c>
      <c r="N49" t="s">
        <v>28</v>
      </c>
      <c r="O49">
        <v>400</v>
      </c>
      <c r="P49">
        <v>70</v>
      </c>
      <c r="Q49">
        <v>15</v>
      </c>
    </row>
    <row r="50" spans="1:17" x14ac:dyDescent="0.2">
      <c r="A50" t="s">
        <v>17</v>
      </c>
      <c r="B50" t="s">
        <v>18</v>
      </c>
      <c r="C50" s="2" t="s">
        <v>22</v>
      </c>
      <c r="D50" s="6">
        <v>294</v>
      </c>
      <c r="E50">
        <v>1</v>
      </c>
      <c r="F50">
        <v>1</v>
      </c>
      <c r="G50" s="2" t="s">
        <v>26</v>
      </c>
      <c r="H50">
        <v>1790</v>
      </c>
      <c r="L50" t="s">
        <v>12</v>
      </c>
      <c r="M50">
        <v>3</v>
      </c>
      <c r="N50" t="s">
        <v>28</v>
      </c>
      <c r="O50">
        <v>400</v>
      </c>
      <c r="P50">
        <v>70</v>
      </c>
      <c r="Q50">
        <v>15</v>
      </c>
    </row>
    <row r="51" spans="1:17" x14ac:dyDescent="0.2">
      <c r="A51" t="s">
        <v>17</v>
      </c>
      <c r="B51" t="s">
        <v>18</v>
      </c>
      <c r="C51" s="2" t="s">
        <v>22</v>
      </c>
      <c r="D51" s="6">
        <v>308</v>
      </c>
      <c r="E51">
        <v>1</v>
      </c>
      <c r="F51">
        <v>1</v>
      </c>
      <c r="G51" s="2" t="s">
        <v>26</v>
      </c>
      <c r="H51">
        <v>1860</v>
      </c>
      <c r="I51">
        <v>0</v>
      </c>
      <c r="J51">
        <f t="shared" ref="J51" si="13">I51/E51</f>
        <v>0</v>
      </c>
      <c r="K51">
        <f t="shared" si="4"/>
        <v>0</v>
      </c>
      <c r="L51" t="s">
        <v>27</v>
      </c>
      <c r="M51">
        <v>3</v>
      </c>
      <c r="N51" t="s">
        <v>28</v>
      </c>
      <c r="O51">
        <v>400</v>
      </c>
      <c r="P51">
        <v>70</v>
      </c>
      <c r="Q51">
        <v>15</v>
      </c>
    </row>
    <row r="52" spans="1:17" x14ac:dyDescent="0.2">
      <c r="A52" t="s">
        <v>17</v>
      </c>
      <c r="B52" t="s">
        <v>18</v>
      </c>
      <c r="C52" s="2" t="s">
        <v>22</v>
      </c>
      <c r="D52" s="6">
        <v>322</v>
      </c>
      <c r="E52">
        <v>1</v>
      </c>
      <c r="F52">
        <v>1</v>
      </c>
      <c r="G52" s="2" t="s">
        <v>26</v>
      </c>
      <c r="H52">
        <v>1856</v>
      </c>
      <c r="L52" t="s">
        <v>12</v>
      </c>
      <c r="M52">
        <v>3</v>
      </c>
      <c r="N52" t="s">
        <v>28</v>
      </c>
      <c r="O52">
        <v>400</v>
      </c>
      <c r="P52">
        <v>70</v>
      </c>
      <c r="Q52">
        <v>15</v>
      </c>
    </row>
    <row r="53" spans="1:17" x14ac:dyDescent="0.2">
      <c r="A53" t="s">
        <v>17</v>
      </c>
      <c r="B53" t="s">
        <v>18</v>
      </c>
      <c r="C53" s="2" t="s">
        <v>22</v>
      </c>
      <c r="D53" s="6">
        <v>336</v>
      </c>
      <c r="E53">
        <v>1</v>
      </c>
      <c r="F53">
        <v>1</v>
      </c>
      <c r="G53" s="2" t="s">
        <v>26</v>
      </c>
      <c r="H53">
        <v>2540</v>
      </c>
      <c r="I53">
        <v>0</v>
      </c>
      <c r="J53">
        <f t="shared" ref="J53" si="14">I53/E53</f>
        <v>0</v>
      </c>
      <c r="K53">
        <f t="shared" si="4"/>
        <v>0</v>
      </c>
      <c r="L53" t="s">
        <v>27</v>
      </c>
      <c r="M53">
        <v>3</v>
      </c>
      <c r="N53" t="s">
        <v>28</v>
      </c>
      <c r="O53">
        <v>400</v>
      </c>
      <c r="P53">
        <v>70</v>
      </c>
      <c r="Q53">
        <v>15</v>
      </c>
    </row>
    <row r="54" spans="1:17" x14ac:dyDescent="0.2">
      <c r="A54" t="s">
        <v>17</v>
      </c>
      <c r="B54" t="s">
        <v>18</v>
      </c>
      <c r="C54" s="2" t="s">
        <v>22</v>
      </c>
      <c r="D54" s="6">
        <v>350</v>
      </c>
      <c r="E54">
        <v>1</v>
      </c>
      <c r="F54">
        <v>1</v>
      </c>
      <c r="G54" s="2" t="s">
        <v>26</v>
      </c>
      <c r="H54">
        <v>2641</v>
      </c>
      <c r="L54" t="s">
        <v>12</v>
      </c>
      <c r="M54">
        <v>3</v>
      </c>
      <c r="N54" t="s">
        <v>28</v>
      </c>
      <c r="O54">
        <v>400</v>
      </c>
      <c r="P54">
        <v>70</v>
      </c>
      <c r="Q54">
        <v>15</v>
      </c>
    </row>
    <row r="55" spans="1:17" s="4" customFormat="1" x14ac:dyDescent="0.2">
      <c r="A55" s="4" t="s">
        <v>17</v>
      </c>
      <c r="B55" s="4" t="s">
        <v>18</v>
      </c>
      <c r="C55" s="5" t="s">
        <v>22</v>
      </c>
      <c r="D55" s="7">
        <v>364</v>
      </c>
      <c r="E55" s="4">
        <v>1</v>
      </c>
      <c r="F55" s="4">
        <v>1</v>
      </c>
      <c r="G55" s="5" t="s">
        <v>26</v>
      </c>
      <c r="H55" s="4">
        <v>2600</v>
      </c>
      <c r="I55" s="4">
        <v>0</v>
      </c>
      <c r="J55" s="4">
        <f t="shared" ref="J55" si="15">I55/E55</f>
        <v>0</v>
      </c>
      <c r="K55" s="4">
        <f t="shared" si="4"/>
        <v>0</v>
      </c>
      <c r="L55" s="4" t="s">
        <v>29</v>
      </c>
      <c r="M55" s="4">
        <v>3</v>
      </c>
      <c r="N55" s="4" t="s">
        <v>28</v>
      </c>
      <c r="O55" s="4">
        <v>400</v>
      </c>
      <c r="P55" s="4">
        <v>70</v>
      </c>
      <c r="Q55" s="4">
        <v>15</v>
      </c>
    </row>
    <row r="56" spans="1:17" x14ac:dyDescent="0.2">
      <c r="A56" t="s">
        <v>17</v>
      </c>
      <c r="B56" t="s">
        <v>18</v>
      </c>
      <c r="C56" s="2" t="s">
        <v>23</v>
      </c>
      <c r="D56" s="6">
        <v>0</v>
      </c>
      <c r="E56">
        <v>1</v>
      </c>
      <c r="F56">
        <v>1</v>
      </c>
      <c r="G56" s="2" t="s">
        <v>25</v>
      </c>
      <c r="H56">
        <v>10.5</v>
      </c>
      <c r="I56">
        <v>0</v>
      </c>
      <c r="J56">
        <f>I56/E56</f>
        <v>0</v>
      </c>
      <c r="K56">
        <f>J56</f>
        <v>0</v>
      </c>
      <c r="L56" t="s">
        <v>27</v>
      </c>
      <c r="M56">
        <v>3</v>
      </c>
      <c r="N56" t="s">
        <v>28</v>
      </c>
      <c r="O56">
        <v>400</v>
      </c>
      <c r="P56">
        <v>70</v>
      </c>
      <c r="Q56">
        <v>15</v>
      </c>
    </row>
    <row r="57" spans="1:17" x14ac:dyDescent="0.2">
      <c r="A57" t="s">
        <v>17</v>
      </c>
      <c r="B57" t="s">
        <v>18</v>
      </c>
      <c r="C57" s="2" t="s">
        <v>23</v>
      </c>
      <c r="D57" s="6">
        <v>14</v>
      </c>
      <c r="E57">
        <v>1</v>
      </c>
      <c r="F57">
        <v>1</v>
      </c>
      <c r="G57" s="2" t="s">
        <v>25</v>
      </c>
      <c r="H57">
        <v>27.6</v>
      </c>
      <c r="L57" t="s">
        <v>12</v>
      </c>
      <c r="M57">
        <v>3</v>
      </c>
      <c r="N57" t="s">
        <v>28</v>
      </c>
      <c r="O57">
        <v>400</v>
      </c>
      <c r="P57">
        <v>70</v>
      </c>
      <c r="Q57">
        <v>15</v>
      </c>
    </row>
    <row r="58" spans="1:17" x14ac:dyDescent="0.2">
      <c r="A58" t="s">
        <v>17</v>
      </c>
      <c r="B58" t="s">
        <v>18</v>
      </c>
      <c r="C58" s="2" t="s">
        <v>23</v>
      </c>
      <c r="D58" s="6">
        <v>28</v>
      </c>
      <c r="E58">
        <v>1</v>
      </c>
      <c r="F58">
        <v>1</v>
      </c>
      <c r="G58" s="2" t="s">
        <v>25</v>
      </c>
      <c r="H58">
        <v>64.599999999999994</v>
      </c>
      <c r="I58">
        <v>0</v>
      </c>
      <c r="J58">
        <f t="shared" ref="J58" si="16">I58/E58</f>
        <v>0</v>
      </c>
      <c r="K58">
        <f>K56+J58</f>
        <v>0</v>
      </c>
      <c r="L58" t="s">
        <v>27</v>
      </c>
      <c r="M58">
        <v>3</v>
      </c>
      <c r="N58" t="s">
        <v>28</v>
      </c>
      <c r="O58">
        <v>400</v>
      </c>
      <c r="P58">
        <v>70</v>
      </c>
      <c r="Q58">
        <v>15</v>
      </c>
    </row>
    <row r="59" spans="1:17" x14ac:dyDescent="0.2">
      <c r="A59" t="s">
        <v>17</v>
      </c>
      <c r="B59" t="s">
        <v>18</v>
      </c>
      <c r="C59" s="2" t="s">
        <v>23</v>
      </c>
      <c r="D59" s="6">
        <v>42</v>
      </c>
      <c r="E59">
        <v>1</v>
      </c>
      <c r="F59">
        <v>1</v>
      </c>
      <c r="G59" s="2" t="s">
        <v>25</v>
      </c>
      <c r="H59">
        <v>135.69999999999999</v>
      </c>
      <c r="L59" t="s">
        <v>12</v>
      </c>
      <c r="M59">
        <v>3</v>
      </c>
      <c r="N59" t="s">
        <v>28</v>
      </c>
      <c r="O59">
        <v>400</v>
      </c>
      <c r="P59">
        <v>70</v>
      </c>
      <c r="Q59">
        <v>15</v>
      </c>
    </row>
    <row r="60" spans="1:17" x14ac:dyDescent="0.2">
      <c r="A60" t="s">
        <v>17</v>
      </c>
      <c r="B60" t="s">
        <v>18</v>
      </c>
      <c r="C60" s="2" t="s">
        <v>23</v>
      </c>
      <c r="D60" s="6">
        <v>56</v>
      </c>
      <c r="E60">
        <v>1</v>
      </c>
      <c r="F60">
        <v>1</v>
      </c>
      <c r="G60" s="2" t="s">
        <v>25</v>
      </c>
      <c r="H60">
        <v>292</v>
      </c>
      <c r="I60">
        <v>0</v>
      </c>
      <c r="J60">
        <f t="shared" ref="J60" si="17">I60/E60</f>
        <v>0</v>
      </c>
      <c r="K60">
        <f t="shared" ref="K60:K82" si="18">K58+J60</f>
        <v>0</v>
      </c>
      <c r="L60" t="s">
        <v>27</v>
      </c>
      <c r="M60">
        <v>3</v>
      </c>
      <c r="N60" t="s">
        <v>28</v>
      </c>
      <c r="O60">
        <v>400</v>
      </c>
      <c r="P60">
        <v>70</v>
      </c>
      <c r="Q60">
        <v>15</v>
      </c>
    </row>
    <row r="61" spans="1:17" x14ac:dyDescent="0.2">
      <c r="A61" t="s">
        <v>17</v>
      </c>
      <c r="B61" t="s">
        <v>18</v>
      </c>
      <c r="C61" s="2" t="s">
        <v>23</v>
      </c>
      <c r="D61" s="6">
        <v>70</v>
      </c>
      <c r="E61">
        <v>1</v>
      </c>
      <c r="F61">
        <v>1</v>
      </c>
      <c r="G61" s="2" t="s">
        <v>25</v>
      </c>
      <c r="H61">
        <v>574.5</v>
      </c>
      <c r="L61" t="s">
        <v>12</v>
      </c>
      <c r="M61">
        <v>3</v>
      </c>
      <c r="N61" t="s">
        <v>28</v>
      </c>
      <c r="O61">
        <v>400</v>
      </c>
      <c r="P61">
        <v>70</v>
      </c>
      <c r="Q61">
        <v>15</v>
      </c>
    </row>
    <row r="62" spans="1:17" x14ac:dyDescent="0.2">
      <c r="A62" t="s">
        <v>17</v>
      </c>
      <c r="B62" t="s">
        <v>18</v>
      </c>
      <c r="C62" s="2" t="s">
        <v>23</v>
      </c>
      <c r="D62" s="6">
        <v>84</v>
      </c>
      <c r="E62">
        <v>1</v>
      </c>
      <c r="F62">
        <v>1</v>
      </c>
      <c r="G62" s="2" t="s">
        <v>26</v>
      </c>
      <c r="H62">
        <v>674</v>
      </c>
      <c r="I62">
        <v>0</v>
      </c>
      <c r="J62">
        <f t="shared" ref="J62" si="19">I62/E62</f>
        <v>0</v>
      </c>
      <c r="K62">
        <f t="shared" si="18"/>
        <v>0</v>
      </c>
      <c r="L62" t="s">
        <v>27</v>
      </c>
      <c r="M62">
        <v>3</v>
      </c>
      <c r="N62" t="s">
        <v>28</v>
      </c>
      <c r="O62">
        <v>400</v>
      </c>
      <c r="P62">
        <v>70</v>
      </c>
      <c r="Q62">
        <v>15</v>
      </c>
    </row>
    <row r="63" spans="1:17" x14ac:dyDescent="0.2">
      <c r="A63" t="s">
        <v>17</v>
      </c>
      <c r="B63" t="s">
        <v>18</v>
      </c>
      <c r="C63" s="2" t="s">
        <v>23</v>
      </c>
      <c r="D63" s="6">
        <v>98</v>
      </c>
      <c r="E63">
        <v>1</v>
      </c>
      <c r="F63">
        <v>1</v>
      </c>
      <c r="G63" s="2" t="s">
        <v>26</v>
      </c>
      <c r="H63">
        <v>980</v>
      </c>
      <c r="L63" t="s">
        <v>12</v>
      </c>
      <c r="M63">
        <v>3</v>
      </c>
      <c r="N63" t="s">
        <v>28</v>
      </c>
      <c r="O63">
        <v>400</v>
      </c>
      <c r="P63">
        <v>70</v>
      </c>
      <c r="Q63">
        <v>15</v>
      </c>
    </row>
    <row r="64" spans="1:17" x14ac:dyDescent="0.2">
      <c r="A64" t="s">
        <v>17</v>
      </c>
      <c r="B64" t="s">
        <v>18</v>
      </c>
      <c r="C64" s="2" t="s">
        <v>23</v>
      </c>
      <c r="D64" s="6">
        <v>112</v>
      </c>
      <c r="E64">
        <v>1</v>
      </c>
      <c r="F64">
        <v>1</v>
      </c>
      <c r="G64" s="2" t="s">
        <v>26</v>
      </c>
      <c r="H64">
        <v>1343</v>
      </c>
      <c r="I64">
        <v>0</v>
      </c>
      <c r="J64">
        <f t="shared" ref="J64" si="20">I64/E64</f>
        <v>0</v>
      </c>
      <c r="K64">
        <f t="shared" si="18"/>
        <v>0</v>
      </c>
      <c r="L64" t="s">
        <v>27</v>
      </c>
      <c r="M64">
        <v>3</v>
      </c>
      <c r="N64" t="s">
        <v>28</v>
      </c>
      <c r="O64">
        <v>400</v>
      </c>
      <c r="P64">
        <v>70</v>
      </c>
      <c r="Q64">
        <v>15</v>
      </c>
    </row>
    <row r="65" spans="1:17" x14ac:dyDescent="0.2">
      <c r="A65" t="s">
        <v>17</v>
      </c>
      <c r="B65" t="s">
        <v>18</v>
      </c>
      <c r="C65" s="2" t="s">
        <v>23</v>
      </c>
      <c r="D65" s="6">
        <v>126</v>
      </c>
      <c r="E65">
        <v>1</v>
      </c>
      <c r="F65">
        <v>1</v>
      </c>
      <c r="G65" s="2" t="s">
        <v>26</v>
      </c>
      <c r="H65">
        <v>1324.7</v>
      </c>
      <c r="L65" t="s">
        <v>12</v>
      </c>
      <c r="M65">
        <v>3</v>
      </c>
      <c r="N65" t="s">
        <v>28</v>
      </c>
      <c r="O65">
        <v>400</v>
      </c>
      <c r="P65">
        <v>70</v>
      </c>
      <c r="Q65">
        <v>15</v>
      </c>
    </row>
    <row r="66" spans="1:17" x14ac:dyDescent="0.2">
      <c r="A66" t="s">
        <v>17</v>
      </c>
      <c r="B66" t="s">
        <v>18</v>
      </c>
      <c r="C66" s="2" t="s">
        <v>23</v>
      </c>
      <c r="D66" s="6">
        <v>140</v>
      </c>
      <c r="E66">
        <v>1</v>
      </c>
      <c r="F66">
        <v>1</v>
      </c>
      <c r="G66" s="2" t="s">
        <v>26</v>
      </c>
      <c r="H66">
        <v>1615</v>
      </c>
      <c r="I66">
        <v>0</v>
      </c>
      <c r="J66">
        <f t="shared" ref="J66" si="21">I66/E66</f>
        <v>0</v>
      </c>
      <c r="K66">
        <f t="shared" si="18"/>
        <v>0</v>
      </c>
      <c r="L66" t="s">
        <v>27</v>
      </c>
      <c r="M66">
        <v>3</v>
      </c>
      <c r="N66" t="s">
        <v>28</v>
      </c>
      <c r="O66">
        <v>400</v>
      </c>
      <c r="P66">
        <v>70</v>
      </c>
      <c r="Q66">
        <v>15</v>
      </c>
    </row>
    <row r="67" spans="1:17" x14ac:dyDescent="0.2">
      <c r="A67" t="s">
        <v>17</v>
      </c>
      <c r="B67" t="s">
        <v>18</v>
      </c>
      <c r="C67" s="2" t="s">
        <v>23</v>
      </c>
      <c r="D67" s="6">
        <v>154</v>
      </c>
      <c r="E67">
        <v>1</v>
      </c>
      <c r="F67">
        <v>1</v>
      </c>
      <c r="G67" s="2" t="s">
        <v>26</v>
      </c>
      <c r="H67">
        <v>1403.9</v>
      </c>
      <c r="L67" t="s">
        <v>12</v>
      </c>
      <c r="M67">
        <v>3</v>
      </c>
      <c r="N67" t="s">
        <v>28</v>
      </c>
      <c r="O67">
        <v>400</v>
      </c>
      <c r="P67">
        <v>70</v>
      </c>
      <c r="Q67">
        <v>15</v>
      </c>
    </row>
    <row r="68" spans="1:17" x14ac:dyDescent="0.2">
      <c r="A68" t="s">
        <v>17</v>
      </c>
      <c r="B68" t="s">
        <v>18</v>
      </c>
      <c r="C68" s="2" t="s">
        <v>23</v>
      </c>
      <c r="D68" s="6">
        <v>168</v>
      </c>
      <c r="E68">
        <v>1</v>
      </c>
      <c r="F68">
        <v>1</v>
      </c>
      <c r="G68" s="2" t="s">
        <v>26</v>
      </c>
      <c r="H68">
        <v>1996</v>
      </c>
      <c r="I68">
        <v>0</v>
      </c>
      <c r="J68">
        <f t="shared" ref="J68" si="22">I68/E68</f>
        <v>0</v>
      </c>
      <c r="K68">
        <f t="shared" si="18"/>
        <v>0</v>
      </c>
      <c r="L68" t="s">
        <v>27</v>
      </c>
      <c r="M68">
        <v>3</v>
      </c>
      <c r="N68" t="s">
        <v>28</v>
      </c>
      <c r="O68">
        <v>400</v>
      </c>
      <c r="P68">
        <v>70</v>
      </c>
      <c r="Q68">
        <v>15</v>
      </c>
    </row>
    <row r="69" spans="1:17" x14ac:dyDescent="0.2">
      <c r="A69" t="s">
        <v>17</v>
      </c>
      <c r="B69" t="s">
        <v>18</v>
      </c>
      <c r="C69" s="2" t="s">
        <v>23</v>
      </c>
      <c r="D69" s="6">
        <v>182</v>
      </c>
      <c r="E69">
        <v>1</v>
      </c>
      <c r="F69">
        <v>1</v>
      </c>
      <c r="G69" s="2" t="s">
        <v>26</v>
      </c>
      <c r="H69">
        <v>1758</v>
      </c>
      <c r="L69" t="s">
        <v>12</v>
      </c>
      <c r="M69">
        <v>3</v>
      </c>
      <c r="N69" t="s">
        <v>28</v>
      </c>
      <c r="O69">
        <v>400</v>
      </c>
      <c r="P69">
        <v>70</v>
      </c>
      <c r="Q69">
        <v>15</v>
      </c>
    </row>
    <row r="70" spans="1:17" x14ac:dyDescent="0.2">
      <c r="A70" t="s">
        <v>17</v>
      </c>
      <c r="B70" t="s">
        <v>18</v>
      </c>
      <c r="C70" s="2" t="s">
        <v>23</v>
      </c>
      <c r="D70" s="6">
        <v>196</v>
      </c>
      <c r="E70">
        <v>1</v>
      </c>
      <c r="F70">
        <v>1</v>
      </c>
      <c r="G70" s="2" t="s">
        <v>26</v>
      </c>
      <c r="H70">
        <v>1586</v>
      </c>
      <c r="I70">
        <v>0</v>
      </c>
      <c r="J70">
        <f t="shared" ref="J70" si="23">I70/E70</f>
        <v>0</v>
      </c>
      <c r="K70">
        <f t="shared" si="18"/>
        <v>0</v>
      </c>
      <c r="L70" t="s">
        <v>27</v>
      </c>
      <c r="M70">
        <v>3</v>
      </c>
      <c r="N70" t="s">
        <v>28</v>
      </c>
      <c r="O70">
        <v>400</v>
      </c>
      <c r="P70">
        <v>70</v>
      </c>
      <c r="Q70">
        <v>15</v>
      </c>
    </row>
    <row r="71" spans="1:17" x14ac:dyDescent="0.2">
      <c r="A71" t="s">
        <v>17</v>
      </c>
      <c r="B71" t="s">
        <v>18</v>
      </c>
      <c r="C71" s="2" t="s">
        <v>23</v>
      </c>
      <c r="D71" s="6">
        <v>210</v>
      </c>
      <c r="E71">
        <v>1</v>
      </c>
      <c r="F71">
        <v>1</v>
      </c>
      <c r="G71" s="2" t="s">
        <v>26</v>
      </c>
      <c r="H71">
        <v>1840</v>
      </c>
      <c r="L71" t="s">
        <v>12</v>
      </c>
      <c r="M71">
        <v>3</v>
      </c>
      <c r="N71" t="s">
        <v>28</v>
      </c>
      <c r="O71">
        <v>400</v>
      </c>
      <c r="P71">
        <v>70</v>
      </c>
      <c r="Q71">
        <v>15</v>
      </c>
    </row>
    <row r="72" spans="1:17" x14ac:dyDescent="0.2">
      <c r="A72" t="s">
        <v>17</v>
      </c>
      <c r="B72" t="s">
        <v>18</v>
      </c>
      <c r="C72" s="2" t="s">
        <v>23</v>
      </c>
      <c r="D72" s="6">
        <v>224</v>
      </c>
      <c r="E72">
        <v>1</v>
      </c>
      <c r="F72">
        <v>1</v>
      </c>
      <c r="G72" s="2" t="s">
        <v>26</v>
      </c>
      <c r="H72">
        <v>2087.1</v>
      </c>
      <c r="I72">
        <v>0</v>
      </c>
      <c r="J72">
        <f t="shared" ref="J72" si="24">I72/E72</f>
        <v>0</v>
      </c>
      <c r="K72">
        <f t="shared" si="18"/>
        <v>0</v>
      </c>
      <c r="L72" t="s">
        <v>27</v>
      </c>
      <c r="M72">
        <v>3</v>
      </c>
      <c r="N72" t="s">
        <v>28</v>
      </c>
      <c r="O72">
        <v>400</v>
      </c>
      <c r="P72">
        <v>70</v>
      </c>
      <c r="Q72">
        <v>15</v>
      </c>
    </row>
    <row r="73" spans="1:17" x14ac:dyDescent="0.2">
      <c r="A73" t="s">
        <v>17</v>
      </c>
      <c r="B73" t="s">
        <v>18</v>
      </c>
      <c r="C73" s="2" t="s">
        <v>23</v>
      </c>
      <c r="D73" s="6">
        <v>238</v>
      </c>
      <c r="E73">
        <v>1</v>
      </c>
      <c r="F73">
        <v>1</v>
      </c>
      <c r="G73" s="2" t="s">
        <v>26</v>
      </c>
      <c r="H73">
        <v>2323</v>
      </c>
      <c r="L73" t="s">
        <v>12</v>
      </c>
      <c r="M73">
        <v>3</v>
      </c>
      <c r="N73" t="s">
        <v>28</v>
      </c>
      <c r="O73">
        <v>400</v>
      </c>
      <c r="P73">
        <v>70</v>
      </c>
      <c r="Q73">
        <v>15</v>
      </c>
    </row>
    <row r="74" spans="1:17" x14ac:dyDescent="0.2">
      <c r="A74" t="s">
        <v>17</v>
      </c>
      <c r="B74" t="s">
        <v>18</v>
      </c>
      <c r="C74" s="2" t="s">
        <v>23</v>
      </c>
      <c r="D74" s="6">
        <v>252</v>
      </c>
      <c r="E74">
        <v>1</v>
      </c>
      <c r="F74">
        <v>1</v>
      </c>
      <c r="G74" s="2" t="s">
        <v>26</v>
      </c>
      <c r="H74">
        <v>2437</v>
      </c>
      <c r="I74">
        <v>0</v>
      </c>
      <c r="J74">
        <f t="shared" ref="J74" si="25">I74/E74</f>
        <v>0</v>
      </c>
      <c r="K74">
        <v>0</v>
      </c>
      <c r="L74" t="s">
        <v>27</v>
      </c>
      <c r="M74">
        <v>3</v>
      </c>
      <c r="N74" t="s">
        <v>28</v>
      </c>
      <c r="O74">
        <v>400</v>
      </c>
      <c r="P74">
        <v>70</v>
      </c>
      <c r="Q74">
        <v>15</v>
      </c>
    </row>
    <row r="75" spans="1:17" x14ac:dyDescent="0.2">
      <c r="A75" t="s">
        <v>17</v>
      </c>
      <c r="B75" t="s">
        <v>18</v>
      </c>
      <c r="C75" s="2" t="s">
        <v>23</v>
      </c>
      <c r="D75" s="6">
        <v>266</v>
      </c>
      <c r="E75">
        <v>1</v>
      </c>
      <c r="F75">
        <v>1</v>
      </c>
      <c r="G75" s="2" t="s">
        <v>26</v>
      </c>
      <c r="H75">
        <v>2621</v>
      </c>
      <c r="L75" t="s">
        <v>12</v>
      </c>
      <c r="M75">
        <v>3</v>
      </c>
      <c r="N75" t="s">
        <v>28</v>
      </c>
      <c r="O75">
        <v>400</v>
      </c>
      <c r="P75">
        <v>70</v>
      </c>
      <c r="Q75">
        <v>15</v>
      </c>
    </row>
    <row r="76" spans="1:17" x14ac:dyDescent="0.2">
      <c r="A76" t="s">
        <v>17</v>
      </c>
      <c r="B76" t="s">
        <v>18</v>
      </c>
      <c r="C76" s="2" t="s">
        <v>23</v>
      </c>
      <c r="D76" s="6">
        <v>280</v>
      </c>
      <c r="E76">
        <v>1</v>
      </c>
      <c r="F76">
        <v>1</v>
      </c>
      <c r="G76" s="2" t="s">
        <v>26</v>
      </c>
      <c r="H76">
        <v>2444</v>
      </c>
      <c r="I76">
        <v>0</v>
      </c>
      <c r="J76">
        <f t="shared" ref="J76" si="26">I76/E76</f>
        <v>0</v>
      </c>
      <c r="K76">
        <f t="shared" si="18"/>
        <v>0</v>
      </c>
      <c r="L76" t="s">
        <v>27</v>
      </c>
      <c r="M76">
        <v>3</v>
      </c>
      <c r="N76" t="s">
        <v>28</v>
      </c>
      <c r="O76">
        <v>400</v>
      </c>
      <c r="P76">
        <v>70</v>
      </c>
      <c r="Q76">
        <v>15</v>
      </c>
    </row>
    <row r="77" spans="1:17" x14ac:dyDescent="0.2">
      <c r="A77" t="s">
        <v>17</v>
      </c>
      <c r="B77" t="s">
        <v>18</v>
      </c>
      <c r="C77" s="2" t="s">
        <v>23</v>
      </c>
      <c r="D77" s="6">
        <v>294</v>
      </c>
      <c r="E77">
        <v>1</v>
      </c>
      <c r="F77">
        <v>1</v>
      </c>
      <c r="G77" s="2" t="s">
        <v>26</v>
      </c>
      <c r="H77">
        <v>2567</v>
      </c>
      <c r="L77" t="s">
        <v>12</v>
      </c>
      <c r="M77">
        <v>3</v>
      </c>
      <c r="N77" t="s">
        <v>28</v>
      </c>
      <c r="O77">
        <v>400</v>
      </c>
      <c r="P77">
        <v>70</v>
      </c>
      <c r="Q77">
        <v>15</v>
      </c>
    </row>
    <row r="78" spans="1:17" x14ac:dyDescent="0.2">
      <c r="A78" t="s">
        <v>17</v>
      </c>
      <c r="B78" t="s">
        <v>18</v>
      </c>
      <c r="C78" s="2" t="s">
        <v>23</v>
      </c>
      <c r="D78" s="6">
        <v>308</v>
      </c>
      <c r="E78">
        <v>1</v>
      </c>
      <c r="F78">
        <v>1</v>
      </c>
      <c r="G78" s="2" t="s">
        <v>26</v>
      </c>
      <c r="H78">
        <v>2678</v>
      </c>
      <c r="I78">
        <v>0</v>
      </c>
      <c r="J78">
        <f t="shared" ref="J78" si="27">I78/E78</f>
        <v>0</v>
      </c>
      <c r="K78">
        <f t="shared" si="18"/>
        <v>0</v>
      </c>
      <c r="L78" t="s">
        <v>27</v>
      </c>
      <c r="M78">
        <v>3</v>
      </c>
      <c r="N78" t="s">
        <v>28</v>
      </c>
      <c r="O78">
        <v>400</v>
      </c>
      <c r="P78">
        <v>70</v>
      </c>
      <c r="Q78">
        <v>15</v>
      </c>
    </row>
    <row r="79" spans="1:17" x14ac:dyDescent="0.2">
      <c r="A79" t="s">
        <v>17</v>
      </c>
      <c r="B79" t="s">
        <v>18</v>
      </c>
      <c r="C79" s="2" t="s">
        <v>23</v>
      </c>
      <c r="D79" s="6">
        <v>322</v>
      </c>
      <c r="E79">
        <v>1</v>
      </c>
      <c r="F79">
        <v>1</v>
      </c>
      <c r="G79" s="2" t="s">
        <v>26</v>
      </c>
      <c r="H79">
        <v>2765</v>
      </c>
      <c r="L79" t="s">
        <v>12</v>
      </c>
      <c r="M79">
        <v>3</v>
      </c>
      <c r="N79" t="s">
        <v>28</v>
      </c>
      <c r="O79">
        <v>400</v>
      </c>
      <c r="P79">
        <v>70</v>
      </c>
      <c r="Q79">
        <v>15</v>
      </c>
    </row>
    <row r="80" spans="1:17" x14ac:dyDescent="0.2">
      <c r="A80" t="s">
        <v>17</v>
      </c>
      <c r="B80" t="s">
        <v>18</v>
      </c>
      <c r="C80" s="2" t="s">
        <v>23</v>
      </c>
      <c r="D80" s="6">
        <v>336</v>
      </c>
      <c r="E80">
        <v>1</v>
      </c>
      <c r="F80">
        <v>1</v>
      </c>
      <c r="G80" s="2" t="s">
        <v>26</v>
      </c>
      <c r="H80">
        <v>2868</v>
      </c>
      <c r="I80">
        <v>0</v>
      </c>
      <c r="J80">
        <f t="shared" ref="J80" si="28">I80/E80</f>
        <v>0</v>
      </c>
      <c r="K80">
        <f t="shared" si="18"/>
        <v>0</v>
      </c>
      <c r="L80" t="s">
        <v>27</v>
      </c>
      <c r="M80">
        <v>3</v>
      </c>
      <c r="N80" t="s">
        <v>28</v>
      </c>
      <c r="O80">
        <v>400</v>
      </c>
      <c r="P80">
        <v>70</v>
      </c>
      <c r="Q80">
        <v>15</v>
      </c>
    </row>
    <row r="81" spans="1:17" x14ac:dyDescent="0.2">
      <c r="A81" t="s">
        <v>17</v>
      </c>
      <c r="B81" t="s">
        <v>18</v>
      </c>
      <c r="C81" s="2" t="s">
        <v>23</v>
      </c>
      <c r="D81" s="6">
        <v>350</v>
      </c>
      <c r="E81">
        <v>1</v>
      </c>
      <c r="F81">
        <v>1</v>
      </c>
      <c r="G81" s="2" t="s">
        <v>26</v>
      </c>
      <c r="H81">
        <v>3077</v>
      </c>
      <c r="L81" t="s">
        <v>12</v>
      </c>
      <c r="M81">
        <v>3</v>
      </c>
      <c r="N81" t="s">
        <v>28</v>
      </c>
      <c r="O81">
        <v>400</v>
      </c>
      <c r="P81">
        <v>70</v>
      </c>
      <c r="Q81">
        <v>15</v>
      </c>
    </row>
    <row r="82" spans="1:17" s="4" customFormat="1" x14ac:dyDescent="0.2">
      <c r="A82" s="4" t="s">
        <v>17</v>
      </c>
      <c r="B82" s="4" t="s">
        <v>18</v>
      </c>
      <c r="C82" s="5" t="s">
        <v>23</v>
      </c>
      <c r="D82" s="7">
        <v>364</v>
      </c>
      <c r="E82" s="4">
        <v>1</v>
      </c>
      <c r="F82" s="4">
        <v>1</v>
      </c>
      <c r="G82" s="5" t="s">
        <v>26</v>
      </c>
      <c r="H82" s="4">
        <v>3110</v>
      </c>
      <c r="I82" s="4">
        <v>0</v>
      </c>
      <c r="J82" s="4">
        <f t="shared" ref="J82:J83" si="29">I82/E82</f>
        <v>0</v>
      </c>
      <c r="K82" s="4">
        <f t="shared" si="18"/>
        <v>0</v>
      </c>
      <c r="L82" s="4" t="s">
        <v>29</v>
      </c>
      <c r="M82" s="4">
        <v>3</v>
      </c>
      <c r="N82" s="4" t="s">
        <v>28</v>
      </c>
      <c r="O82" s="4">
        <v>400</v>
      </c>
      <c r="P82" s="4">
        <v>70</v>
      </c>
      <c r="Q82" s="4">
        <v>15</v>
      </c>
    </row>
    <row r="83" spans="1:17" x14ac:dyDescent="0.2">
      <c r="A83" t="s">
        <v>17</v>
      </c>
      <c r="B83" t="s">
        <v>24</v>
      </c>
      <c r="C83" s="2" t="s">
        <v>30</v>
      </c>
      <c r="D83" s="6">
        <v>0</v>
      </c>
      <c r="E83">
        <v>1</v>
      </c>
      <c r="F83">
        <v>1</v>
      </c>
      <c r="G83" s="2" t="s">
        <v>25</v>
      </c>
      <c r="H83">
        <v>14.2</v>
      </c>
      <c r="I83">
        <v>0</v>
      </c>
      <c r="J83">
        <f t="shared" si="29"/>
        <v>0</v>
      </c>
      <c r="K83">
        <v>0</v>
      </c>
      <c r="L83" t="s">
        <v>27</v>
      </c>
      <c r="M83">
        <v>3</v>
      </c>
      <c r="N83" t="s">
        <v>28</v>
      </c>
      <c r="O83">
        <v>400</v>
      </c>
      <c r="P83">
        <v>70</v>
      </c>
      <c r="Q83">
        <v>15</v>
      </c>
    </row>
    <row r="84" spans="1:17" x14ac:dyDescent="0.2">
      <c r="A84" t="s">
        <v>17</v>
      </c>
      <c r="B84" t="s">
        <v>24</v>
      </c>
      <c r="C84" s="2" t="s">
        <v>30</v>
      </c>
      <c r="D84" s="6">
        <v>14</v>
      </c>
      <c r="E84">
        <v>1</v>
      </c>
      <c r="F84">
        <v>1</v>
      </c>
      <c r="G84" s="2" t="s">
        <v>25</v>
      </c>
      <c r="H84">
        <v>39</v>
      </c>
      <c r="L84" t="s">
        <v>12</v>
      </c>
      <c r="M84">
        <v>3</v>
      </c>
      <c r="N84" t="s">
        <v>28</v>
      </c>
      <c r="O84">
        <v>400</v>
      </c>
      <c r="P84">
        <v>70</v>
      </c>
      <c r="Q84">
        <v>15</v>
      </c>
    </row>
    <row r="85" spans="1:17" x14ac:dyDescent="0.2">
      <c r="A85" t="s">
        <v>17</v>
      </c>
      <c r="B85" t="s">
        <v>24</v>
      </c>
      <c r="C85" s="2" t="s">
        <v>30</v>
      </c>
      <c r="D85" s="6">
        <v>28</v>
      </c>
      <c r="E85">
        <v>1</v>
      </c>
      <c r="F85">
        <v>1</v>
      </c>
      <c r="G85" s="2" t="s">
        <v>25</v>
      </c>
      <c r="H85">
        <v>78.2</v>
      </c>
      <c r="I85">
        <v>0</v>
      </c>
      <c r="J85">
        <f t="shared" ref="J85" si="30">I85/E85</f>
        <v>0</v>
      </c>
      <c r="K85">
        <f t="shared" ref="K85" si="31">K83+J85</f>
        <v>0</v>
      </c>
      <c r="L85" t="s">
        <v>27</v>
      </c>
      <c r="M85">
        <v>3</v>
      </c>
      <c r="N85" t="s">
        <v>28</v>
      </c>
      <c r="O85">
        <v>400</v>
      </c>
      <c r="P85">
        <v>70</v>
      </c>
      <c r="Q85">
        <v>15</v>
      </c>
    </row>
    <row r="86" spans="1:17" x14ac:dyDescent="0.2">
      <c r="A86" t="s">
        <v>17</v>
      </c>
      <c r="B86" t="s">
        <v>24</v>
      </c>
      <c r="C86" s="2" t="s">
        <v>30</v>
      </c>
      <c r="D86" s="6">
        <v>42</v>
      </c>
      <c r="E86">
        <v>1</v>
      </c>
      <c r="F86">
        <v>1</v>
      </c>
      <c r="G86" s="2" t="s">
        <v>25</v>
      </c>
      <c r="H86">
        <v>139.4</v>
      </c>
      <c r="L86" t="s">
        <v>12</v>
      </c>
      <c r="M86">
        <v>3</v>
      </c>
      <c r="N86" t="s">
        <v>28</v>
      </c>
      <c r="O86">
        <v>400</v>
      </c>
      <c r="P86">
        <v>70</v>
      </c>
      <c r="Q86">
        <v>15</v>
      </c>
    </row>
    <row r="87" spans="1:17" x14ac:dyDescent="0.2">
      <c r="A87" t="s">
        <v>17</v>
      </c>
      <c r="B87" t="s">
        <v>24</v>
      </c>
      <c r="C87" s="2" t="s">
        <v>30</v>
      </c>
      <c r="D87" s="6">
        <v>56</v>
      </c>
      <c r="E87">
        <v>1</v>
      </c>
      <c r="F87">
        <v>1</v>
      </c>
      <c r="G87" s="2" t="s">
        <v>25</v>
      </c>
      <c r="H87">
        <v>337</v>
      </c>
      <c r="I87">
        <v>0</v>
      </c>
      <c r="J87">
        <f t="shared" ref="J87" si="32">I87/E87</f>
        <v>0</v>
      </c>
      <c r="K87">
        <v>0</v>
      </c>
      <c r="L87" t="s">
        <v>27</v>
      </c>
      <c r="M87">
        <v>3</v>
      </c>
      <c r="N87" t="s">
        <v>28</v>
      </c>
      <c r="O87">
        <v>400</v>
      </c>
      <c r="P87">
        <v>70</v>
      </c>
      <c r="Q87">
        <v>15</v>
      </c>
    </row>
    <row r="88" spans="1:17" x14ac:dyDescent="0.2">
      <c r="A88" t="s">
        <v>17</v>
      </c>
      <c r="B88" t="s">
        <v>24</v>
      </c>
      <c r="C88" s="2" t="s">
        <v>30</v>
      </c>
      <c r="D88" s="6">
        <v>70</v>
      </c>
      <c r="E88">
        <v>1</v>
      </c>
      <c r="F88">
        <v>1</v>
      </c>
      <c r="G88" s="2" t="s">
        <v>25</v>
      </c>
      <c r="H88">
        <v>610</v>
      </c>
      <c r="L88" t="s">
        <v>12</v>
      </c>
      <c r="M88">
        <v>3</v>
      </c>
      <c r="N88" t="s">
        <v>28</v>
      </c>
      <c r="O88">
        <v>400</v>
      </c>
      <c r="P88">
        <v>70</v>
      </c>
      <c r="Q88">
        <v>15</v>
      </c>
    </row>
    <row r="89" spans="1:17" x14ac:dyDescent="0.2">
      <c r="A89" t="s">
        <v>17</v>
      </c>
      <c r="B89" t="s">
        <v>24</v>
      </c>
      <c r="C89" s="2" t="s">
        <v>30</v>
      </c>
      <c r="D89" s="6">
        <v>84</v>
      </c>
      <c r="E89">
        <v>1</v>
      </c>
      <c r="F89">
        <v>1</v>
      </c>
      <c r="G89" s="2" t="s">
        <v>26</v>
      </c>
      <c r="H89">
        <v>740</v>
      </c>
      <c r="I89">
        <v>0</v>
      </c>
      <c r="J89">
        <f t="shared" ref="J89" si="33">I89/E89</f>
        <v>0</v>
      </c>
      <c r="K89">
        <f t="shared" ref="K89" si="34">K87+J89</f>
        <v>0</v>
      </c>
      <c r="L89" t="s">
        <v>27</v>
      </c>
      <c r="M89">
        <v>3</v>
      </c>
      <c r="N89" t="s">
        <v>28</v>
      </c>
      <c r="O89">
        <v>400</v>
      </c>
      <c r="P89">
        <v>70</v>
      </c>
      <c r="Q89">
        <v>15</v>
      </c>
    </row>
    <row r="90" spans="1:17" s="4" customFormat="1" x14ac:dyDescent="0.2">
      <c r="A90" s="4" t="s">
        <v>17</v>
      </c>
      <c r="B90" s="4" t="s">
        <v>24</v>
      </c>
      <c r="C90" s="5" t="s">
        <v>30</v>
      </c>
      <c r="D90" s="7">
        <v>98</v>
      </c>
      <c r="E90" s="4">
        <v>1</v>
      </c>
      <c r="F90" s="4">
        <v>1</v>
      </c>
      <c r="G90" s="5" t="s">
        <v>26</v>
      </c>
      <c r="H90" s="4">
        <v>1098</v>
      </c>
      <c r="L90" s="4" t="s">
        <v>12</v>
      </c>
      <c r="M90" s="4">
        <v>3</v>
      </c>
      <c r="N90" s="4" t="s">
        <v>28</v>
      </c>
      <c r="O90" s="4">
        <v>400</v>
      </c>
      <c r="P90" s="4">
        <v>70</v>
      </c>
      <c r="Q90" s="4">
        <v>15</v>
      </c>
    </row>
    <row r="91" spans="1:17" x14ac:dyDescent="0.2">
      <c r="A91" t="s">
        <v>17</v>
      </c>
      <c r="B91" t="s">
        <v>24</v>
      </c>
      <c r="C91" s="2" t="s">
        <v>20</v>
      </c>
      <c r="D91" s="6">
        <v>0</v>
      </c>
      <c r="E91">
        <v>1</v>
      </c>
      <c r="F91">
        <v>1</v>
      </c>
      <c r="G91" s="2" t="s">
        <v>25</v>
      </c>
      <c r="H91">
        <v>13.8</v>
      </c>
      <c r="I91">
        <v>0</v>
      </c>
      <c r="J91">
        <f t="shared" ref="J91" si="35">I91/E91</f>
        <v>0</v>
      </c>
      <c r="K91">
        <v>0</v>
      </c>
      <c r="L91" t="s">
        <v>27</v>
      </c>
      <c r="M91">
        <v>3</v>
      </c>
      <c r="N91" t="s">
        <v>28</v>
      </c>
      <c r="O91">
        <v>400</v>
      </c>
      <c r="P91">
        <v>70</v>
      </c>
      <c r="Q91">
        <v>15</v>
      </c>
    </row>
    <row r="92" spans="1:17" x14ac:dyDescent="0.2">
      <c r="A92" t="s">
        <v>17</v>
      </c>
      <c r="B92" t="s">
        <v>24</v>
      </c>
      <c r="C92" s="2" t="s">
        <v>20</v>
      </c>
      <c r="D92" s="6">
        <v>14</v>
      </c>
      <c r="E92">
        <v>1</v>
      </c>
      <c r="F92">
        <v>1</v>
      </c>
      <c r="G92" s="2" t="s">
        <v>25</v>
      </c>
      <c r="H92">
        <v>25</v>
      </c>
      <c r="L92" t="s">
        <v>12</v>
      </c>
      <c r="M92">
        <v>3</v>
      </c>
      <c r="N92" t="s">
        <v>28</v>
      </c>
      <c r="O92">
        <v>400</v>
      </c>
      <c r="P92">
        <v>70</v>
      </c>
      <c r="Q92">
        <v>15</v>
      </c>
    </row>
    <row r="93" spans="1:17" x14ac:dyDescent="0.2">
      <c r="A93" t="s">
        <v>17</v>
      </c>
      <c r="B93" t="s">
        <v>24</v>
      </c>
      <c r="C93" s="2" t="s">
        <v>20</v>
      </c>
      <c r="D93" s="6">
        <v>28</v>
      </c>
      <c r="E93">
        <v>1</v>
      </c>
      <c r="F93">
        <v>1</v>
      </c>
      <c r="G93" s="2" t="s">
        <v>25</v>
      </c>
      <c r="H93">
        <v>36.5</v>
      </c>
      <c r="I93">
        <v>0</v>
      </c>
      <c r="J93">
        <f t="shared" ref="J93" si="36">I93/E93</f>
        <v>0</v>
      </c>
      <c r="K93">
        <f t="shared" ref="K93" si="37">K91+J93</f>
        <v>0</v>
      </c>
      <c r="L93" t="s">
        <v>27</v>
      </c>
      <c r="M93">
        <v>3</v>
      </c>
      <c r="N93" t="s">
        <v>28</v>
      </c>
      <c r="O93">
        <v>400</v>
      </c>
      <c r="P93">
        <v>70</v>
      </c>
      <c r="Q93">
        <v>15</v>
      </c>
    </row>
    <row r="94" spans="1:17" x14ac:dyDescent="0.2">
      <c r="A94" t="s">
        <v>17</v>
      </c>
      <c r="B94" t="s">
        <v>24</v>
      </c>
      <c r="C94" s="2" t="s">
        <v>20</v>
      </c>
      <c r="D94" s="6">
        <v>42</v>
      </c>
      <c r="E94">
        <v>1</v>
      </c>
      <c r="F94">
        <v>1</v>
      </c>
      <c r="G94" s="2" t="s">
        <v>25</v>
      </c>
      <c r="H94">
        <v>64.400000000000006</v>
      </c>
      <c r="L94" t="s">
        <v>12</v>
      </c>
      <c r="M94">
        <v>3</v>
      </c>
      <c r="N94" t="s">
        <v>28</v>
      </c>
      <c r="O94">
        <v>400</v>
      </c>
      <c r="P94">
        <v>70</v>
      </c>
      <c r="Q94">
        <v>15</v>
      </c>
    </row>
    <row r="95" spans="1:17" x14ac:dyDescent="0.2">
      <c r="A95" t="s">
        <v>17</v>
      </c>
      <c r="B95" t="s">
        <v>24</v>
      </c>
      <c r="C95" s="2" t="s">
        <v>20</v>
      </c>
      <c r="D95" s="6">
        <v>56</v>
      </c>
      <c r="E95">
        <v>1</v>
      </c>
      <c r="F95">
        <v>1</v>
      </c>
      <c r="G95" s="2" t="s">
        <v>25</v>
      </c>
      <c r="H95">
        <v>140.19999999999999</v>
      </c>
      <c r="I95">
        <v>0</v>
      </c>
      <c r="J95">
        <f t="shared" ref="J95" si="38">I95/E95</f>
        <v>0</v>
      </c>
      <c r="K95">
        <v>0</v>
      </c>
      <c r="L95" t="s">
        <v>27</v>
      </c>
      <c r="M95">
        <v>3</v>
      </c>
      <c r="N95" t="s">
        <v>28</v>
      </c>
      <c r="O95">
        <v>400</v>
      </c>
      <c r="P95">
        <v>70</v>
      </c>
      <c r="Q95">
        <v>15</v>
      </c>
    </row>
    <row r="96" spans="1:17" x14ac:dyDescent="0.2">
      <c r="A96" t="s">
        <v>17</v>
      </c>
      <c r="B96" t="s">
        <v>24</v>
      </c>
      <c r="C96" s="2" t="s">
        <v>20</v>
      </c>
      <c r="D96" s="6">
        <v>70</v>
      </c>
      <c r="E96">
        <v>1</v>
      </c>
      <c r="F96">
        <v>1</v>
      </c>
      <c r="G96" s="2" t="s">
        <v>25</v>
      </c>
      <c r="H96">
        <v>351.1</v>
      </c>
      <c r="L96" t="s">
        <v>12</v>
      </c>
      <c r="M96">
        <v>3</v>
      </c>
      <c r="N96" t="s">
        <v>28</v>
      </c>
      <c r="O96">
        <v>400</v>
      </c>
      <c r="P96">
        <v>70</v>
      </c>
      <c r="Q96">
        <v>15</v>
      </c>
    </row>
    <row r="97" spans="1:17" x14ac:dyDescent="0.2">
      <c r="A97" t="s">
        <v>17</v>
      </c>
      <c r="B97" t="s">
        <v>24</v>
      </c>
      <c r="C97" s="2" t="s">
        <v>20</v>
      </c>
      <c r="D97" s="6">
        <v>84</v>
      </c>
      <c r="E97">
        <v>1</v>
      </c>
      <c r="F97">
        <v>1</v>
      </c>
      <c r="G97" s="2" t="s">
        <v>25</v>
      </c>
      <c r="H97">
        <v>436.4</v>
      </c>
      <c r="I97">
        <v>0</v>
      </c>
      <c r="J97">
        <f t="shared" ref="J97" si="39">I97/E97</f>
        <v>0</v>
      </c>
      <c r="K97">
        <f t="shared" ref="K97" si="40">K95+J97</f>
        <v>0</v>
      </c>
      <c r="L97" t="s">
        <v>27</v>
      </c>
      <c r="M97">
        <v>3</v>
      </c>
      <c r="N97" t="s">
        <v>28</v>
      </c>
      <c r="O97">
        <v>400</v>
      </c>
      <c r="P97">
        <v>70</v>
      </c>
      <c r="Q97">
        <v>15</v>
      </c>
    </row>
    <row r="98" spans="1:17" s="4" customFormat="1" x14ac:dyDescent="0.2">
      <c r="A98" s="4" t="s">
        <v>17</v>
      </c>
      <c r="B98" s="4" t="s">
        <v>24</v>
      </c>
      <c r="C98" s="5" t="s">
        <v>20</v>
      </c>
      <c r="D98" s="7">
        <v>98</v>
      </c>
      <c r="E98" s="4">
        <v>1</v>
      </c>
      <c r="F98" s="4">
        <v>1</v>
      </c>
      <c r="G98" s="5" t="s">
        <v>26</v>
      </c>
      <c r="H98" s="4">
        <v>683.8</v>
      </c>
      <c r="L98" s="4" t="s">
        <v>12</v>
      </c>
      <c r="M98" s="4">
        <v>3</v>
      </c>
      <c r="N98" s="4" t="s">
        <v>28</v>
      </c>
      <c r="O98" s="4">
        <v>400</v>
      </c>
      <c r="P98" s="4">
        <v>70</v>
      </c>
      <c r="Q98" s="4">
        <v>15</v>
      </c>
    </row>
    <row r="99" spans="1:17" x14ac:dyDescent="0.2">
      <c r="A99" t="s">
        <v>17</v>
      </c>
      <c r="B99" t="s">
        <v>24</v>
      </c>
      <c r="C99" s="2" t="s">
        <v>21</v>
      </c>
      <c r="D99" s="6">
        <v>0</v>
      </c>
      <c r="E99">
        <v>1</v>
      </c>
      <c r="F99">
        <v>1</v>
      </c>
      <c r="G99" s="2" t="s">
        <v>25</v>
      </c>
      <c r="H99">
        <v>13.3</v>
      </c>
      <c r="I99">
        <v>0</v>
      </c>
      <c r="J99">
        <f t="shared" ref="J99" si="41">I99/E99</f>
        <v>0</v>
      </c>
      <c r="K99">
        <v>0</v>
      </c>
      <c r="L99" t="s">
        <v>27</v>
      </c>
      <c r="M99">
        <v>3</v>
      </c>
      <c r="N99" t="s">
        <v>28</v>
      </c>
      <c r="O99">
        <v>400</v>
      </c>
      <c r="P99">
        <v>70</v>
      </c>
      <c r="Q99">
        <v>15</v>
      </c>
    </row>
    <row r="100" spans="1:17" x14ac:dyDescent="0.2">
      <c r="A100" t="s">
        <v>17</v>
      </c>
      <c r="B100" t="s">
        <v>24</v>
      </c>
      <c r="C100" s="2" t="s">
        <v>21</v>
      </c>
      <c r="D100" s="6">
        <v>14</v>
      </c>
      <c r="E100">
        <v>1</v>
      </c>
      <c r="F100">
        <v>1</v>
      </c>
      <c r="G100" s="2" t="s">
        <v>25</v>
      </c>
      <c r="H100">
        <v>23.3</v>
      </c>
      <c r="L100" t="s">
        <v>12</v>
      </c>
      <c r="M100">
        <v>3</v>
      </c>
      <c r="N100" t="s">
        <v>28</v>
      </c>
      <c r="O100">
        <v>400</v>
      </c>
      <c r="P100">
        <v>70</v>
      </c>
      <c r="Q100">
        <v>15</v>
      </c>
    </row>
    <row r="101" spans="1:17" x14ac:dyDescent="0.2">
      <c r="A101" t="s">
        <v>17</v>
      </c>
      <c r="B101" t="s">
        <v>24</v>
      </c>
      <c r="C101" s="2" t="s">
        <v>21</v>
      </c>
      <c r="D101" s="6">
        <v>28</v>
      </c>
      <c r="E101">
        <v>1</v>
      </c>
      <c r="F101">
        <v>1</v>
      </c>
      <c r="G101" s="2" t="s">
        <v>25</v>
      </c>
      <c r="H101">
        <v>40.700000000000003</v>
      </c>
      <c r="I101">
        <v>0</v>
      </c>
      <c r="J101">
        <f t="shared" ref="J101" si="42">I101/E101</f>
        <v>0</v>
      </c>
      <c r="K101">
        <f t="shared" ref="K101" si="43">K99+J101</f>
        <v>0</v>
      </c>
      <c r="L101" t="s">
        <v>27</v>
      </c>
      <c r="M101">
        <v>3</v>
      </c>
      <c r="N101" t="s">
        <v>28</v>
      </c>
      <c r="O101">
        <v>400</v>
      </c>
      <c r="P101">
        <v>70</v>
      </c>
      <c r="Q101">
        <v>15</v>
      </c>
    </row>
    <row r="102" spans="1:17" x14ac:dyDescent="0.2">
      <c r="A102" t="s">
        <v>17</v>
      </c>
      <c r="B102" t="s">
        <v>24</v>
      </c>
      <c r="C102" s="2" t="s">
        <v>21</v>
      </c>
      <c r="D102" s="6">
        <v>42</v>
      </c>
      <c r="E102">
        <v>1</v>
      </c>
      <c r="F102">
        <v>1</v>
      </c>
      <c r="G102" s="2" t="s">
        <v>25</v>
      </c>
      <c r="H102">
        <v>56</v>
      </c>
      <c r="L102" t="s">
        <v>12</v>
      </c>
      <c r="M102">
        <v>3</v>
      </c>
      <c r="N102" t="s">
        <v>28</v>
      </c>
      <c r="O102">
        <v>400</v>
      </c>
      <c r="P102">
        <v>70</v>
      </c>
      <c r="Q102">
        <v>15</v>
      </c>
    </row>
    <row r="103" spans="1:17" x14ac:dyDescent="0.2">
      <c r="A103" t="s">
        <v>17</v>
      </c>
      <c r="B103" t="s">
        <v>24</v>
      </c>
      <c r="C103" s="2" t="s">
        <v>21</v>
      </c>
      <c r="D103" s="6">
        <v>56</v>
      </c>
      <c r="E103">
        <v>1</v>
      </c>
      <c r="F103">
        <v>1</v>
      </c>
      <c r="G103" s="2" t="s">
        <v>25</v>
      </c>
      <c r="H103">
        <v>130.80000000000001</v>
      </c>
      <c r="I103">
        <v>0</v>
      </c>
      <c r="J103">
        <f t="shared" ref="J103" si="44">I103/E103</f>
        <v>0</v>
      </c>
      <c r="K103">
        <v>0</v>
      </c>
      <c r="L103" t="s">
        <v>27</v>
      </c>
      <c r="M103">
        <v>3</v>
      </c>
      <c r="N103" t="s">
        <v>28</v>
      </c>
      <c r="O103">
        <v>400</v>
      </c>
      <c r="P103">
        <v>70</v>
      </c>
      <c r="Q103">
        <v>15</v>
      </c>
    </row>
    <row r="104" spans="1:17" x14ac:dyDescent="0.2">
      <c r="A104" t="s">
        <v>17</v>
      </c>
      <c r="B104" t="s">
        <v>24</v>
      </c>
      <c r="C104" s="2" t="s">
        <v>21</v>
      </c>
      <c r="D104" s="6">
        <v>70</v>
      </c>
      <c r="E104">
        <v>1</v>
      </c>
      <c r="F104">
        <v>1</v>
      </c>
      <c r="G104" s="2" t="s">
        <v>25</v>
      </c>
      <c r="H104">
        <v>298.3</v>
      </c>
      <c r="L104" t="s">
        <v>12</v>
      </c>
      <c r="M104">
        <v>3</v>
      </c>
      <c r="N104" t="s">
        <v>28</v>
      </c>
      <c r="O104">
        <v>400</v>
      </c>
      <c r="P104">
        <v>70</v>
      </c>
      <c r="Q104">
        <v>15</v>
      </c>
    </row>
    <row r="105" spans="1:17" x14ac:dyDescent="0.2">
      <c r="A105" t="s">
        <v>17</v>
      </c>
      <c r="B105" t="s">
        <v>24</v>
      </c>
      <c r="C105" s="2" t="s">
        <v>21</v>
      </c>
      <c r="D105" s="6">
        <v>84</v>
      </c>
      <c r="E105">
        <v>1</v>
      </c>
      <c r="F105">
        <v>1</v>
      </c>
      <c r="G105" s="2" t="s">
        <v>25</v>
      </c>
      <c r="H105">
        <v>391</v>
      </c>
      <c r="I105">
        <v>0</v>
      </c>
      <c r="J105">
        <f t="shared" ref="J105" si="45">I105/E105</f>
        <v>0</v>
      </c>
      <c r="K105">
        <f t="shared" ref="K105" si="46">K103+J105</f>
        <v>0</v>
      </c>
      <c r="L105" t="s">
        <v>27</v>
      </c>
      <c r="M105">
        <v>3</v>
      </c>
      <c r="N105" t="s">
        <v>28</v>
      </c>
      <c r="O105">
        <v>400</v>
      </c>
      <c r="P105">
        <v>70</v>
      </c>
      <c r="Q105">
        <v>15</v>
      </c>
    </row>
    <row r="106" spans="1:17" s="4" customFormat="1" x14ac:dyDescent="0.2">
      <c r="A106" s="4" t="s">
        <v>17</v>
      </c>
      <c r="B106" s="4" t="s">
        <v>24</v>
      </c>
      <c r="C106" s="5" t="s">
        <v>21</v>
      </c>
      <c r="D106" s="7">
        <v>98</v>
      </c>
      <c r="E106" s="4">
        <v>1</v>
      </c>
      <c r="F106" s="4">
        <v>1</v>
      </c>
      <c r="G106" s="5" t="s">
        <v>26</v>
      </c>
      <c r="H106" s="4">
        <v>660</v>
      </c>
      <c r="L106" s="4" t="s">
        <v>12</v>
      </c>
      <c r="M106" s="4">
        <v>3</v>
      </c>
      <c r="N106" s="4" t="s">
        <v>28</v>
      </c>
      <c r="O106" s="4">
        <v>400</v>
      </c>
      <c r="P106" s="4">
        <v>70</v>
      </c>
      <c r="Q106" s="4">
        <v>15</v>
      </c>
    </row>
    <row r="107" spans="1:17" x14ac:dyDescent="0.2">
      <c r="A107" t="s">
        <v>17</v>
      </c>
      <c r="B107" t="s">
        <v>24</v>
      </c>
      <c r="C107" s="2" t="s">
        <v>67</v>
      </c>
      <c r="D107" s="2">
        <v>0</v>
      </c>
      <c r="E107">
        <v>1</v>
      </c>
      <c r="F107">
        <v>1</v>
      </c>
      <c r="G107" s="2" t="s">
        <v>25</v>
      </c>
      <c r="H107">
        <v>11.5</v>
      </c>
      <c r="I107">
        <v>0</v>
      </c>
      <c r="J107">
        <v>0</v>
      </c>
      <c r="K107">
        <v>0</v>
      </c>
      <c r="L107" t="s">
        <v>27</v>
      </c>
      <c r="M107">
        <v>3</v>
      </c>
      <c r="N107" t="s">
        <v>28</v>
      </c>
      <c r="O107">
        <v>400</v>
      </c>
      <c r="P107">
        <v>70</v>
      </c>
      <c r="Q107">
        <v>15</v>
      </c>
    </row>
    <row r="108" spans="1:17" x14ac:dyDescent="0.2">
      <c r="A108" t="s">
        <v>17</v>
      </c>
      <c r="B108" t="s">
        <v>24</v>
      </c>
      <c r="C108" s="2" t="s">
        <v>67</v>
      </c>
      <c r="D108" s="2">
        <v>14</v>
      </c>
      <c r="E108">
        <v>1</v>
      </c>
      <c r="F108">
        <v>1</v>
      </c>
      <c r="G108" s="2" t="s">
        <v>25</v>
      </c>
      <c r="H108">
        <v>23.1</v>
      </c>
      <c r="L108" t="s">
        <v>12</v>
      </c>
      <c r="M108">
        <v>3</v>
      </c>
      <c r="N108" t="s">
        <v>28</v>
      </c>
      <c r="O108">
        <v>400</v>
      </c>
      <c r="P108">
        <v>70</v>
      </c>
      <c r="Q108">
        <v>15</v>
      </c>
    </row>
    <row r="109" spans="1:17" x14ac:dyDescent="0.2">
      <c r="A109" t="s">
        <v>17</v>
      </c>
      <c r="B109" t="s">
        <v>24</v>
      </c>
      <c r="C109" s="2" t="s">
        <v>67</v>
      </c>
      <c r="D109" s="2">
        <v>28</v>
      </c>
      <c r="E109">
        <v>1</v>
      </c>
      <c r="F109">
        <v>1</v>
      </c>
      <c r="G109" s="2" t="s">
        <v>25</v>
      </c>
      <c r="H109">
        <v>55.3</v>
      </c>
      <c r="I109">
        <v>0</v>
      </c>
      <c r="J109">
        <v>0</v>
      </c>
      <c r="K109">
        <v>0</v>
      </c>
      <c r="L109" t="s">
        <v>27</v>
      </c>
      <c r="M109">
        <v>3</v>
      </c>
      <c r="N109" t="s">
        <v>28</v>
      </c>
      <c r="O109">
        <v>400</v>
      </c>
      <c r="P109">
        <v>70</v>
      </c>
      <c r="Q109">
        <v>15</v>
      </c>
    </row>
    <row r="110" spans="1:17" x14ac:dyDescent="0.2">
      <c r="A110" t="s">
        <v>17</v>
      </c>
      <c r="B110" t="s">
        <v>24</v>
      </c>
      <c r="C110" s="2" t="s">
        <v>67</v>
      </c>
      <c r="D110" s="2">
        <v>42</v>
      </c>
      <c r="E110">
        <v>1</v>
      </c>
      <c r="F110">
        <v>1</v>
      </c>
      <c r="G110" s="2" t="s">
        <v>25</v>
      </c>
      <c r="H110">
        <v>97.8</v>
      </c>
      <c r="L110" t="s">
        <v>12</v>
      </c>
      <c r="M110">
        <v>3</v>
      </c>
      <c r="N110" t="s">
        <v>28</v>
      </c>
      <c r="O110">
        <v>400</v>
      </c>
      <c r="P110">
        <v>70</v>
      </c>
      <c r="Q110">
        <v>15</v>
      </c>
    </row>
    <row r="111" spans="1:17" x14ac:dyDescent="0.2">
      <c r="A111" t="s">
        <v>17</v>
      </c>
      <c r="B111" t="s">
        <v>24</v>
      </c>
      <c r="C111" s="2" t="s">
        <v>67</v>
      </c>
      <c r="D111" s="2">
        <v>56</v>
      </c>
      <c r="E111">
        <v>1</v>
      </c>
      <c r="F111">
        <v>1</v>
      </c>
      <c r="G111" s="2" t="s">
        <v>25</v>
      </c>
      <c r="H111">
        <v>193</v>
      </c>
      <c r="I111">
        <v>0</v>
      </c>
      <c r="J111">
        <v>0</v>
      </c>
      <c r="K111">
        <v>0</v>
      </c>
      <c r="L111" t="s">
        <v>27</v>
      </c>
      <c r="M111">
        <v>3</v>
      </c>
      <c r="N111" t="s">
        <v>28</v>
      </c>
      <c r="O111">
        <v>400</v>
      </c>
      <c r="P111">
        <v>70</v>
      </c>
      <c r="Q111">
        <v>15</v>
      </c>
    </row>
    <row r="112" spans="1:17" x14ac:dyDescent="0.2">
      <c r="A112" t="s">
        <v>17</v>
      </c>
      <c r="B112" t="s">
        <v>24</v>
      </c>
      <c r="C112" s="2" t="s">
        <v>67</v>
      </c>
      <c r="D112" s="2">
        <v>70</v>
      </c>
      <c r="E112">
        <v>1</v>
      </c>
      <c r="F112">
        <v>1</v>
      </c>
      <c r="G112" s="2" t="s">
        <v>25</v>
      </c>
      <c r="H112">
        <v>422</v>
      </c>
      <c r="L112" t="s">
        <v>12</v>
      </c>
      <c r="M112">
        <v>3</v>
      </c>
      <c r="N112" t="s">
        <v>28</v>
      </c>
      <c r="O112">
        <v>400</v>
      </c>
      <c r="P112">
        <v>70</v>
      </c>
      <c r="Q112">
        <v>15</v>
      </c>
    </row>
    <row r="113" spans="1:17" x14ac:dyDescent="0.2">
      <c r="A113" t="s">
        <v>17</v>
      </c>
      <c r="B113" t="s">
        <v>24</v>
      </c>
      <c r="C113" s="2" t="s">
        <v>67</v>
      </c>
      <c r="D113" s="2">
        <v>84</v>
      </c>
      <c r="E113">
        <v>1</v>
      </c>
      <c r="F113">
        <v>1</v>
      </c>
      <c r="G113" s="2" t="s">
        <v>25</v>
      </c>
      <c r="H113">
        <v>483.6</v>
      </c>
      <c r="I113">
        <v>0</v>
      </c>
      <c r="J113">
        <v>0</v>
      </c>
      <c r="K113">
        <v>0</v>
      </c>
      <c r="L113" t="s">
        <v>27</v>
      </c>
      <c r="M113">
        <v>3</v>
      </c>
      <c r="N113" t="s">
        <v>28</v>
      </c>
      <c r="O113">
        <v>400</v>
      </c>
      <c r="P113">
        <v>70</v>
      </c>
      <c r="Q113">
        <v>15</v>
      </c>
    </row>
    <row r="114" spans="1:17" s="4" customFormat="1" x14ac:dyDescent="0.2">
      <c r="A114" s="4" t="s">
        <v>17</v>
      </c>
      <c r="B114" s="4" t="s">
        <v>24</v>
      </c>
      <c r="C114" s="5" t="s">
        <v>67</v>
      </c>
      <c r="D114" s="5">
        <v>98</v>
      </c>
      <c r="E114" s="4">
        <v>1</v>
      </c>
      <c r="F114" s="4">
        <v>1</v>
      </c>
      <c r="G114" s="5" t="s">
        <v>26</v>
      </c>
      <c r="H114" s="4">
        <v>707</v>
      </c>
      <c r="L114" s="4" t="s">
        <v>12</v>
      </c>
      <c r="M114" s="4">
        <v>3</v>
      </c>
      <c r="N114" s="4" t="s">
        <v>28</v>
      </c>
      <c r="O114" s="4">
        <v>400</v>
      </c>
      <c r="P114" s="4">
        <v>70</v>
      </c>
      <c r="Q114" s="4">
        <v>15</v>
      </c>
    </row>
    <row r="115" spans="1:17" x14ac:dyDescent="0.2">
      <c r="A115" t="s">
        <v>17</v>
      </c>
      <c r="B115" t="s">
        <v>24</v>
      </c>
      <c r="C115" s="2" t="s">
        <v>68</v>
      </c>
      <c r="D115" s="2">
        <v>0</v>
      </c>
      <c r="E115">
        <v>1</v>
      </c>
      <c r="F115">
        <v>1</v>
      </c>
      <c r="G115" s="2" t="s">
        <v>25</v>
      </c>
      <c r="H115">
        <v>8.8000000000000007</v>
      </c>
      <c r="I115">
        <v>0</v>
      </c>
      <c r="J115">
        <v>0</v>
      </c>
      <c r="K115">
        <v>0</v>
      </c>
      <c r="L115" t="s">
        <v>27</v>
      </c>
      <c r="M115">
        <v>3</v>
      </c>
      <c r="N115" t="s">
        <v>28</v>
      </c>
      <c r="O115">
        <v>400</v>
      </c>
      <c r="P115">
        <v>70</v>
      </c>
      <c r="Q115">
        <v>15</v>
      </c>
    </row>
    <row r="116" spans="1:17" x14ac:dyDescent="0.2">
      <c r="A116" t="s">
        <v>17</v>
      </c>
      <c r="B116" t="s">
        <v>24</v>
      </c>
      <c r="C116" s="2" t="s">
        <v>68</v>
      </c>
      <c r="D116" s="2">
        <v>14</v>
      </c>
      <c r="E116">
        <v>1</v>
      </c>
      <c r="F116">
        <v>1</v>
      </c>
      <c r="G116" s="2" t="s">
        <v>25</v>
      </c>
      <c r="H116">
        <v>21.4</v>
      </c>
      <c r="L116" t="s">
        <v>12</v>
      </c>
      <c r="M116">
        <v>3</v>
      </c>
      <c r="N116" t="s">
        <v>28</v>
      </c>
      <c r="O116">
        <v>400</v>
      </c>
      <c r="P116">
        <v>70</v>
      </c>
      <c r="Q116">
        <v>15</v>
      </c>
    </row>
    <row r="117" spans="1:17" x14ac:dyDescent="0.2">
      <c r="A117" t="s">
        <v>17</v>
      </c>
      <c r="B117" t="s">
        <v>24</v>
      </c>
      <c r="C117" s="2" t="s">
        <v>68</v>
      </c>
      <c r="D117" s="2">
        <v>28</v>
      </c>
      <c r="E117">
        <v>1</v>
      </c>
      <c r="F117">
        <v>1</v>
      </c>
      <c r="G117" s="2" t="s">
        <v>25</v>
      </c>
      <c r="H117">
        <v>51.5</v>
      </c>
      <c r="I117">
        <v>0</v>
      </c>
      <c r="J117">
        <v>0</v>
      </c>
      <c r="K117">
        <v>0</v>
      </c>
      <c r="L117" t="s">
        <v>27</v>
      </c>
      <c r="M117">
        <v>3</v>
      </c>
      <c r="N117" t="s">
        <v>28</v>
      </c>
      <c r="O117">
        <v>400</v>
      </c>
      <c r="P117">
        <v>70</v>
      </c>
      <c r="Q117">
        <v>15</v>
      </c>
    </row>
    <row r="118" spans="1:17" x14ac:dyDescent="0.2">
      <c r="A118" t="s">
        <v>17</v>
      </c>
      <c r="B118" t="s">
        <v>24</v>
      </c>
      <c r="C118" s="2" t="s">
        <v>68</v>
      </c>
      <c r="D118" s="2">
        <v>42</v>
      </c>
      <c r="E118">
        <v>1</v>
      </c>
      <c r="F118">
        <v>1</v>
      </c>
      <c r="G118" s="2" t="s">
        <v>25</v>
      </c>
      <c r="H118">
        <v>82.9</v>
      </c>
      <c r="L118" t="s">
        <v>12</v>
      </c>
      <c r="M118">
        <v>3</v>
      </c>
      <c r="N118" t="s">
        <v>28</v>
      </c>
      <c r="O118">
        <v>400</v>
      </c>
      <c r="P118">
        <v>70</v>
      </c>
      <c r="Q118">
        <v>15</v>
      </c>
    </row>
    <row r="119" spans="1:17" x14ac:dyDescent="0.2">
      <c r="A119" t="s">
        <v>17</v>
      </c>
      <c r="B119" t="s">
        <v>24</v>
      </c>
      <c r="C119" s="2" t="s">
        <v>68</v>
      </c>
      <c r="D119" s="2">
        <v>56</v>
      </c>
      <c r="E119">
        <v>1</v>
      </c>
      <c r="F119">
        <v>1</v>
      </c>
      <c r="G119" s="2" t="s">
        <v>25</v>
      </c>
      <c r="H119">
        <v>228</v>
      </c>
      <c r="I119">
        <v>0</v>
      </c>
      <c r="J119">
        <v>0</v>
      </c>
      <c r="K119">
        <v>0</v>
      </c>
      <c r="L119" t="s">
        <v>27</v>
      </c>
      <c r="M119">
        <v>3</v>
      </c>
      <c r="N119" t="s">
        <v>28</v>
      </c>
      <c r="O119">
        <v>400</v>
      </c>
      <c r="P119">
        <v>70</v>
      </c>
      <c r="Q119">
        <v>15</v>
      </c>
    </row>
    <row r="120" spans="1:17" x14ac:dyDescent="0.2">
      <c r="A120" t="s">
        <v>17</v>
      </c>
      <c r="B120" t="s">
        <v>24</v>
      </c>
      <c r="C120" s="2" t="s">
        <v>68</v>
      </c>
      <c r="D120" s="2">
        <v>70</v>
      </c>
      <c r="E120">
        <v>1</v>
      </c>
      <c r="F120">
        <v>1</v>
      </c>
      <c r="G120" s="2" t="s">
        <v>25</v>
      </c>
      <c r="H120">
        <v>482.6</v>
      </c>
      <c r="L120" t="s">
        <v>12</v>
      </c>
      <c r="M120">
        <v>3</v>
      </c>
      <c r="N120" t="s">
        <v>28</v>
      </c>
      <c r="O120">
        <v>400</v>
      </c>
      <c r="P120">
        <v>70</v>
      </c>
      <c r="Q120">
        <v>15</v>
      </c>
    </row>
    <row r="121" spans="1:17" x14ac:dyDescent="0.2">
      <c r="A121" t="s">
        <v>17</v>
      </c>
      <c r="B121" t="s">
        <v>24</v>
      </c>
      <c r="C121" s="2" t="s">
        <v>68</v>
      </c>
      <c r="D121" s="2">
        <v>84</v>
      </c>
      <c r="E121">
        <v>1</v>
      </c>
      <c r="F121">
        <v>1</v>
      </c>
      <c r="G121" s="2" t="s">
        <v>25</v>
      </c>
      <c r="H121">
        <v>544.9</v>
      </c>
      <c r="I121">
        <v>0</v>
      </c>
      <c r="J121">
        <v>0</v>
      </c>
      <c r="K121">
        <v>0</v>
      </c>
      <c r="L121" t="s">
        <v>27</v>
      </c>
      <c r="M121">
        <v>3</v>
      </c>
      <c r="N121" t="s">
        <v>28</v>
      </c>
      <c r="O121">
        <v>400</v>
      </c>
      <c r="P121">
        <v>70</v>
      </c>
      <c r="Q121">
        <v>15</v>
      </c>
    </row>
    <row r="122" spans="1:17" s="4" customFormat="1" x14ac:dyDescent="0.2">
      <c r="A122" s="4" t="s">
        <v>17</v>
      </c>
      <c r="B122" s="4" t="s">
        <v>24</v>
      </c>
      <c r="C122" s="5" t="s">
        <v>68</v>
      </c>
      <c r="D122" s="5">
        <v>98</v>
      </c>
      <c r="E122" s="4">
        <v>1</v>
      </c>
      <c r="F122" s="4">
        <v>1</v>
      </c>
      <c r="G122" s="5" t="s">
        <v>26</v>
      </c>
      <c r="H122" s="4">
        <v>859</v>
      </c>
      <c r="L122" s="4" t="s">
        <v>12</v>
      </c>
      <c r="M122" s="4">
        <v>3</v>
      </c>
      <c r="N122" s="4" t="s">
        <v>28</v>
      </c>
      <c r="O122" s="4">
        <v>400</v>
      </c>
      <c r="P122" s="4">
        <v>70</v>
      </c>
      <c r="Q122" s="4">
        <v>15</v>
      </c>
    </row>
    <row r="123" spans="1:17" x14ac:dyDescent="0.2">
      <c r="A123" t="s">
        <v>17</v>
      </c>
      <c r="B123" t="s">
        <v>24</v>
      </c>
      <c r="C123" s="2" t="s">
        <v>69</v>
      </c>
      <c r="D123" s="2">
        <v>0</v>
      </c>
      <c r="E123">
        <v>1</v>
      </c>
      <c r="F123">
        <v>1</v>
      </c>
      <c r="G123" s="2" t="s">
        <v>25</v>
      </c>
      <c r="H123">
        <v>9.6999999999999993</v>
      </c>
      <c r="I123">
        <v>0</v>
      </c>
      <c r="J123">
        <v>0</v>
      </c>
      <c r="K123">
        <v>0</v>
      </c>
      <c r="L123" t="s">
        <v>27</v>
      </c>
      <c r="M123">
        <v>3</v>
      </c>
      <c r="N123" t="s">
        <v>28</v>
      </c>
      <c r="O123">
        <v>400</v>
      </c>
      <c r="P123">
        <v>70</v>
      </c>
      <c r="Q123">
        <v>15</v>
      </c>
    </row>
    <row r="124" spans="1:17" x14ac:dyDescent="0.2">
      <c r="A124" t="s">
        <v>17</v>
      </c>
      <c r="B124" t="s">
        <v>24</v>
      </c>
      <c r="C124" s="2" t="s">
        <v>69</v>
      </c>
      <c r="D124" s="2">
        <v>14</v>
      </c>
      <c r="E124">
        <v>1</v>
      </c>
      <c r="F124">
        <v>1</v>
      </c>
      <c r="G124" s="2" t="s">
        <v>25</v>
      </c>
      <c r="H124">
        <v>23.9</v>
      </c>
      <c r="L124" t="s">
        <v>12</v>
      </c>
      <c r="M124">
        <v>3</v>
      </c>
      <c r="N124" t="s">
        <v>28</v>
      </c>
      <c r="O124">
        <v>400</v>
      </c>
      <c r="P124">
        <v>70</v>
      </c>
      <c r="Q124">
        <v>15</v>
      </c>
    </row>
    <row r="125" spans="1:17" x14ac:dyDescent="0.2">
      <c r="A125" t="s">
        <v>17</v>
      </c>
      <c r="B125" t="s">
        <v>24</v>
      </c>
      <c r="C125" s="2" t="s">
        <v>69</v>
      </c>
      <c r="D125" s="2">
        <v>28</v>
      </c>
      <c r="E125">
        <v>1</v>
      </c>
      <c r="F125">
        <v>1</v>
      </c>
      <c r="G125" s="2" t="s">
        <v>25</v>
      </c>
      <c r="H125">
        <v>50.8</v>
      </c>
      <c r="I125">
        <v>0</v>
      </c>
      <c r="J125">
        <v>0</v>
      </c>
      <c r="K125">
        <v>0</v>
      </c>
      <c r="L125" t="s">
        <v>27</v>
      </c>
      <c r="M125">
        <v>3</v>
      </c>
      <c r="N125" t="s">
        <v>28</v>
      </c>
      <c r="O125">
        <v>400</v>
      </c>
      <c r="P125">
        <v>70</v>
      </c>
      <c r="Q125">
        <v>15</v>
      </c>
    </row>
    <row r="126" spans="1:17" x14ac:dyDescent="0.2">
      <c r="A126" t="s">
        <v>17</v>
      </c>
      <c r="B126" t="s">
        <v>24</v>
      </c>
      <c r="C126" s="2" t="s">
        <v>69</v>
      </c>
      <c r="D126" s="2">
        <v>42</v>
      </c>
      <c r="E126">
        <v>1</v>
      </c>
      <c r="F126">
        <v>1</v>
      </c>
      <c r="G126" s="2" t="s">
        <v>25</v>
      </c>
      <c r="H126">
        <v>94.4</v>
      </c>
      <c r="L126" t="s">
        <v>12</v>
      </c>
      <c r="M126">
        <v>3</v>
      </c>
      <c r="N126" t="s">
        <v>28</v>
      </c>
      <c r="O126">
        <v>400</v>
      </c>
      <c r="P126">
        <v>70</v>
      </c>
      <c r="Q126">
        <v>15</v>
      </c>
    </row>
    <row r="127" spans="1:17" x14ac:dyDescent="0.2">
      <c r="A127" t="s">
        <v>17</v>
      </c>
      <c r="B127" t="s">
        <v>24</v>
      </c>
      <c r="C127" s="2" t="s">
        <v>69</v>
      </c>
      <c r="D127" s="2">
        <v>56</v>
      </c>
      <c r="E127">
        <v>1</v>
      </c>
      <c r="F127">
        <v>1</v>
      </c>
      <c r="G127" s="2" t="s">
        <v>25</v>
      </c>
      <c r="H127">
        <v>202</v>
      </c>
      <c r="I127">
        <v>0</v>
      </c>
      <c r="J127">
        <v>0</v>
      </c>
      <c r="K127">
        <v>0</v>
      </c>
      <c r="L127" t="s">
        <v>27</v>
      </c>
      <c r="M127">
        <v>3</v>
      </c>
      <c r="N127" t="s">
        <v>28</v>
      </c>
      <c r="O127">
        <v>400</v>
      </c>
      <c r="P127">
        <v>70</v>
      </c>
      <c r="Q127">
        <v>15</v>
      </c>
    </row>
    <row r="128" spans="1:17" x14ac:dyDescent="0.2">
      <c r="A128" t="s">
        <v>17</v>
      </c>
      <c r="B128" t="s">
        <v>24</v>
      </c>
      <c r="C128" s="2" t="s">
        <v>69</v>
      </c>
      <c r="D128" s="2">
        <v>70</v>
      </c>
      <c r="E128">
        <v>1</v>
      </c>
      <c r="F128">
        <v>1</v>
      </c>
      <c r="G128" s="2" t="s">
        <v>25</v>
      </c>
      <c r="H128">
        <v>455.5</v>
      </c>
      <c r="L128" t="s">
        <v>12</v>
      </c>
      <c r="M128">
        <v>3</v>
      </c>
      <c r="N128" t="s">
        <v>28</v>
      </c>
      <c r="O128">
        <v>400</v>
      </c>
      <c r="P128">
        <v>70</v>
      </c>
      <c r="Q128">
        <v>15</v>
      </c>
    </row>
    <row r="129" spans="1:17" x14ac:dyDescent="0.2">
      <c r="A129" t="s">
        <v>17</v>
      </c>
      <c r="B129" t="s">
        <v>24</v>
      </c>
      <c r="C129" s="2" t="s">
        <v>69</v>
      </c>
      <c r="D129" s="2">
        <v>84</v>
      </c>
      <c r="E129">
        <v>1</v>
      </c>
      <c r="F129">
        <v>1</v>
      </c>
      <c r="G129" s="2" t="s">
        <v>25</v>
      </c>
      <c r="H129">
        <v>602.5</v>
      </c>
      <c r="I129">
        <v>0</v>
      </c>
      <c r="J129">
        <v>0</v>
      </c>
      <c r="K129">
        <v>0</v>
      </c>
      <c r="L129" t="s">
        <v>27</v>
      </c>
      <c r="M129">
        <v>3</v>
      </c>
      <c r="N129" t="s">
        <v>28</v>
      </c>
      <c r="O129">
        <v>400</v>
      </c>
      <c r="P129">
        <v>70</v>
      </c>
      <c r="Q129">
        <v>15</v>
      </c>
    </row>
    <row r="130" spans="1:17" s="4" customFormat="1" x14ac:dyDescent="0.2">
      <c r="A130" s="4" t="s">
        <v>17</v>
      </c>
      <c r="B130" s="4" t="s">
        <v>24</v>
      </c>
      <c r="C130" s="5" t="s">
        <v>69</v>
      </c>
      <c r="D130" s="5">
        <v>98</v>
      </c>
      <c r="E130" s="4">
        <v>1</v>
      </c>
      <c r="F130" s="4">
        <v>1</v>
      </c>
      <c r="G130" s="5" t="s">
        <v>26</v>
      </c>
      <c r="H130" s="4">
        <v>801</v>
      </c>
      <c r="I130" s="4">
        <v>0</v>
      </c>
      <c r="J130" s="4">
        <v>0</v>
      </c>
      <c r="K130" s="4">
        <v>0</v>
      </c>
      <c r="L130" s="4" t="s">
        <v>12</v>
      </c>
      <c r="M130" s="4">
        <v>3</v>
      </c>
      <c r="N130" s="4" t="s">
        <v>28</v>
      </c>
      <c r="O130" s="4">
        <v>400</v>
      </c>
      <c r="P130" s="4">
        <v>70</v>
      </c>
      <c r="Q130" s="4">
        <v>15</v>
      </c>
    </row>
    <row r="131" spans="1:17" x14ac:dyDescent="0.2">
      <c r="A131" t="s">
        <v>17</v>
      </c>
      <c r="B131" t="s">
        <v>24</v>
      </c>
      <c r="C131" s="2" t="s">
        <v>31</v>
      </c>
      <c r="D131" s="6">
        <v>112</v>
      </c>
      <c r="E131">
        <v>2</v>
      </c>
      <c r="F131">
        <v>2</v>
      </c>
      <c r="G131" s="2" t="s">
        <v>26</v>
      </c>
      <c r="H131" s="9">
        <f>987.02*2</f>
        <v>1974.04</v>
      </c>
      <c r="I131">
        <v>5.3339999999999996</v>
      </c>
      <c r="J131">
        <v>2.6669999999999998</v>
      </c>
      <c r="K131">
        <f>J131</f>
        <v>2.6669999999999998</v>
      </c>
      <c r="L131" t="s">
        <v>27</v>
      </c>
      <c r="M131">
        <v>3</v>
      </c>
      <c r="N131" t="s">
        <v>28</v>
      </c>
      <c r="O131">
        <v>400</v>
      </c>
      <c r="P131">
        <v>70</v>
      </c>
      <c r="Q131">
        <v>15</v>
      </c>
    </row>
    <row r="132" spans="1:17" x14ac:dyDescent="0.2">
      <c r="A132" t="s">
        <v>17</v>
      </c>
      <c r="B132" t="s">
        <v>24</v>
      </c>
      <c r="C132" s="2" t="s">
        <v>31</v>
      </c>
      <c r="D132" s="6">
        <f>D131+14</f>
        <v>126</v>
      </c>
      <c r="E132">
        <v>2</v>
      </c>
      <c r="F132">
        <v>2</v>
      </c>
      <c r="G132" s="2" t="s">
        <v>26</v>
      </c>
      <c r="H132" s="9">
        <f>948.45*2</f>
        <v>1896.9</v>
      </c>
      <c r="J132">
        <v>0</v>
      </c>
      <c r="L132" t="s">
        <v>12</v>
      </c>
      <c r="M132">
        <v>3</v>
      </c>
      <c r="N132" t="s">
        <v>28</v>
      </c>
      <c r="O132">
        <v>400</v>
      </c>
      <c r="P132">
        <v>70</v>
      </c>
      <c r="Q132">
        <v>15</v>
      </c>
    </row>
    <row r="133" spans="1:17" x14ac:dyDescent="0.2">
      <c r="A133" t="s">
        <v>17</v>
      </c>
      <c r="B133" t="s">
        <v>24</v>
      </c>
      <c r="C133" s="2" t="s">
        <v>31</v>
      </c>
      <c r="D133" s="6">
        <f t="shared" ref="D133:D148" si="47">D132+14</f>
        <v>140</v>
      </c>
      <c r="E133">
        <v>2</v>
      </c>
      <c r="F133">
        <v>2</v>
      </c>
      <c r="G133" s="2" t="s">
        <v>26</v>
      </c>
      <c r="H133" s="9">
        <f>1024.5*2</f>
        <v>2049</v>
      </c>
      <c r="I133">
        <v>17.66</v>
      </c>
      <c r="J133">
        <v>8.83</v>
      </c>
      <c r="K133">
        <f>K131+J133</f>
        <v>11.497</v>
      </c>
      <c r="L133" t="s">
        <v>27</v>
      </c>
      <c r="M133">
        <v>3</v>
      </c>
      <c r="N133" t="s">
        <v>28</v>
      </c>
      <c r="O133">
        <v>400</v>
      </c>
      <c r="P133">
        <v>70</v>
      </c>
      <c r="Q133">
        <v>15</v>
      </c>
    </row>
    <row r="134" spans="1:17" x14ac:dyDescent="0.2">
      <c r="A134" t="s">
        <v>17</v>
      </c>
      <c r="B134" t="s">
        <v>24</v>
      </c>
      <c r="C134" s="2" t="s">
        <v>31</v>
      </c>
      <c r="D134" s="6">
        <f t="shared" si="47"/>
        <v>154</v>
      </c>
      <c r="E134">
        <v>2</v>
      </c>
      <c r="F134">
        <v>2</v>
      </c>
      <c r="G134" s="2" t="s">
        <v>26</v>
      </c>
      <c r="H134" s="9">
        <f>954.2*2</f>
        <v>1908.4</v>
      </c>
      <c r="J134">
        <v>0</v>
      </c>
      <c r="L134" t="s">
        <v>12</v>
      </c>
      <c r="M134">
        <v>3</v>
      </c>
      <c r="N134" t="s">
        <v>28</v>
      </c>
      <c r="O134">
        <v>400</v>
      </c>
      <c r="P134">
        <v>70</v>
      </c>
      <c r="Q134">
        <v>15</v>
      </c>
    </row>
    <row r="135" spans="1:17" x14ac:dyDescent="0.2">
      <c r="A135" t="s">
        <v>17</v>
      </c>
      <c r="B135" t="s">
        <v>24</v>
      </c>
      <c r="C135" s="2" t="s">
        <v>31</v>
      </c>
      <c r="D135" s="6">
        <f t="shared" si="47"/>
        <v>168</v>
      </c>
      <c r="E135">
        <v>2</v>
      </c>
      <c r="F135">
        <v>2</v>
      </c>
      <c r="G135" s="2" t="s">
        <v>26</v>
      </c>
      <c r="H135" s="9">
        <f>1066*2</f>
        <v>2132</v>
      </c>
      <c r="I135">
        <v>20.32</v>
      </c>
      <c r="J135">
        <v>10.16</v>
      </c>
      <c r="K135">
        <f t="shared" ref="K135:K149" si="48">K133+J135</f>
        <v>21.657</v>
      </c>
      <c r="L135" t="s">
        <v>27</v>
      </c>
      <c r="M135">
        <v>3</v>
      </c>
      <c r="N135" t="s">
        <v>28</v>
      </c>
      <c r="O135">
        <v>400</v>
      </c>
      <c r="P135">
        <v>70</v>
      </c>
      <c r="Q135">
        <v>15</v>
      </c>
    </row>
    <row r="136" spans="1:17" x14ac:dyDescent="0.2">
      <c r="A136" t="s">
        <v>17</v>
      </c>
      <c r="B136" t="s">
        <v>24</v>
      </c>
      <c r="C136" s="2" t="s">
        <v>31</v>
      </c>
      <c r="D136" s="6">
        <f t="shared" si="47"/>
        <v>182</v>
      </c>
      <c r="E136">
        <v>2</v>
      </c>
      <c r="F136">
        <v>2</v>
      </c>
      <c r="G136" s="2" t="s">
        <v>26</v>
      </c>
      <c r="H136" s="9">
        <f>1036*2</f>
        <v>2072</v>
      </c>
      <c r="J136">
        <v>0</v>
      </c>
      <c r="L136" t="s">
        <v>12</v>
      </c>
      <c r="M136">
        <v>3</v>
      </c>
      <c r="N136" t="s">
        <v>28</v>
      </c>
      <c r="O136">
        <v>400</v>
      </c>
      <c r="P136">
        <v>70</v>
      </c>
      <c r="Q136">
        <v>15</v>
      </c>
    </row>
    <row r="137" spans="1:17" x14ac:dyDescent="0.2">
      <c r="A137" t="s">
        <v>17</v>
      </c>
      <c r="B137" t="s">
        <v>24</v>
      </c>
      <c r="C137" s="2" t="s">
        <v>31</v>
      </c>
      <c r="D137" s="6">
        <f t="shared" si="47"/>
        <v>196</v>
      </c>
      <c r="E137">
        <v>2</v>
      </c>
      <c r="F137">
        <v>2</v>
      </c>
      <c r="G137" s="2" t="s">
        <v>26</v>
      </c>
      <c r="H137" s="9">
        <v>2198.6999999999998</v>
      </c>
      <c r="I137">
        <v>20</v>
      </c>
      <c r="J137">
        <v>10</v>
      </c>
      <c r="K137">
        <f t="shared" si="48"/>
        <v>31.657</v>
      </c>
      <c r="L137" t="s">
        <v>27</v>
      </c>
      <c r="M137">
        <v>3</v>
      </c>
      <c r="N137" t="s">
        <v>28</v>
      </c>
      <c r="O137">
        <v>400</v>
      </c>
      <c r="P137">
        <v>70</v>
      </c>
      <c r="Q137">
        <v>15</v>
      </c>
    </row>
    <row r="138" spans="1:17" x14ac:dyDescent="0.2">
      <c r="A138" t="s">
        <v>17</v>
      </c>
      <c r="B138" t="s">
        <v>24</v>
      </c>
      <c r="C138" s="2" t="s">
        <v>31</v>
      </c>
      <c r="D138" s="6">
        <f t="shared" si="47"/>
        <v>210</v>
      </c>
      <c r="E138">
        <v>3</v>
      </c>
      <c r="F138">
        <v>3</v>
      </c>
      <c r="G138" s="2" t="s">
        <v>26</v>
      </c>
      <c r="H138" s="9">
        <f>1027.5*3</f>
        <v>3082.5</v>
      </c>
      <c r="J138">
        <v>0</v>
      </c>
      <c r="L138" t="s">
        <v>12</v>
      </c>
      <c r="M138">
        <v>3</v>
      </c>
      <c r="N138" t="s">
        <v>28</v>
      </c>
      <c r="O138">
        <v>400</v>
      </c>
      <c r="P138">
        <v>70</v>
      </c>
      <c r="Q138">
        <v>15</v>
      </c>
    </row>
    <row r="139" spans="1:17" x14ac:dyDescent="0.2">
      <c r="A139" t="s">
        <v>17</v>
      </c>
      <c r="B139" t="s">
        <v>24</v>
      </c>
      <c r="C139" s="2" t="s">
        <v>31</v>
      </c>
      <c r="D139" s="6">
        <f t="shared" si="47"/>
        <v>224</v>
      </c>
      <c r="E139">
        <v>3</v>
      </c>
      <c r="F139">
        <v>3</v>
      </c>
      <c r="G139" s="2" t="s">
        <v>26</v>
      </c>
      <c r="H139" s="9">
        <f>1133.5*3</f>
        <v>3400.5</v>
      </c>
      <c r="I139">
        <v>30.48</v>
      </c>
      <c r="J139">
        <v>10.16</v>
      </c>
      <c r="K139">
        <f t="shared" si="48"/>
        <v>41.817</v>
      </c>
      <c r="L139" t="s">
        <v>27</v>
      </c>
      <c r="M139">
        <v>3</v>
      </c>
      <c r="N139" t="s">
        <v>28</v>
      </c>
      <c r="O139">
        <v>400</v>
      </c>
      <c r="P139">
        <v>70</v>
      </c>
      <c r="Q139">
        <v>15</v>
      </c>
    </row>
    <row r="140" spans="1:17" x14ac:dyDescent="0.2">
      <c r="A140" t="s">
        <v>17</v>
      </c>
      <c r="B140" t="s">
        <v>24</v>
      </c>
      <c r="C140" s="2" t="s">
        <v>31</v>
      </c>
      <c r="D140" s="6">
        <f t="shared" si="47"/>
        <v>238</v>
      </c>
      <c r="E140">
        <v>3</v>
      </c>
      <c r="F140">
        <v>3</v>
      </c>
      <c r="G140" s="2" t="s">
        <v>26</v>
      </c>
      <c r="H140" s="9">
        <f>1145.1*3</f>
        <v>3435.2999999999997</v>
      </c>
      <c r="J140">
        <v>0</v>
      </c>
      <c r="L140" t="s">
        <v>12</v>
      </c>
      <c r="M140">
        <v>3</v>
      </c>
      <c r="N140" t="s">
        <v>28</v>
      </c>
      <c r="O140">
        <v>400</v>
      </c>
      <c r="P140">
        <v>70</v>
      </c>
      <c r="Q140">
        <v>15</v>
      </c>
    </row>
    <row r="141" spans="1:17" x14ac:dyDescent="0.2">
      <c r="A141" t="s">
        <v>17</v>
      </c>
      <c r="B141" t="s">
        <v>24</v>
      </c>
      <c r="C141" s="2" t="s">
        <v>31</v>
      </c>
      <c r="D141" s="6">
        <f t="shared" si="47"/>
        <v>252</v>
      </c>
      <c r="E141">
        <v>3</v>
      </c>
      <c r="F141">
        <v>3</v>
      </c>
      <c r="G141" s="2" t="s">
        <v>26</v>
      </c>
      <c r="H141" s="9">
        <f>1125.3*3</f>
        <v>3375.8999999999996</v>
      </c>
      <c r="I141">
        <v>35.000999999999998</v>
      </c>
      <c r="J141">
        <v>11.667</v>
      </c>
      <c r="K141">
        <f t="shared" si="48"/>
        <v>53.484000000000002</v>
      </c>
      <c r="L141" t="s">
        <v>27</v>
      </c>
      <c r="M141">
        <v>3</v>
      </c>
      <c r="N141" t="s">
        <v>28</v>
      </c>
      <c r="O141">
        <v>400</v>
      </c>
      <c r="P141">
        <v>70</v>
      </c>
      <c r="Q141">
        <v>15</v>
      </c>
    </row>
    <row r="142" spans="1:17" x14ac:dyDescent="0.2">
      <c r="A142" t="s">
        <v>17</v>
      </c>
      <c r="B142" t="s">
        <v>24</v>
      </c>
      <c r="C142" s="2" t="s">
        <v>31</v>
      </c>
      <c r="D142" s="6">
        <f t="shared" si="47"/>
        <v>266</v>
      </c>
      <c r="E142">
        <v>3</v>
      </c>
      <c r="F142">
        <v>3</v>
      </c>
      <c r="G142" s="2" t="s">
        <v>26</v>
      </c>
      <c r="H142" s="9">
        <f>1149.3*3</f>
        <v>3447.8999999999996</v>
      </c>
      <c r="J142">
        <v>0</v>
      </c>
      <c r="L142" t="s">
        <v>12</v>
      </c>
      <c r="M142">
        <v>3</v>
      </c>
      <c r="N142" t="s">
        <v>28</v>
      </c>
      <c r="O142">
        <v>400</v>
      </c>
      <c r="P142">
        <v>70</v>
      </c>
      <c r="Q142">
        <v>15</v>
      </c>
    </row>
    <row r="143" spans="1:17" x14ac:dyDescent="0.2">
      <c r="A143" t="s">
        <v>17</v>
      </c>
      <c r="B143" t="s">
        <v>24</v>
      </c>
      <c r="C143" s="2" t="s">
        <v>31</v>
      </c>
      <c r="D143" s="6">
        <f t="shared" si="47"/>
        <v>280</v>
      </c>
      <c r="E143">
        <v>3</v>
      </c>
      <c r="F143">
        <v>3</v>
      </c>
      <c r="G143" s="2" t="s">
        <v>26</v>
      </c>
      <c r="H143" s="9">
        <v>3697.15</v>
      </c>
      <c r="I143">
        <v>30.990000000000002</v>
      </c>
      <c r="J143">
        <v>10.33</v>
      </c>
      <c r="K143">
        <f t="shared" si="48"/>
        <v>63.814</v>
      </c>
      <c r="L143" t="s">
        <v>27</v>
      </c>
      <c r="M143">
        <v>3</v>
      </c>
      <c r="N143" t="s">
        <v>28</v>
      </c>
      <c r="O143">
        <v>400</v>
      </c>
      <c r="P143">
        <v>70</v>
      </c>
      <c r="Q143">
        <v>15</v>
      </c>
    </row>
    <row r="144" spans="1:17" x14ac:dyDescent="0.2">
      <c r="A144" t="s">
        <v>17</v>
      </c>
      <c r="B144" t="s">
        <v>24</v>
      </c>
      <c r="C144" s="2" t="s">
        <v>31</v>
      </c>
      <c r="D144" s="6">
        <f t="shared" si="47"/>
        <v>294</v>
      </c>
      <c r="E144">
        <v>6</v>
      </c>
      <c r="F144">
        <v>6</v>
      </c>
      <c r="G144" s="2" t="s">
        <v>26</v>
      </c>
      <c r="H144" s="9">
        <f>1125.8*6</f>
        <v>6754.7999999999993</v>
      </c>
      <c r="J144">
        <v>0</v>
      </c>
      <c r="L144" t="s">
        <v>12</v>
      </c>
      <c r="M144">
        <v>3</v>
      </c>
      <c r="N144" t="s">
        <v>28</v>
      </c>
      <c r="O144">
        <v>400</v>
      </c>
      <c r="P144">
        <v>70</v>
      </c>
      <c r="Q144">
        <v>15</v>
      </c>
    </row>
    <row r="145" spans="1:17" x14ac:dyDescent="0.2">
      <c r="A145" t="s">
        <v>17</v>
      </c>
      <c r="B145" t="s">
        <v>24</v>
      </c>
      <c r="C145" s="2" t="s">
        <v>31</v>
      </c>
      <c r="D145" s="6">
        <f t="shared" si="47"/>
        <v>308</v>
      </c>
      <c r="E145">
        <v>6</v>
      </c>
      <c r="F145">
        <v>6</v>
      </c>
      <c r="G145" s="2" t="s">
        <v>26</v>
      </c>
      <c r="H145" s="9">
        <f>1235*6</f>
        <v>7410</v>
      </c>
      <c r="I145">
        <v>60</v>
      </c>
      <c r="J145">
        <v>10</v>
      </c>
      <c r="K145">
        <f t="shared" si="48"/>
        <v>73.813999999999993</v>
      </c>
      <c r="L145" t="s">
        <v>27</v>
      </c>
      <c r="M145">
        <v>3</v>
      </c>
      <c r="N145" t="s">
        <v>28</v>
      </c>
      <c r="O145">
        <v>400</v>
      </c>
      <c r="P145">
        <v>70</v>
      </c>
      <c r="Q145">
        <v>15</v>
      </c>
    </row>
    <row r="146" spans="1:17" x14ac:dyDescent="0.2">
      <c r="A146" t="s">
        <v>17</v>
      </c>
      <c r="B146" t="s">
        <v>24</v>
      </c>
      <c r="C146" s="2" t="s">
        <v>31</v>
      </c>
      <c r="D146" s="6">
        <f t="shared" si="47"/>
        <v>322</v>
      </c>
      <c r="E146">
        <v>6</v>
      </c>
      <c r="F146">
        <v>6</v>
      </c>
      <c r="G146" s="2" t="s">
        <v>26</v>
      </c>
      <c r="H146" s="9">
        <f>1171.5*6</f>
        <v>7029</v>
      </c>
      <c r="J146">
        <v>0</v>
      </c>
      <c r="L146" t="s">
        <v>12</v>
      </c>
      <c r="M146">
        <v>3</v>
      </c>
      <c r="N146" t="s">
        <v>28</v>
      </c>
      <c r="O146">
        <v>400</v>
      </c>
      <c r="P146">
        <v>70</v>
      </c>
      <c r="Q146">
        <v>15</v>
      </c>
    </row>
    <row r="147" spans="1:17" x14ac:dyDescent="0.2">
      <c r="A147" t="s">
        <v>17</v>
      </c>
      <c r="B147" t="s">
        <v>24</v>
      </c>
      <c r="C147" s="2" t="s">
        <v>31</v>
      </c>
      <c r="D147" s="6">
        <f t="shared" si="47"/>
        <v>336</v>
      </c>
      <c r="E147">
        <v>6</v>
      </c>
      <c r="F147">
        <v>6</v>
      </c>
      <c r="G147" s="2" t="s">
        <v>26</v>
      </c>
      <c r="H147" s="9">
        <f>1287.3*6</f>
        <v>7723.7999999999993</v>
      </c>
      <c r="I147">
        <v>55.001999999999995</v>
      </c>
      <c r="J147">
        <v>9.1669999999999998</v>
      </c>
      <c r="K147">
        <f t="shared" si="48"/>
        <v>82.980999999999995</v>
      </c>
      <c r="L147" t="s">
        <v>27</v>
      </c>
      <c r="M147">
        <v>3</v>
      </c>
      <c r="N147" t="s">
        <v>28</v>
      </c>
      <c r="O147">
        <v>400</v>
      </c>
      <c r="P147">
        <v>70</v>
      </c>
      <c r="Q147">
        <v>15</v>
      </c>
    </row>
    <row r="148" spans="1:17" x14ac:dyDescent="0.2">
      <c r="A148" t="s">
        <v>17</v>
      </c>
      <c r="B148" t="s">
        <v>24</v>
      </c>
      <c r="C148" s="2" t="s">
        <v>31</v>
      </c>
      <c r="D148" s="6">
        <f t="shared" si="47"/>
        <v>350</v>
      </c>
      <c r="E148">
        <v>6</v>
      </c>
      <c r="F148">
        <v>6</v>
      </c>
      <c r="G148" s="2" t="s">
        <v>26</v>
      </c>
      <c r="H148" s="9">
        <f>1325.8*6</f>
        <v>7954.7999999999993</v>
      </c>
      <c r="J148">
        <v>0</v>
      </c>
      <c r="L148" t="s">
        <v>12</v>
      </c>
      <c r="M148">
        <v>3</v>
      </c>
      <c r="N148" t="s">
        <v>28</v>
      </c>
      <c r="O148">
        <v>400</v>
      </c>
      <c r="P148">
        <v>70</v>
      </c>
      <c r="Q148">
        <v>15</v>
      </c>
    </row>
    <row r="149" spans="1:17" x14ac:dyDescent="0.2">
      <c r="A149" t="s">
        <v>17</v>
      </c>
      <c r="B149" t="s">
        <v>24</v>
      </c>
      <c r="C149" s="2" t="s">
        <v>31</v>
      </c>
      <c r="D149" s="6">
        <f>D148+14</f>
        <v>364</v>
      </c>
      <c r="E149">
        <v>6</v>
      </c>
      <c r="F149">
        <v>6</v>
      </c>
      <c r="G149" s="2" t="s">
        <v>26</v>
      </c>
      <c r="H149" s="9">
        <f>1426.08*6</f>
        <v>8556.48</v>
      </c>
      <c r="I149">
        <v>46.980000000000004</v>
      </c>
      <c r="J149">
        <v>7.830000000000001</v>
      </c>
      <c r="K149">
        <f t="shared" si="48"/>
        <v>90.810999999999993</v>
      </c>
      <c r="L149" t="s">
        <v>27</v>
      </c>
      <c r="M149">
        <v>3</v>
      </c>
      <c r="N149" t="s">
        <v>28</v>
      </c>
      <c r="O149">
        <v>400</v>
      </c>
      <c r="P149">
        <v>70</v>
      </c>
      <c r="Q149">
        <v>15</v>
      </c>
    </row>
  </sheetData>
  <phoneticPr fontId="2" type="noConversion"/>
  <conditionalFormatting sqref="G1:G1048576">
    <cfRule type="cellIs" dxfId="83" priority="1" operator="equal">
      <formula>"J"</formula>
    </cfRule>
    <cfRule type="cellIs" dxfId="82" priority="2" operator="equal">
      <formula>"A"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CFE8-1567-B242-852F-1173ADB23F8F}">
  <dimension ref="A1:Q57"/>
  <sheetViews>
    <sheetView workbookViewId="0">
      <pane ySplit="1" topLeftCell="A2" activePane="bottomLeft" state="frozen"/>
      <selection pane="bottomLeft" activeCell="N11" sqref="N11"/>
    </sheetView>
  </sheetViews>
  <sheetFormatPr baseColWidth="10" defaultRowHeight="16" x14ac:dyDescent="0.2"/>
  <cols>
    <col min="1" max="1" width="17" customWidth="1"/>
    <col min="2" max="2" width="16" customWidth="1"/>
    <col min="3" max="8" width="10.83203125" style="2"/>
    <col min="12" max="12" width="15" customWidth="1"/>
  </cols>
  <sheetData>
    <row r="1" spans="1:17" s="11" customFormat="1" x14ac:dyDescent="0.2">
      <c r="A1" s="11" t="s">
        <v>0</v>
      </c>
      <c r="B1" s="11" t="s">
        <v>1</v>
      </c>
      <c r="C1" s="12" t="s">
        <v>3</v>
      </c>
      <c r="D1" s="13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9</v>
      </c>
      <c r="J1" s="11" t="s">
        <v>10</v>
      </c>
      <c r="K1" s="11" t="s">
        <v>8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">
      <c r="A2" t="s">
        <v>17</v>
      </c>
      <c r="B2" t="s">
        <v>32</v>
      </c>
      <c r="C2" s="2" t="s">
        <v>33</v>
      </c>
      <c r="D2" s="2">
        <v>0</v>
      </c>
      <c r="E2" s="2">
        <v>1</v>
      </c>
      <c r="F2" s="2">
        <v>1</v>
      </c>
      <c r="G2" s="2" t="s">
        <v>25</v>
      </c>
      <c r="H2" s="2">
        <v>15.8</v>
      </c>
      <c r="I2" s="2">
        <v>0</v>
      </c>
      <c r="J2" s="2">
        <v>0</v>
      </c>
      <c r="K2" s="2">
        <v>0</v>
      </c>
      <c r="L2" t="s">
        <v>27</v>
      </c>
      <c r="M2" s="2">
        <v>3</v>
      </c>
      <c r="N2" t="s">
        <v>28</v>
      </c>
      <c r="O2" s="2">
        <v>400</v>
      </c>
      <c r="P2">
        <v>70</v>
      </c>
      <c r="Q2" s="2">
        <v>15</v>
      </c>
    </row>
    <row r="3" spans="1:17" x14ac:dyDescent="0.2">
      <c r="A3" t="s">
        <v>17</v>
      </c>
      <c r="B3" t="s">
        <v>32</v>
      </c>
      <c r="C3" s="2" t="s">
        <v>33</v>
      </c>
      <c r="D3" s="2">
        <v>14</v>
      </c>
      <c r="E3" s="2">
        <v>1</v>
      </c>
      <c r="F3" s="2">
        <v>1</v>
      </c>
      <c r="G3" s="2" t="s">
        <v>25</v>
      </c>
      <c r="H3" s="2">
        <v>39.799999999999997</v>
      </c>
      <c r="I3" s="2">
        <v>0</v>
      </c>
      <c r="J3" s="2">
        <v>0</v>
      </c>
      <c r="K3" s="2">
        <v>0</v>
      </c>
      <c r="L3" t="s">
        <v>12</v>
      </c>
      <c r="M3" s="2">
        <v>3</v>
      </c>
      <c r="N3" t="s">
        <v>28</v>
      </c>
      <c r="O3" s="2">
        <v>400</v>
      </c>
      <c r="P3">
        <v>70</v>
      </c>
      <c r="Q3" s="2">
        <v>15</v>
      </c>
    </row>
    <row r="4" spans="1:17" x14ac:dyDescent="0.2">
      <c r="A4" t="s">
        <v>17</v>
      </c>
      <c r="B4" t="s">
        <v>32</v>
      </c>
      <c r="C4" s="2" t="s">
        <v>33</v>
      </c>
      <c r="D4" s="2">
        <v>28</v>
      </c>
      <c r="E4" s="2">
        <v>1</v>
      </c>
      <c r="F4" s="2">
        <v>1</v>
      </c>
      <c r="G4" s="2" t="s">
        <v>25</v>
      </c>
      <c r="H4" s="2">
        <v>113</v>
      </c>
      <c r="I4" s="2">
        <v>0</v>
      </c>
      <c r="J4" s="2">
        <v>0</v>
      </c>
      <c r="K4" s="2">
        <v>0</v>
      </c>
      <c r="L4" t="s">
        <v>27</v>
      </c>
      <c r="M4" s="2">
        <v>3</v>
      </c>
      <c r="N4" t="s">
        <v>28</v>
      </c>
      <c r="O4" s="2">
        <v>400</v>
      </c>
      <c r="P4">
        <v>70</v>
      </c>
      <c r="Q4" s="2">
        <v>15</v>
      </c>
    </row>
    <row r="5" spans="1:17" x14ac:dyDescent="0.2">
      <c r="A5" t="s">
        <v>17</v>
      </c>
      <c r="B5" t="s">
        <v>32</v>
      </c>
      <c r="C5" s="2" t="s">
        <v>33</v>
      </c>
      <c r="D5" s="2">
        <v>42</v>
      </c>
      <c r="E5" s="2">
        <v>1</v>
      </c>
      <c r="F5" s="2">
        <v>1</v>
      </c>
      <c r="G5" s="2" t="s">
        <v>25</v>
      </c>
      <c r="H5" s="2">
        <v>190.3</v>
      </c>
      <c r="I5" s="2">
        <v>0</v>
      </c>
      <c r="J5" s="2">
        <v>0</v>
      </c>
      <c r="K5" s="2">
        <v>0</v>
      </c>
      <c r="L5" t="s">
        <v>12</v>
      </c>
      <c r="M5" s="2">
        <v>3</v>
      </c>
      <c r="N5" t="s">
        <v>28</v>
      </c>
      <c r="O5" s="2">
        <v>400</v>
      </c>
      <c r="P5">
        <v>70</v>
      </c>
      <c r="Q5" s="2">
        <v>15</v>
      </c>
    </row>
    <row r="6" spans="1:17" x14ac:dyDescent="0.2">
      <c r="A6" t="s">
        <v>17</v>
      </c>
      <c r="B6" t="s">
        <v>32</v>
      </c>
      <c r="C6" s="2" t="s">
        <v>33</v>
      </c>
      <c r="D6" s="2">
        <v>56</v>
      </c>
      <c r="E6" s="2">
        <v>1</v>
      </c>
      <c r="F6" s="2">
        <v>1</v>
      </c>
      <c r="G6" s="2" t="s">
        <v>25</v>
      </c>
      <c r="H6" s="2">
        <v>361.2</v>
      </c>
      <c r="I6" s="2">
        <v>0</v>
      </c>
      <c r="J6" s="2">
        <v>0</v>
      </c>
      <c r="K6" s="2">
        <v>0</v>
      </c>
      <c r="L6" t="s">
        <v>27</v>
      </c>
      <c r="M6" s="2">
        <v>3</v>
      </c>
      <c r="N6" t="s">
        <v>28</v>
      </c>
      <c r="O6" s="2">
        <v>400</v>
      </c>
      <c r="P6">
        <v>70</v>
      </c>
      <c r="Q6" s="2">
        <v>15</v>
      </c>
    </row>
    <row r="7" spans="1:17" x14ac:dyDescent="0.2">
      <c r="A7" t="s">
        <v>17</v>
      </c>
      <c r="B7" t="s">
        <v>32</v>
      </c>
      <c r="C7" s="2" t="s">
        <v>33</v>
      </c>
      <c r="D7" s="2">
        <v>70</v>
      </c>
      <c r="E7" s="2">
        <v>1</v>
      </c>
      <c r="F7" s="2">
        <v>1</v>
      </c>
      <c r="G7" s="2" t="s">
        <v>25</v>
      </c>
      <c r="H7" s="2">
        <v>459.6</v>
      </c>
      <c r="I7" s="2">
        <v>0</v>
      </c>
      <c r="J7" s="2">
        <v>0</v>
      </c>
      <c r="K7" s="2">
        <v>0</v>
      </c>
      <c r="L7" t="s">
        <v>12</v>
      </c>
      <c r="M7" s="2">
        <v>3</v>
      </c>
      <c r="N7" t="s">
        <v>28</v>
      </c>
      <c r="O7" s="2">
        <v>400</v>
      </c>
      <c r="P7">
        <v>70</v>
      </c>
      <c r="Q7" s="2">
        <v>15</v>
      </c>
    </row>
    <row r="8" spans="1:17" x14ac:dyDescent="0.2">
      <c r="A8" t="s">
        <v>17</v>
      </c>
      <c r="B8" t="s">
        <v>32</v>
      </c>
      <c r="C8" s="2" t="s">
        <v>33</v>
      </c>
      <c r="D8" s="2">
        <v>77</v>
      </c>
      <c r="E8" s="2">
        <v>1</v>
      </c>
      <c r="F8" s="2">
        <v>1</v>
      </c>
      <c r="G8" s="2" t="s">
        <v>25</v>
      </c>
      <c r="H8" s="2">
        <v>650.5</v>
      </c>
      <c r="I8" s="2">
        <v>0</v>
      </c>
      <c r="J8" s="2">
        <v>0</v>
      </c>
      <c r="K8" s="2">
        <v>0</v>
      </c>
      <c r="L8" t="s">
        <v>27</v>
      </c>
      <c r="M8" s="2">
        <v>3</v>
      </c>
      <c r="N8" t="s">
        <v>28</v>
      </c>
      <c r="O8" s="2">
        <v>400</v>
      </c>
      <c r="P8">
        <v>70</v>
      </c>
      <c r="Q8" s="2">
        <v>15</v>
      </c>
    </row>
    <row r="9" spans="1:17" s="4" customFormat="1" x14ac:dyDescent="0.2">
      <c r="A9" s="4" t="s">
        <v>17</v>
      </c>
      <c r="B9" s="4" t="s">
        <v>32</v>
      </c>
      <c r="C9" s="5" t="s">
        <v>33</v>
      </c>
      <c r="D9" s="5">
        <v>84</v>
      </c>
      <c r="E9" s="5">
        <v>1</v>
      </c>
      <c r="F9" s="5">
        <v>1</v>
      </c>
      <c r="G9" s="5" t="s">
        <v>25</v>
      </c>
      <c r="H9" s="5">
        <v>668</v>
      </c>
      <c r="I9" s="5">
        <v>0</v>
      </c>
      <c r="J9" s="5">
        <v>0</v>
      </c>
      <c r="K9" s="5">
        <v>0</v>
      </c>
      <c r="L9" s="4" t="s">
        <v>12</v>
      </c>
      <c r="M9" s="5">
        <v>3</v>
      </c>
      <c r="N9" s="4" t="s">
        <v>28</v>
      </c>
      <c r="O9" s="5">
        <v>400</v>
      </c>
      <c r="P9" s="4">
        <v>70</v>
      </c>
      <c r="Q9" s="5">
        <v>15</v>
      </c>
    </row>
    <row r="10" spans="1:17" x14ac:dyDescent="0.2">
      <c r="A10" t="s">
        <v>17</v>
      </c>
      <c r="B10" t="s">
        <v>32</v>
      </c>
      <c r="C10" s="2" t="s">
        <v>34</v>
      </c>
      <c r="D10" s="2">
        <v>0</v>
      </c>
      <c r="E10" s="2">
        <v>1</v>
      </c>
      <c r="F10" s="2">
        <v>1</v>
      </c>
      <c r="G10" s="2" t="s">
        <v>25</v>
      </c>
      <c r="H10" s="2">
        <v>13.18</v>
      </c>
      <c r="I10" s="2">
        <v>0</v>
      </c>
      <c r="J10" s="2">
        <v>0</v>
      </c>
      <c r="K10" s="2">
        <v>0</v>
      </c>
      <c r="L10" t="s">
        <v>27</v>
      </c>
      <c r="M10" s="2">
        <v>3</v>
      </c>
      <c r="N10" t="s">
        <v>28</v>
      </c>
      <c r="O10" s="2">
        <v>400</v>
      </c>
      <c r="P10">
        <v>70</v>
      </c>
      <c r="Q10" s="2">
        <v>15</v>
      </c>
    </row>
    <row r="11" spans="1:17" x14ac:dyDescent="0.2">
      <c r="A11" t="s">
        <v>17</v>
      </c>
      <c r="B11" t="s">
        <v>32</v>
      </c>
      <c r="C11" s="2" t="s">
        <v>34</v>
      </c>
      <c r="D11" s="2">
        <v>14</v>
      </c>
      <c r="E11" s="2">
        <v>1</v>
      </c>
      <c r="F11" s="2">
        <v>1</v>
      </c>
      <c r="G11" s="2" t="s">
        <v>25</v>
      </c>
      <c r="H11" s="2">
        <v>33</v>
      </c>
      <c r="I11" s="2">
        <v>0</v>
      </c>
      <c r="J11" s="2">
        <v>0</v>
      </c>
      <c r="K11" s="2">
        <v>0</v>
      </c>
      <c r="L11" t="s">
        <v>12</v>
      </c>
      <c r="M11" s="2">
        <v>3</v>
      </c>
      <c r="N11" t="s">
        <v>28</v>
      </c>
      <c r="O11" s="2">
        <v>400</v>
      </c>
      <c r="P11">
        <v>70</v>
      </c>
      <c r="Q11" s="2">
        <v>15</v>
      </c>
    </row>
    <row r="12" spans="1:17" x14ac:dyDescent="0.2">
      <c r="A12" t="s">
        <v>17</v>
      </c>
      <c r="B12" t="s">
        <v>32</v>
      </c>
      <c r="C12" s="2" t="s">
        <v>34</v>
      </c>
      <c r="D12" s="2">
        <v>28</v>
      </c>
      <c r="E12" s="2">
        <v>1</v>
      </c>
      <c r="F12" s="2">
        <v>1</v>
      </c>
      <c r="G12" s="2" t="s">
        <v>25</v>
      </c>
      <c r="H12" s="2">
        <v>106.5</v>
      </c>
      <c r="I12" s="2">
        <v>0</v>
      </c>
      <c r="J12" s="2">
        <v>0</v>
      </c>
      <c r="K12" s="2">
        <v>0</v>
      </c>
      <c r="L12" t="s">
        <v>27</v>
      </c>
      <c r="M12" s="2">
        <v>3</v>
      </c>
      <c r="N12" t="s">
        <v>28</v>
      </c>
      <c r="O12" s="2">
        <v>400</v>
      </c>
      <c r="P12">
        <v>70</v>
      </c>
      <c r="Q12" s="2">
        <v>15</v>
      </c>
    </row>
    <row r="13" spans="1:17" x14ac:dyDescent="0.2">
      <c r="A13" t="s">
        <v>17</v>
      </c>
      <c r="B13" t="s">
        <v>32</v>
      </c>
      <c r="C13" s="2" t="s">
        <v>34</v>
      </c>
      <c r="D13" s="2">
        <v>42</v>
      </c>
      <c r="E13" s="2">
        <v>1</v>
      </c>
      <c r="F13" s="2">
        <v>1</v>
      </c>
      <c r="G13" s="2" t="s">
        <v>25</v>
      </c>
      <c r="H13" s="2">
        <v>169.7</v>
      </c>
      <c r="I13" s="2">
        <v>0</v>
      </c>
      <c r="J13" s="2">
        <v>0</v>
      </c>
      <c r="K13" s="2">
        <v>0</v>
      </c>
      <c r="L13" t="s">
        <v>12</v>
      </c>
      <c r="M13" s="2">
        <v>3</v>
      </c>
      <c r="N13" t="s">
        <v>28</v>
      </c>
      <c r="O13" s="2">
        <v>400</v>
      </c>
      <c r="P13">
        <v>70</v>
      </c>
      <c r="Q13" s="2">
        <v>15</v>
      </c>
    </row>
    <row r="14" spans="1:17" x14ac:dyDescent="0.2">
      <c r="A14" t="s">
        <v>17</v>
      </c>
      <c r="B14" t="s">
        <v>32</v>
      </c>
      <c r="C14" s="2" t="s">
        <v>34</v>
      </c>
      <c r="D14" s="2">
        <v>56</v>
      </c>
      <c r="E14" s="2">
        <v>1</v>
      </c>
      <c r="F14" s="2">
        <v>1</v>
      </c>
      <c r="G14" s="2" t="s">
        <v>25</v>
      </c>
      <c r="H14" s="2">
        <v>332.6</v>
      </c>
      <c r="I14" s="2">
        <v>0</v>
      </c>
      <c r="J14" s="2">
        <v>0</v>
      </c>
      <c r="K14" s="2">
        <v>0</v>
      </c>
      <c r="L14" t="s">
        <v>27</v>
      </c>
      <c r="M14" s="2">
        <v>3</v>
      </c>
      <c r="N14" t="s">
        <v>28</v>
      </c>
      <c r="O14" s="2">
        <v>400</v>
      </c>
      <c r="P14">
        <v>70</v>
      </c>
      <c r="Q14" s="2">
        <v>15</v>
      </c>
    </row>
    <row r="15" spans="1:17" x14ac:dyDescent="0.2">
      <c r="A15" t="s">
        <v>17</v>
      </c>
      <c r="B15" t="s">
        <v>32</v>
      </c>
      <c r="C15" s="2" t="s">
        <v>34</v>
      </c>
      <c r="D15" s="2">
        <v>70</v>
      </c>
      <c r="E15" s="2">
        <v>1</v>
      </c>
      <c r="F15" s="2">
        <v>1</v>
      </c>
      <c r="G15" s="2" t="s">
        <v>25</v>
      </c>
      <c r="H15" s="2">
        <v>369.7</v>
      </c>
      <c r="I15" s="2">
        <v>0</v>
      </c>
      <c r="J15" s="2">
        <v>0</v>
      </c>
      <c r="K15" s="2">
        <v>0</v>
      </c>
      <c r="L15" t="s">
        <v>12</v>
      </c>
      <c r="M15" s="2">
        <v>3</v>
      </c>
      <c r="N15" t="s">
        <v>28</v>
      </c>
      <c r="O15" s="2">
        <v>400</v>
      </c>
      <c r="P15">
        <v>70</v>
      </c>
      <c r="Q15" s="2">
        <v>15</v>
      </c>
    </row>
    <row r="16" spans="1:17" x14ac:dyDescent="0.2">
      <c r="A16" t="s">
        <v>17</v>
      </c>
      <c r="B16" t="s">
        <v>32</v>
      </c>
      <c r="C16" s="2" t="s">
        <v>34</v>
      </c>
      <c r="D16" s="2">
        <v>77</v>
      </c>
      <c r="E16" s="2">
        <v>1</v>
      </c>
      <c r="F16" s="2">
        <v>1</v>
      </c>
      <c r="G16" s="2" t="s">
        <v>25</v>
      </c>
      <c r="H16" s="2">
        <v>579</v>
      </c>
      <c r="I16" s="2">
        <v>0</v>
      </c>
      <c r="J16" s="2">
        <v>0</v>
      </c>
      <c r="K16" s="2">
        <v>0</v>
      </c>
      <c r="L16" t="s">
        <v>27</v>
      </c>
      <c r="M16" s="2">
        <v>3</v>
      </c>
      <c r="N16" t="s">
        <v>28</v>
      </c>
      <c r="O16" s="2">
        <v>400</v>
      </c>
      <c r="P16">
        <v>70</v>
      </c>
      <c r="Q16" s="2">
        <v>15</v>
      </c>
    </row>
    <row r="17" spans="1:17" s="4" customFormat="1" x14ac:dyDescent="0.2">
      <c r="A17" s="4" t="s">
        <v>17</v>
      </c>
      <c r="B17" s="4" t="s">
        <v>32</v>
      </c>
      <c r="C17" s="5" t="s">
        <v>34</v>
      </c>
      <c r="D17" s="5">
        <v>84</v>
      </c>
      <c r="E17" s="5">
        <v>1</v>
      </c>
      <c r="F17" s="5">
        <v>1</v>
      </c>
      <c r="G17" s="5" t="s">
        <v>26</v>
      </c>
      <c r="H17" s="5">
        <v>674</v>
      </c>
      <c r="I17" s="5">
        <v>0</v>
      </c>
      <c r="J17" s="5">
        <v>0</v>
      </c>
      <c r="K17" s="5">
        <v>0</v>
      </c>
      <c r="L17" s="4" t="s">
        <v>12</v>
      </c>
      <c r="M17" s="5">
        <v>3</v>
      </c>
      <c r="N17" s="4" t="s">
        <v>28</v>
      </c>
      <c r="O17" s="5">
        <v>400</v>
      </c>
      <c r="P17" s="4">
        <v>70</v>
      </c>
      <c r="Q17" s="5">
        <v>15</v>
      </c>
    </row>
    <row r="18" spans="1:17" x14ac:dyDescent="0.2">
      <c r="A18" t="s">
        <v>17</v>
      </c>
      <c r="B18" t="s">
        <v>32</v>
      </c>
      <c r="C18" s="2" t="s">
        <v>35</v>
      </c>
      <c r="D18" s="2">
        <v>0</v>
      </c>
      <c r="E18" s="2">
        <v>1</v>
      </c>
      <c r="F18" s="2">
        <v>1</v>
      </c>
      <c r="G18" s="2" t="s">
        <v>25</v>
      </c>
      <c r="H18" s="2">
        <v>11.5</v>
      </c>
      <c r="I18" s="2">
        <v>0</v>
      </c>
      <c r="J18" s="2">
        <v>0</v>
      </c>
      <c r="K18" s="2">
        <v>0</v>
      </c>
      <c r="L18" t="s">
        <v>27</v>
      </c>
      <c r="M18" s="2">
        <v>3</v>
      </c>
      <c r="N18" t="s">
        <v>28</v>
      </c>
      <c r="O18" s="2">
        <v>400</v>
      </c>
      <c r="P18">
        <v>70</v>
      </c>
      <c r="Q18" s="2">
        <v>15</v>
      </c>
    </row>
    <row r="19" spans="1:17" x14ac:dyDescent="0.2">
      <c r="A19" t="s">
        <v>17</v>
      </c>
      <c r="B19" t="s">
        <v>32</v>
      </c>
      <c r="C19" s="2" t="s">
        <v>35</v>
      </c>
      <c r="D19" s="2">
        <v>14</v>
      </c>
      <c r="E19" s="2">
        <v>1</v>
      </c>
      <c r="F19" s="2">
        <v>1</v>
      </c>
      <c r="G19" s="2" t="s">
        <v>25</v>
      </c>
      <c r="H19" s="2">
        <v>23.8</v>
      </c>
      <c r="I19" s="2">
        <v>0</v>
      </c>
      <c r="J19" s="2">
        <v>0</v>
      </c>
      <c r="K19" s="2">
        <v>0</v>
      </c>
      <c r="L19" t="s">
        <v>12</v>
      </c>
      <c r="M19" s="2">
        <v>3</v>
      </c>
      <c r="N19" t="s">
        <v>28</v>
      </c>
      <c r="O19" s="2">
        <v>400</v>
      </c>
      <c r="P19">
        <v>70</v>
      </c>
      <c r="Q19" s="2">
        <v>15</v>
      </c>
    </row>
    <row r="20" spans="1:17" x14ac:dyDescent="0.2">
      <c r="A20" t="s">
        <v>17</v>
      </c>
      <c r="B20" t="s">
        <v>32</v>
      </c>
      <c r="C20" s="2" t="s">
        <v>35</v>
      </c>
      <c r="D20" s="2">
        <v>28</v>
      </c>
      <c r="E20" s="2">
        <v>1</v>
      </c>
      <c r="F20" s="2">
        <v>1</v>
      </c>
      <c r="G20" s="2" t="s">
        <v>25</v>
      </c>
      <c r="H20" s="2">
        <v>78</v>
      </c>
      <c r="I20" s="2">
        <v>0</v>
      </c>
      <c r="J20" s="2">
        <v>0</v>
      </c>
      <c r="K20" s="2">
        <v>0</v>
      </c>
      <c r="L20" t="s">
        <v>27</v>
      </c>
      <c r="M20" s="2">
        <v>3</v>
      </c>
      <c r="N20" t="s">
        <v>28</v>
      </c>
      <c r="O20" s="2">
        <v>400</v>
      </c>
      <c r="P20">
        <v>70</v>
      </c>
      <c r="Q20" s="2">
        <v>15</v>
      </c>
    </row>
    <row r="21" spans="1:17" x14ac:dyDescent="0.2">
      <c r="A21" t="s">
        <v>17</v>
      </c>
      <c r="B21" t="s">
        <v>32</v>
      </c>
      <c r="C21" s="2" t="s">
        <v>35</v>
      </c>
      <c r="D21" s="2">
        <v>42</v>
      </c>
      <c r="E21" s="2">
        <v>1</v>
      </c>
      <c r="F21" s="2">
        <v>1</v>
      </c>
      <c r="G21" s="2" t="s">
        <v>25</v>
      </c>
      <c r="H21" s="2">
        <v>141.30000000000001</v>
      </c>
      <c r="I21" s="2">
        <v>0</v>
      </c>
      <c r="J21" s="2">
        <v>0</v>
      </c>
      <c r="K21" s="2">
        <v>0</v>
      </c>
      <c r="L21" t="s">
        <v>12</v>
      </c>
      <c r="M21" s="2">
        <v>3</v>
      </c>
      <c r="N21" t="s">
        <v>28</v>
      </c>
      <c r="O21" s="2">
        <v>400</v>
      </c>
      <c r="P21">
        <v>70</v>
      </c>
      <c r="Q21" s="2">
        <v>15</v>
      </c>
    </row>
    <row r="22" spans="1:17" x14ac:dyDescent="0.2">
      <c r="A22" t="s">
        <v>17</v>
      </c>
      <c r="B22" t="s">
        <v>32</v>
      </c>
      <c r="C22" s="2" t="s">
        <v>35</v>
      </c>
      <c r="D22" s="2">
        <v>56</v>
      </c>
      <c r="E22" s="2">
        <v>1</v>
      </c>
      <c r="F22" s="2">
        <v>1</v>
      </c>
      <c r="G22" s="2" t="s">
        <v>25</v>
      </c>
      <c r="H22" s="2">
        <v>280.8</v>
      </c>
      <c r="I22" s="2">
        <v>0</v>
      </c>
      <c r="J22" s="2">
        <v>0</v>
      </c>
      <c r="K22" s="2">
        <v>0</v>
      </c>
      <c r="L22" t="s">
        <v>27</v>
      </c>
      <c r="M22" s="2">
        <v>3</v>
      </c>
      <c r="N22" t="s">
        <v>28</v>
      </c>
      <c r="O22" s="2">
        <v>400</v>
      </c>
      <c r="P22">
        <v>70</v>
      </c>
      <c r="Q22" s="2">
        <v>15</v>
      </c>
    </row>
    <row r="23" spans="1:17" x14ac:dyDescent="0.2">
      <c r="A23" t="s">
        <v>17</v>
      </c>
      <c r="B23" t="s">
        <v>32</v>
      </c>
      <c r="C23" s="2" t="s">
        <v>35</v>
      </c>
      <c r="D23" s="2">
        <v>70</v>
      </c>
      <c r="E23" s="2">
        <v>1</v>
      </c>
      <c r="F23" s="2">
        <v>1</v>
      </c>
      <c r="G23" s="2" t="s">
        <v>25</v>
      </c>
      <c r="H23" s="2">
        <v>399.1</v>
      </c>
      <c r="I23" s="2">
        <v>0</v>
      </c>
      <c r="J23" s="2">
        <v>0</v>
      </c>
      <c r="K23" s="2">
        <v>0</v>
      </c>
      <c r="L23" t="s">
        <v>12</v>
      </c>
      <c r="M23" s="2">
        <v>3</v>
      </c>
      <c r="N23" t="s">
        <v>28</v>
      </c>
      <c r="O23" s="2">
        <v>400</v>
      </c>
      <c r="P23">
        <v>70</v>
      </c>
      <c r="Q23" s="2">
        <v>15</v>
      </c>
    </row>
    <row r="24" spans="1:17" x14ac:dyDescent="0.2">
      <c r="A24" t="s">
        <v>17</v>
      </c>
      <c r="B24" t="s">
        <v>32</v>
      </c>
      <c r="C24" s="2" t="s">
        <v>35</v>
      </c>
      <c r="D24" s="2">
        <v>77</v>
      </c>
      <c r="E24" s="2">
        <v>1</v>
      </c>
      <c r="F24" s="2">
        <v>1</v>
      </c>
      <c r="G24" s="2" t="s">
        <v>25</v>
      </c>
      <c r="H24" s="2">
        <v>514</v>
      </c>
      <c r="I24" s="2">
        <v>0</v>
      </c>
      <c r="J24" s="2">
        <v>0</v>
      </c>
      <c r="K24" s="2">
        <v>0</v>
      </c>
      <c r="L24" t="s">
        <v>27</v>
      </c>
      <c r="M24" s="2">
        <v>3</v>
      </c>
      <c r="N24" t="s">
        <v>28</v>
      </c>
      <c r="O24" s="2">
        <v>400</v>
      </c>
      <c r="P24">
        <v>70</v>
      </c>
      <c r="Q24" s="2">
        <v>15</v>
      </c>
    </row>
    <row r="25" spans="1:17" s="4" customFormat="1" x14ac:dyDescent="0.2">
      <c r="A25" s="4" t="s">
        <v>17</v>
      </c>
      <c r="B25" s="4" t="s">
        <v>32</v>
      </c>
      <c r="C25" s="5" t="s">
        <v>35</v>
      </c>
      <c r="D25" s="5">
        <v>84</v>
      </c>
      <c r="E25" s="5">
        <v>1</v>
      </c>
      <c r="F25" s="5">
        <v>1</v>
      </c>
      <c r="G25" s="5" t="s">
        <v>25</v>
      </c>
      <c r="H25" s="5">
        <v>610.79999999999995</v>
      </c>
      <c r="I25" s="5">
        <v>0</v>
      </c>
      <c r="J25" s="5">
        <v>0</v>
      </c>
      <c r="K25" s="5">
        <v>0</v>
      </c>
      <c r="L25" s="4" t="s">
        <v>12</v>
      </c>
      <c r="M25" s="5">
        <v>3</v>
      </c>
      <c r="N25" s="4" t="s">
        <v>28</v>
      </c>
      <c r="O25" s="5">
        <v>400</v>
      </c>
      <c r="P25" s="4">
        <v>70</v>
      </c>
      <c r="Q25" s="5">
        <v>15</v>
      </c>
    </row>
    <row r="26" spans="1:17" x14ac:dyDescent="0.2">
      <c r="A26" t="s">
        <v>17</v>
      </c>
      <c r="B26" t="s">
        <v>32</v>
      </c>
      <c r="C26" s="2" t="s">
        <v>36</v>
      </c>
      <c r="D26" s="2">
        <v>0</v>
      </c>
      <c r="E26" s="2">
        <v>1</v>
      </c>
      <c r="F26" s="2">
        <v>1</v>
      </c>
      <c r="G26" s="2" t="s">
        <v>25</v>
      </c>
      <c r="H26" s="2">
        <v>11.2</v>
      </c>
      <c r="I26" s="2">
        <v>0</v>
      </c>
      <c r="J26" s="2">
        <v>0</v>
      </c>
      <c r="K26" s="2">
        <v>0</v>
      </c>
      <c r="L26" t="s">
        <v>27</v>
      </c>
      <c r="M26" s="2">
        <v>3</v>
      </c>
      <c r="N26" t="s">
        <v>28</v>
      </c>
      <c r="O26" s="2">
        <v>400</v>
      </c>
      <c r="P26">
        <v>70</v>
      </c>
      <c r="Q26" s="2">
        <v>15</v>
      </c>
    </row>
    <row r="27" spans="1:17" x14ac:dyDescent="0.2">
      <c r="A27" t="s">
        <v>17</v>
      </c>
      <c r="B27" t="s">
        <v>32</v>
      </c>
      <c r="C27" s="2" t="s">
        <v>36</v>
      </c>
      <c r="D27" s="2">
        <v>14</v>
      </c>
      <c r="E27" s="2">
        <v>1</v>
      </c>
      <c r="F27" s="2">
        <v>1</v>
      </c>
      <c r="G27" s="2" t="s">
        <v>25</v>
      </c>
      <c r="H27" s="2">
        <v>26.9</v>
      </c>
      <c r="I27" s="2">
        <v>0</v>
      </c>
      <c r="J27" s="2">
        <v>0</v>
      </c>
      <c r="K27" s="2">
        <v>0</v>
      </c>
      <c r="L27" t="s">
        <v>12</v>
      </c>
      <c r="M27" s="2">
        <v>3</v>
      </c>
      <c r="N27" t="s">
        <v>28</v>
      </c>
      <c r="O27" s="2">
        <v>400</v>
      </c>
      <c r="P27">
        <v>70</v>
      </c>
      <c r="Q27" s="2">
        <v>15</v>
      </c>
    </row>
    <row r="28" spans="1:17" x14ac:dyDescent="0.2">
      <c r="A28" t="s">
        <v>17</v>
      </c>
      <c r="B28" t="s">
        <v>32</v>
      </c>
      <c r="C28" s="2" t="s">
        <v>36</v>
      </c>
      <c r="D28" s="2">
        <v>28</v>
      </c>
      <c r="E28" s="2">
        <v>1</v>
      </c>
      <c r="F28" s="2">
        <v>1</v>
      </c>
      <c r="G28" s="2" t="s">
        <v>25</v>
      </c>
      <c r="H28" s="2">
        <v>96.3</v>
      </c>
      <c r="I28" s="2">
        <v>0</v>
      </c>
      <c r="J28" s="2">
        <v>0</v>
      </c>
      <c r="K28" s="2">
        <v>0</v>
      </c>
      <c r="L28" t="s">
        <v>27</v>
      </c>
      <c r="M28" s="2">
        <v>3</v>
      </c>
      <c r="N28" t="s">
        <v>28</v>
      </c>
      <c r="O28" s="2">
        <v>400</v>
      </c>
      <c r="P28">
        <v>70</v>
      </c>
      <c r="Q28" s="2">
        <v>15</v>
      </c>
    </row>
    <row r="29" spans="1:17" x14ac:dyDescent="0.2">
      <c r="A29" t="s">
        <v>17</v>
      </c>
      <c r="B29" t="s">
        <v>32</v>
      </c>
      <c r="C29" s="2" t="s">
        <v>36</v>
      </c>
      <c r="D29" s="2">
        <v>42</v>
      </c>
      <c r="E29" s="2">
        <v>1</v>
      </c>
      <c r="F29" s="2">
        <v>1</v>
      </c>
      <c r="G29" s="2" t="s">
        <v>25</v>
      </c>
      <c r="H29" s="2">
        <v>160.6</v>
      </c>
      <c r="I29" s="2">
        <v>0</v>
      </c>
      <c r="J29" s="2">
        <v>0</v>
      </c>
      <c r="K29" s="2">
        <v>0</v>
      </c>
      <c r="L29" t="s">
        <v>12</v>
      </c>
      <c r="M29" s="2">
        <v>3</v>
      </c>
      <c r="N29" t="s">
        <v>28</v>
      </c>
      <c r="O29" s="2">
        <v>400</v>
      </c>
      <c r="P29">
        <v>70</v>
      </c>
      <c r="Q29" s="2">
        <v>15</v>
      </c>
    </row>
    <row r="30" spans="1:17" x14ac:dyDescent="0.2">
      <c r="A30" t="s">
        <v>17</v>
      </c>
      <c r="B30" t="s">
        <v>32</v>
      </c>
      <c r="C30" s="2" t="s">
        <v>36</v>
      </c>
      <c r="D30" s="2">
        <v>56</v>
      </c>
      <c r="E30" s="2">
        <v>1</v>
      </c>
      <c r="F30" s="2">
        <v>1</v>
      </c>
      <c r="G30" s="2" t="s">
        <v>25</v>
      </c>
      <c r="H30" s="2">
        <v>375</v>
      </c>
      <c r="I30" s="2">
        <v>0</v>
      </c>
      <c r="J30" s="2">
        <v>0</v>
      </c>
      <c r="K30" s="2">
        <v>0</v>
      </c>
      <c r="L30" t="s">
        <v>27</v>
      </c>
      <c r="M30" s="2">
        <v>3</v>
      </c>
      <c r="N30" t="s">
        <v>28</v>
      </c>
      <c r="O30" s="2">
        <v>400</v>
      </c>
      <c r="P30">
        <v>70</v>
      </c>
      <c r="Q30" s="2">
        <v>15</v>
      </c>
    </row>
    <row r="31" spans="1:17" x14ac:dyDescent="0.2">
      <c r="A31" t="s">
        <v>17</v>
      </c>
      <c r="B31" t="s">
        <v>32</v>
      </c>
      <c r="C31" s="2" t="s">
        <v>36</v>
      </c>
      <c r="D31" s="2">
        <v>70</v>
      </c>
      <c r="E31" s="2">
        <v>1</v>
      </c>
      <c r="F31" s="2">
        <v>1</v>
      </c>
      <c r="G31" s="2" t="s">
        <v>25</v>
      </c>
      <c r="H31" s="2">
        <v>401.7</v>
      </c>
      <c r="I31" s="2">
        <v>0</v>
      </c>
      <c r="J31" s="2">
        <v>0</v>
      </c>
      <c r="K31" s="2">
        <v>0</v>
      </c>
      <c r="L31" t="s">
        <v>12</v>
      </c>
      <c r="M31" s="2">
        <v>3</v>
      </c>
      <c r="N31" t="s">
        <v>28</v>
      </c>
      <c r="O31" s="2">
        <v>400</v>
      </c>
      <c r="P31">
        <v>70</v>
      </c>
      <c r="Q31" s="2">
        <v>15</v>
      </c>
    </row>
    <row r="32" spans="1:17" x14ac:dyDescent="0.2">
      <c r="A32" t="s">
        <v>17</v>
      </c>
      <c r="B32" t="s">
        <v>32</v>
      </c>
      <c r="C32" s="2" t="s">
        <v>36</v>
      </c>
      <c r="D32" s="2">
        <v>77</v>
      </c>
      <c r="E32" s="2">
        <v>1</v>
      </c>
      <c r="F32" s="2">
        <v>1</v>
      </c>
      <c r="G32" s="2" t="s">
        <v>25</v>
      </c>
      <c r="H32" s="2">
        <v>629.6</v>
      </c>
      <c r="I32" s="2">
        <v>0</v>
      </c>
      <c r="J32" s="2">
        <v>0</v>
      </c>
      <c r="K32" s="2">
        <v>0</v>
      </c>
      <c r="L32" t="s">
        <v>27</v>
      </c>
      <c r="M32" s="2">
        <v>3</v>
      </c>
      <c r="N32" t="s">
        <v>28</v>
      </c>
      <c r="O32" s="2">
        <v>400</v>
      </c>
      <c r="P32">
        <v>70</v>
      </c>
      <c r="Q32" s="2">
        <v>15</v>
      </c>
    </row>
    <row r="33" spans="1:17" s="4" customFormat="1" x14ac:dyDescent="0.2">
      <c r="A33" s="4" t="s">
        <v>17</v>
      </c>
      <c r="B33" s="4" t="s">
        <v>32</v>
      </c>
      <c r="C33" s="5" t="s">
        <v>36</v>
      </c>
      <c r="D33" s="5">
        <v>84</v>
      </c>
      <c r="E33" s="5">
        <v>1</v>
      </c>
      <c r="F33" s="5">
        <v>1</v>
      </c>
      <c r="G33" s="5" t="s">
        <v>25</v>
      </c>
      <c r="H33" s="5">
        <v>588.29999999999995</v>
      </c>
      <c r="I33" s="5">
        <v>0</v>
      </c>
      <c r="J33" s="5">
        <v>0</v>
      </c>
      <c r="K33" s="5">
        <v>0</v>
      </c>
      <c r="L33" s="4" t="s">
        <v>12</v>
      </c>
      <c r="M33" s="5">
        <v>3</v>
      </c>
      <c r="N33" s="4" t="s">
        <v>28</v>
      </c>
      <c r="O33" s="5">
        <v>400</v>
      </c>
      <c r="P33" s="4">
        <v>70</v>
      </c>
      <c r="Q33" s="5">
        <v>15</v>
      </c>
    </row>
    <row r="34" spans="1:17" x14ac:dyDescent="0.2">
      <c r="A34" t="s">
        <v>17</v>
      </c>
      <c r="B34" t="s">
        <v>32</v>
      </c>
      <c r="C34" s="2" t="s">
        <v>37</v>
      </c>
      <c r="D34" s="2">
        <v>0</v>
      </c>
      <c r="E34" s="2">
        <v>1</v>
      </c>
      <c r="F34" s="2">
        <v>1</v>
      </c>
      <c r="G34" s="2" t="s">
        <v>25</v>
      </c>
      <c r="H34" s="2">
        <v>15</v>
      </c>
      <c r="I34" s="2">
        <v>0</v>
      </c>
      <c r="J34" s="2">
        <v>0</v>
      </c>
      <c r="K34" s="2">
        <v>0</v>
      </c>
      <c r="L34" t="s">
        <v>27</v>
      </c>
      <c r="M34" s="2">
        <v>3</v>
      </c>
      <c r="N34" t="s">
        <v>28</v>
      </c>
      <c r="O34" s="2">
        <v>400</v>
      </c>
      <c r="P34">
        <v>70</v>
      </c>
      <c r="Q34" s="2">
        <v>15</v>
      </c>
    </row>
    <row r="35" spans="1:17" x14ac:dyDescent="0.2">
      <c r="A35" t="s">
        <v>17</v>
      </c>
      <c r="B35" t="s">
        <v>32</v>
      </c>
      <c r="C35" s="2" t="s">
        <v>37</v>
      </c>
      <c r="D35" s="2">
        <v>14</v>
      </c>
      <c r="E35" s="2">
        <v>1</v>
      </c>
      <c r="F35" s="2">
        <v>1</v>
      </c>
      <c r="G35" s="2" t="s">
        <v>25</v>
      </c>
      <c r="H35" s="2">
        <v>24.3</v>
      </c>
      <c r="I35" s="2">
        <v>0</v>
      </c>
      <c r="J35" s="2">
        <v>0</v>
      </c>
      <c r="K35" s="2">
        <v>0</v>
      </c>
      <c r="L35" t="s">
        <v>12</v>
      </c>
      <c r="M35" s="2">
        <v>3</v>
      </c>
      <c r="N35" t="s">
        <v>28</v>
      </c>
      <c r="O35" s="2">
        <v>400</v>
      </c>
      <c r="P35">
        <v>70</v>
      </c>
      <c r="Q35" s="2">
        <v>15</v>
      </c>
    </row>
    <row r="36" spans="1:17" x14ac:dyDescent="0.2">
      <c r="A36" t="s">
        <v>17</v>
      </c>
      <c r="B36" t="s">
        <v>32</v>
      </c>
      <c r="C36" s="2" t="s">
        <v>37</v>
      </c>
      <c r="D36" s="2">
        <v>28</v>
      </c>
      <c r="E36" s="2">
        <v>1</v>
      </c>
      <c r="F36" s="2">
        <v>1</v>
      </c>
      <c r="G36" s="2" t="s">
        <v>25</v>
      </c>
      <c r="H36" s="2">
        <v>83.8</v>
      </c>
      <c r="I36" s="2">
        <v>0</v>
      </c>
      <c r="J36" s="2">
        <v>0</v>
      </c>
      <c r="K36" s="2">
        <v>0</v>
      </c>
      <c r="L36" t="s">
        <v>27</v>
      </c>
      <c r="M36" s="2">
        <v>3</v>
      </c>
      <c r="N36" t="s">
        <v>28</v>
      </c>
      <c r="O36" s="2">
        <v>400</v>
      </c>
      <c r="P36">
        <v>70</v>
      </c>
      <c r="Q36" s="2">
        <v>15</v>
      </c>
    </row>
    <row r="37" spans="1:17" x14ac:dyDescent="0.2">
      <c r="A37" t="s">
        <v>17</v>
      </c>
      <c r="B37" t="s">
        <v>32</v>
      </c>
      <c r="C37" s="2" t="s">
        <v>37</v>
      </c>
      <c r="D37" s="2">
        <v>42</v>
      </c>
      <c r="E37" s="2">
        <v>1</v>
      </c>
      <c r="F37" s="2">
        <v>1</v>
      </c>
      <c r="G37" s="2" t="s">
        <v>25</v>
      </c>
      <c r="H37" s="2">
        <v>126.5</v>
      </c>
      <c r="I37" s="2">
        <v>0</v>
      </c>
      <c r="J37" s="2">
        <v>0</v>
      </c>
      <c r="K37" s="2">
        <v>0</v>
      </c>
      <c r="L37" t="s">
        <v>12</v>
      </c>
      <c r="M37" s="2">
        <v>3</v>
      </c>
      <c r="N37" t="s">
        <v>28</v>
      </c>
      <c r="O37" s="2">
        <v>400</v>
      </c>
      <c r="P37">
        <v>70</v>
      </c>
      <c r="Q37" s="2">
        <v>15</v>
      </c>
    </row>
    <row r="38" spans="1:17" x14ac:dyDescent="0.2">
      <c r="A38" t="s">
        <v>17</v>
      </c>
      <c r="B38" t="s">
        <v>32</v>
      </c>
      <c r="C38" s="2" t="s">
        <v>37</v>
      </c>
      <c r="D38" s="2">
        <v>56</v>
      </c>
      <c r="E38" s="2">
        <v>1</v>
      </c>
      <c r="F38" s="2">
        <v>1</v>
      </c>
      <c r="G38" s="2" t="s">
        <v>25</v>
      </c>
      <c r="H38" s="2">
        <v>291.2</v>
      </c>
      <c r="I38" s="2">
        <v>0</v>
      </c>
      <c r="J38" s="2">
        <v>0</v>
      </c>
      <c r="K38" s="2">
        <v>0</v>
      </c>
      <c r="L38" t="s">
        <v>27</v>
      </c>
      <c r="M38" s="2">
        <v>3</v>
      </c>
      <c r="N38" t="s">
        <v>28</v>
      </c>
      <c r="O38" s="2">
        <v>400</v>
      </c>
      <c r="P38">
        <v>70</v>
      </c>
      <c r="Q38" s="2">
        <v>15</v>
      </c>
    </row>
    <row r="39" spans="1:17" x14ac:dyDescent="0.2">
      <c r="A39" t="s">
        <v>17</v>
      </c>
      <c r="B39" t="s">
        <v>32</v>
      </c>
      <c r="C39" s="2" t="s">
        <v>37</v>
      </c>
      <c r="D39" s="2">
        <v>70</v>
      </c>
      <c r="E39" s="2">
        <v>1</v>
      </c>
      <c r="F39" s="2">
        <v>1</v>
      </c>
      <c r="G39" s="2" t="s">
        <v>25</v>
      </c>
      <c r="H39" s="2">
        <v>340.2</v>
      </c>
      <c r="I39" s="2">
        <v>0</v>
      </c>
      <c r="J39" s="2">
        <v>0</v>
      </c>
      <c r="K39" s="2">
        <v>0</v>
      </c>
      <c r="L39" t="s">
        <v>12</v>
      </c>
      <c r="M39" s="2">
        <v>3</v>
      </c>
      <c r="N39" t="s">
        <v>28</v>
      </c>
      <c r="O39" s="2">
        <v>400</v>
      </c>
      <c r="P39">
        <v>70</v>
      </c>
      <c r="Q39" s="2">
        <v>15</v>
      </c>
    </row>
    <row r="40" spans="1:17" x14ac:dyDescent="0.2">
      <c r="A40" t="s">
        <v>17</v>
      </c>
      <c r="B40" t="s">
        <v>32</v>
      </c>
      <c r="C40" s="2" t="s">
        <v>37</v>
      </c>
      <c r="D40" s="2">
        <v>77</v>
      </c>
      <c r="E40" s="2">
        <v>1</v>
      </c>
      <c r="F40" s="2">
        <v>1</v>
      </c>
      <c r="G40" s="2" t="s">
        <v>25</v>
      </c>
      <c r="H40" s="2">
        <v>514</v>
      </c>
      <c r="I40" s="2">
        <v>0</v>
      </c>
      <c r="J40" s="2">
        <v>0</v>
      </c>
      <c r="K40" s="2">
        <v>0</v>
      </c>
      <c r="L40" t="s">
        <v>27</v>
      </c>
      <c r="M40" s="2">
        <v>3</v>
      </c>
      <c r="N40" t="s">
        <v>28</v>
      </c>
      <c r="O40" s="2">
        <v>400</v>
      </c>
      <c r="P40">
        <v>70</v>
      </c>
      <c r="Q40" s="2">
        <v>15</v>
      </c>
    </row>
    <row r="41" spans="1:17" s="4" customFormat="1" x14ac:dyDescent="0.2">
      <c r="A41" s="4" t="s">
        <v>17</v>
      </c>
      <c r="B41" s="4" t="s">
        <v>32</v>
      </c>
      <c r="C41" s="5" t="s">
        <v>37</v>
      </c>
      <c r="D41" s="5">
        <v>84</v>
      </c>
      <c r="E41" s="5">
        <v>1</v>
      </c>
      <c r="F41" s="5">
        <v>1</v>
      </c>
      <c r="G41" s="5" t="s">
        <v>25</v>
      </c>
      <c r="H41" s="5">
        <v>558</v>
      </c>
      <c r="I41" s="5">
        <v>0</v>
      </c>
      <c r="J41" s="5">
        <v>0</v>
      </c>
      <c r="K41" s="5">
        <v>0</v>
      </c>
      <c r="L41" s="4" t="s">
        <v>12</v>
      </c>
      <c r="M41" s="5">
        <v>3</v>
      </c>
      <c r="N41" s="4" t="s">
        <v>28</v>
      </c>
      <c r="O41" s="5">
        <v>400</v>
      </c>
      <c r="P41" s="4">
        <v>70</v>
      </c>
      <c r="Q41" s="5">
        <v>15</v>
      </c>
    </row>
    <row r="42" spans="1:17" x14ac:dyDescent="0.2">
      <c r="A42" t="s">
        <v>17</v>
      </c>
      <c r="B42" t="s">
        <v>32</v>
      </c>
      <c r="C42" s="2" t="s">
        <v>38</v>
      </c>
      <c r="D42" s="2">
        <v>0</v>
      </c>
      <c r="E42" s="2">
        <v>1</v>
      </c>
      <c r="F42" s="2">
        <v>1</v>
      </c>
      <c r="G42" s="2" t="s">
        <v>25</v>
      </c>
      <c r="H42" s="2">
        <v>11.16</v>
      </c>
      <c r="I42" s="2">
        <v>0</v>
      </c>
      <c r="J42" s="2">
        <v>0</v>
      </c>
      <c r="K42" s="2">
        <v>0</v>
      </c>
      <c r="L42" t="s">
        <v>27</v>
      </c>
      <c r="M42" s="2">
        <v>3</v>
      </c>
      <c r="N42" t="s">
        <v>28</v>
      </c>
      <c r="O42" s="2">
        <v>400</v>
      </c>
      <c r="P42">
        <v>70</v>
      </c>
      <c r="Q42" s="2">
        <v>15</v>
      </c>
    </row>
    <row r="43" spans="1:17" x14ac:dyDescent="0.2">
      <c r="A43" t="s">
        <v>17</v>
      </c>
      <c r="B43" t="s">
        <v>32</v>
      </c>
      <c r="C43" s="2" t="s">
        <v>38</v>
      </c>
      <c r="D43" s="2">
        <v>14</v>
      </c>
      <c r="E43" s="2">
        <v>1</v>
      </c>
      <c r="F43" s="2">
        <v>1</v>
      </c>
      <c r="G43" s="2" t="s">
        <v>25</v>
      </c>
      <c r="H43" s="2">
        <v>25.3</v>
      </c>
      <c r="I43" s="2">
        <v>0</v>
      </c>
      <c r="J43" s="2">
        <v>0</v>
      </c>
      <c r="K43" s="2">
        <v>0</v>
      </c>
      <c r="L43" t="s">
        <v>12</v>
      </c>
      <c r="M43" s="2">
        <v>3</v>
      </c>
      <c r="N43" t="s">
        <v>28</v>
      </c>
      <c r="O43" s="2">
        <v>400</v>
      </c>
      <c r="P43">
        <v>70</v>
      </c>
      <c r="Q43" s="2">
        <v>15</v>
      </c>
    </row>
    <row r="44" spans="1:17" x14ac:dyDescent="0.2">
      <c r="A44" t="s">
        <v>17</v>
      </c>
      <c r="B44" t="s">
        <v>32</v>
      </c>
      <c r="C44" s="2" t="s">
        <v>38</v>
      </c>
      <c r="D44" s="2">
        <v>28</v>
      </c>
      <c r="E44" s="2">
        <v>1</v>
      </c>
      <c r="F44" s="2">
        <v>1</v>
      </c>
      <c r="G44" s="2" t="s">
        <v>25</v>
      </c>
      <c r="H44" s="2">
        <v>90.1</v>
      </c>
      <c r="I44" s="2">
        <v>0</v>
      </c>
      <c r="J44" s="2">
        <v>0</v>
      </c>
      <c r="K44" s="2">
        <v>0</v>
      </c>
      <c r="L44" t="s">
        <v>27</v>
      </c>
      <c r="M44" s="2">
        <v>3</v>
      </c>
      <c r="N44" t="s">
        <v>28</v>
      </c>
      <c r="O44" s="2">
        <v>400</v>
      </c>
      <c r="P44">
        <v>70</v>
      </c>
      <c r="Q44" s="2">
        <v>15</v>
      </c>
    </row>
    <row r="45" spans="1:17" x14ac:dyDescent="0.2">
      <c r="A45" t="s">
        <v>17</v>
      </c>
      <c r="B45" t="s">
        <v>32</v>
      </c>
      <c r="C45" s="2" t="s">
        <v>38</v>
      </c>
      <c r="D45" s="2">
        <v>42</v>
      </c>
      <c r="E45" s="2">
        <v>1</v>
      </c>
      <c r="F45" s="2">
        <v>1</v>
      </c>
      <c r="G45" s="2" t="s">
        <v>25</v>
      </c>
      <c r="H45" s="2">
        <v>146</v>
      </c>
      <c r="I45" s="2">
        <v>0</v>
      </c>
      <c r="J45" s="2">
        <v>0</v>
      </c>
      <c r="K45" s="2">
        <v>0</v>
      </c>
      <c r="L45" t="s">
        <v>12</v>
      </c>
      <c r="M45" s="2">
        <v>3</v>
      </c>
      <c r="N45" t="s">
        <v>28</v>
      </c>
      <c r="O45" s="2">
        <v>400</v>
      </c>
      <c r="P45">
        <v>70</v>
      </c>
      <c r="Q45" s="2">
        <v>15</v>
      </c>
    </row>
    <row r="46" spans="1:17" x14ac:dyDescent="0.2">
      <c r="A46" t="s">
        <v>17</v>
      </c>
      <c r="B46" t="s">
        <v>32</v>
      </c>
      <c r="C46" s="2" t="s">
        <v>38</v>
      </c>
      <c r="D46" s="2">
        <v>56</v>
      </c>
      <c r="E46" s="2">
        <v>1</v>
      </c>
      <c r="F46" s="2">
        <v>1</v>
      </c>
      <c r="G46" s="2" t="s">
        <v>25</v>
      </c>
      <c r="H46" s="2">
        <v>321.5</v>
      </c>
      <c r="I46" s="2">
        <v>0</v>
      </c>
      <c r="J46" s="2">
        <v>0</v>
      </c>
      <c r="K46" s="2">
        <v>0</v>
      </c>
      <c r="L46" t="s">
        <v>27</v>
      </c>
      <c r="M46" s="2">
        <v>3</v>
      </c>
      <c r="N46" t="s">
        <v>28</v>
      </c>
      <c r="O46" s="2">
        <v>400</v>
      </c>
      <c r="P46">
        <v>70</v>
      </c>
      <c r="Q46" s="2">
        <v>15</v>
      </c>
    </row>
    <row r="47" spans="1:17" x14ac:dyDescent="0.2">
      <c r="A47" t="s">
        <v>17</v>
      </c>
      <c r="B47" t="s">
        <v>32</v>
      </c>
      <c r="C47" s="2" t="s">
        <v>38</v>
      </c>
      <c r="D47" s="2">
        <v>70</v>
      </c>
      <c r="E47" s="2">
        <v>1</v>
      </c>
      <c r="F47" s="2">
        <v>1</v>
      </c>
      <c r="G47" s="2" t="s">
        <v>25</v>
      </c>
      <c r="H47" s="2">
        <v>377</v>
      </c>
      <c r="I47" s="2">
        <v>0</v>
      </c>
      <c r="J47" s="2">
        <v>0</v>
      </c>
      <c r="K47" s="2">
        <v>0</v>
      </c>
      <c r="L47" t="s">
        <v>12</v>
      </c>
      <c r="M47" s="2">
        <v>3</v>
      </c>
      <c r="N47" t="s">
        <v>28</v>
      </c>
      <c r="O47" s="2">
        <v>400</v>
      </c>
      <c r="P47">
        <v>70</v>
      </c>
      <c r="Q47" s="2">
        <v>15</v>
      </c>
    </row>
    <row r="48" spans="1:17" x14ac:dyDescent="0.2">
      <c r="A48" t="s">
        <v>17</v>
      </c>
      <c r="B48" t="s">
        <v>32</v>
      </c>
      <c r="C48" s="2" t="s">
        <v>38</v>
      </c>
      <c r="D48" s="2">
        <v>77</v>
      </c>
      <c r="E48" s="2">
        <v>1</v>
      </c>
      <c r="F48" s="2">
        <v>1</v>
      </c>
      <c r="G48" s="2" t="s">
        <v>25</v>
      </c>
      <c r="H48" s="2">
        <v>562</v>
      </c>
      <c r="I48" s="2">
        <v>0</v>
      </c>
      <c r="J48" s="2">
        <v>0</v>
      </c>
      <c r="K48" s="2">
        <v>0</v>
      </c>
      <c r="L48" t="s">
        <v>27</v>
      </c>
      <c r="M48" s="2">
        <v>3</v>
      </c>
      <c r="N48" t="s">
        <v>28</v>
      </c>
      <c r="O48" s="2">
        <v>400</v>
      </c>
      <c r="P48">
        <v>70</v>
      </c>
      <c r="Q48" s="2">
        <v>15</v>
      </c>
    </row>
    <row r="49" spans="1:17" s="4" customFormat="1" x14ac:dyDescent="0.2">
      <c r="A49" s="4" t="s">
        <v>17</v>
      </c>
      <c r="B49" s="4" t="s">
        <v>32</v>
      </c>
      <c r="C49" s="5" t="s">
        <v>38</v>
      </c>
      <c r="D49" s="5">
        <v>84</v>
      </c>
      <c r="E49" s="5">
        <v>1</v>
      </c>
      <c r="F49" s="5">
        <v>1</v>
      </c>
      <c r="G49" s="5" t="s">
        <v>25</v>
      </c>
      <c r="H49" s="5">
        <v>585</v>
      </c>
      <c r="I49" s="5">
        <v>0</v>
      </c>
      <c r="J49" s="5">
        <v>0</v>
      </c>
      <c r="K49" s="5">
        <v>0</v>
      </c>
      <c r="L49" s="4" t="s">
        <v>12</v>
      </c>
      <c r="M49" s="5">
        <v>3</v>
      </c>
      <c r="N49" s="4" t="s">
        <v>28</v>
      </c>
      <c r="O49" s="5">
        <v>400</v>
      </c>
      <c r="P49" s="4">
        <v>70</v>
      </c>
      <c r="Q49" s="5">
        <v>15</v>
      </c>
    </row>
    <row r="50" spans="1:17" x14ac:dyDescent="0.2">
      <c r="A50" t="s">
        <v>17</v>
      </c>
      <c r="B50" t="s">
        <v>32</v>
      </c>
      <c r="C50" s="2" t="s">
        <v>39</v>
      </c>
      <c r="D50" s="2">
        <v>0</v>
      </c>
      <c r="E50" s="2">
        <v>1</v>
      </c>
      <c r="F50" s="2">
        <v>1</v>
      </c>
      <c r="G50" s="2" t="s">
        <v>25</v>
      </c>
      <c r="H50" s="2">
        <v>10.3</v>
      </c>
      <c r="I50" s="2">
        <v>0</v>
      </c>
      <c r="J50" s="2">
        <v>0</v>
      </c>
      <c r="K50" s="2">
        <v>0</v>
      </c>
      <c r="L50" t="s">
        <v>27</v>
      </c>
      <c r="M50" s="2">
        <v>3</v>
      </c>
      <c r="N50" t="s">
        <v>28</v>
      </c>
      <c r="O50" s="2">
        <v>400</v>
      </c>
      <c r="P50">
        <v>70</v>
      </c>
      <c r="Q50" s="2">
        <v>15</v>
      </c>
    </row>
    <row r="51" spans="1:17" x14ac:dyDescent="0.2">
      <c r="A51" t="s">
        <v>17</v>
      </c>
      <c r="B51" t="s">
        <v>32</v>
      </c>
      <c r="C51" s="2" t="s">
        <v>39</v>
      </c>
      <c r="D51" s="2">
        <v>14</v>
      </c>
      <c r="E51" s="2">
        <v>1</v>
      </c>
      <c r="F51" s="2">
        <v>1</v>
      </c>
      <c r="G51" s="2" t="s">
        <v>25</v>
      </c>
      <c r="H51" s="2">
        <v>25.6</v>
      </c>
      <c r="I51" s="2">
        <v>0</v>
      </c>
      <c r="J51" s="2">
        <v>0</v>
      </c>
      <c r="K51" s="2">
        <v>0</v>
      </c>
      <c r="L51" t="s">
        <v>12</v>
      </c>
      <c r="M51" s="2">
        <v>3</v>
      </c>
      <c r="N51" t="s">
        <v>28</v>
      </c>
      <c r="O51" s="2">
        <v>400</v>
      </c>
      <c r="P51">
        <v>70</v>
      </c>
      <c r="Q51" s="2">
        <v>15</v>
      </c>
    </row>
    <row r="52" spans="1:17" x14ac:dyDescent="0.2">
      <c r="A52" t="s">
        <v>17</v>
      </c>
      <c r="B52" t="s">
        <v>32</v>
      </c>
      <c r="C52" s="2" t="s">
        <v>39</v>
      </c>
      <c r="D52" s="2">
        <v>28</v>
      </c>
      <c r="E52" s="2">
        <v>1</v>
      </c>
      <c r="F52" s="2">
        <v>1</v>
      </c>
      <c r="G52" s="2" t="s">
        <v>25</v>
      </c>
      <c r="H52" s="2">
        <v>83</v>
      </c>
      <c r="I52" s="2">
        <v>0</v>
      </c>
      <c r="J52" s="2">
        <v>0</v>
      </c>
      <c r="K52" s="2">
        <v>0</v>
      </c>
      <c r="L52" t="s">
        <v>27</v>
      </c>
      <c r="M52" s="2">
        <v>3</v>
      </c>
      <c r="N52" t="s">
        <v>28</v>
      </c>
      <c r="O52" s="2">
        <v>400</v>
      </c>
      <c r="P52">
        <v>70</v>
      </c>
      <c r="Q52" s="2">
        <v>15</v>
      </c>
    </row>
    <row r="53" spans="1:17" x14ac:dyDescent="0.2">
      <c r="A53" t="s">
        <v>17</v>
      </c>
      <c r="B53" t="s">
        <v>32</v>
      </c>
      <c r="C53" s="2" t="s">
        <v>39</v>
      </c>
      <c r="D53" s="2">
        <v>42</v>
      </c>
      <c r="E53" s="2">
        <v>1</v>
      </c>
      <c r="F53" s="2">
        <v>1</v>
      </c>
      <c r="G53" s="2" t="s">
        <v>25</v>
      </c>
      <c r="H53" s="2">
        <v>130</v>
      </c>
      <c r="I53" s="2">
        <v>0</v>
      </c>
      <c r="J53" s="2">
        <v>0</v>
      </c>
      <c r="K53" s="2">
        <v>0</v>
      </c>
      <c r="L53" t="s">
        <v>12</v>
      </c>
      <c r="M53" s="2">
        <v>3</v>
      </c>
      <c r="N53" t="s">
        <v>28</v>
      </c>
      <c r="O53" s="2">
        <v>400</v>
      </c>
      <c r="P53">
        <v>70</v>
      </c>
      <c r="Q53" s="2">
        <v>15</v>
      </c>
    </row>
    <row r="54" spans="1:17" x14ac:dyDescent="0.2">
      <c r="A54" t="s">
        <v>17</v>
      </c>
      <c r="B54" t="s">
        <v>32</v>
      </c>
      <c r="C54" s="2" t="s">
        <v>39</v>
      </c>
      <c r="D54" s="2">
        <v>56</v>
      </c>
      <c r="E54" s="2">
        <v>1</v>
      </c>
      <c r="F54" s="2">
        <v>1</v>
      </c>
      <c r="G54" s="2" t="s">
        <v>25</v>
      </c>
      <c r="H54" s="2">
        <v>274</v>
      </c>
      <c r="I54" s="2">
        <v>0</v>
      </c>
      <c r="J54" s="2">
        <v>0</v>
      </c>
      <c r="K54" s="2">
        <v>0</v>
      </c>
      <c r="L54" t="s">
        <v>27</v>
      </c>
      <c r="M54" s="2">
        <v>3</v>
      </c>
      <c r="N54" t="s">
        <v>28</v>
      </c>
      <c r="O54" s="2">
        <v>400</v>
      </c>
      <c r="P54">
        <v>70</v>
      </c>
      <c r="Q54" s="2">
        <v>15</v>
      </c>
    </row>
    <row r="55" spans="1:17" x14ac:dyDescent="0.2">
      <c r="A55" t="s">
        <v>17</v>
      </c>
      <c r="B55" t="s">
        <v>32</v>
      </c>
      <c r="C55" s="2" t="s">
        <v>39</v>
      </c>
      <c r="D55" s="2">
        <v>70</v>
      </c>
      <c r="E55" s="2">
        <v>1</v>
      </c>
      <c r="F55" s="2">
        <v>1</v>
      </c>
      <c r="G55" s="2" t="s">
        <v>25</v>
      </c>
      <c r="H55" s="2">
        <v>314.39999999999998</v>
      </c>
      <c r="I55" s="2">
        <v>0</v>
      </c>
      <c r="J55" s="2">
        <v>0</v>
      </c>
      <c r="K55" s="2">
        <v>0</v>
      </c>
      <c r="L55" t="s">
        <v>12</v>
      </c>
      <c r="M55" s="2">
        <v>3</v>
      </c>
      <c r="N55" t="s">
        <v>28</v>
      </c>
      <c r="O55" s="2">
        <v>400</v>
      </c>
      <c r="P55">
        <v>70</v>
      </c>
      <c r="Q55" s="2">
        <v>15</v>
      </c>
    </row>
    <row r="56" spans="1:17" x14ac:dyDescent="0.2">
      <c r="A56" t="s">
        <v>17</v>
      </c>
      <c r="B56" t="s">
        <v>32</v>
      </c>
      <c r="C56" s="2" t="s">
        <v>39</v>
      </c>
      <c r="D56" s="2">
        <v>77</v>
      </c>
      <c r="E56" s="2">
        <v>1</v>
      </c>
      <c r="F56" s="2">
        <v>1</v>
      </c>
      <c r="G56" s="2" t="s">
        <v>25</v>
      </c>
      <c r="H56" s="2">
        <v>503.5</v>
      </c>
      <c r="I56" s="2">
        <v>0</v>
      </c>
      <c r="J56" s="2">
        <v>0</v>
      </c>
      <c r="K56" s="2">
        <v>0</v>
      </c>
      <c r="L56" t="s">
        <v>27</v>
      </c>
      <c r="M56" s="2">
        <v>3</v>
      </c>
      <c r="N56" t="s">
        <v>28</v>
      </c>
      <c r="O56" s="2">
        <v>400</v>
      </c>
      <c r="P56">
        <v>70</v>
      </c>
      <c r="Q56" s="2">
        <v>15</v>
      </c>
    </row>
    <row r="57" spans="1:17" x14ac:dyDescent="0.2">
      <c r="A57" t="s">
        <v>17</v>
      </c>
      <c r="B57" t="s">
        <v>32</v>
      </c>
      <c r="C57" s="2" t="s">
        <v>39</v>
      </c>
      <c r="D57" s="2">
        <v>84</v>
      </c>
      <c r="E57" s="2">
        <v>1</v>
      </c>
      <c r="F57" s="2">
        <v>1</v>
      </c>
      <c r="G57" s="2" t="s">
        <v>25</v>
      </c>
      <c r="H57" s="2">
        <v>492</v>
      </c>
      <c r="I57" s="2">
        <v>0</v>
      </c>
      <c r="J57" s="2">
        <v>0</v>
      </c>
      <c r="K57" s="2">
        <v>0</v>
      </c>
      <c r="L57" t="s">
        <v>12</v>
      </c>
      <c r="M57" s="2">
        <v>3</v>
      </c>
      <c r="N57" t="s">
        <v>28</v>
      </c>
      <c r="O57" s="2">
        <v>400</v>
      </c>
      <c r="P57">
        <v>70</v>
      </c>
      <c r="Q57" s="2">
        <v>15</v>
      </c>
    </row>
  </sheetData>
  <phoneticPr fontId="2" type="noConversion"/>
  <conditionalFormatting sqref="G1">
    <cfRule type="cellIs" dxfId="81" priority="5" operator="equal">
      <formula>"J"</formula>
    </cfRule>
    <cfRule type="cellIs" dxfId="80" priority="6" operator="equal">
      <formula>"A"</formula>
    </cfRule>
  </conditionalFormatting>
  <conditionalFormatting sqref="G1:G1048576">
    <cfRule type="cellIs" dxfId="79" priority="1" operator="equal">
      <formula>"J"</formula>
    </cfRule>
    <cfRule type="cellIs" dxfId="78" priority="2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08D7-79C9-404D-8ECC-14B0D88E8620}">
  <dimension ref="A1:Q85"/>
  <sheetViews>
    <sheetView workbookViewId="0">
      <pane ySplit="1" topLeftCell="A6" activePane="bottomLeft" state="frozen"/>
      <selection activeCell="G1" sqref="G1"/>
      <selection pane="bottomLeft" activeCell="M13" sqref="M13"/>
    </sheetView>
  </sheetViews>
  <sheetFormatPr baseColWidth="10" defaultRowHeight="16" x14ac:dyDescent="0.2"/>
  <cols>
    <col min="1" max="1" width="18.6640625" customWidth="1"/>
    <col min="2" max="2" width="12.5" customWidth="1"/>
  </cols>
  <sheetData>
    <row r="1" spans="1:17" s="11" customFormat="1" x14ac:dyDescent="0.2">
      <c r="A1" s="11" t="s">
        <v>0</v>
      </c>
      <c r="B1" s="11" t="s">
        <v>1</v>
      </c>
      <c r="C1" s="12" t="s">
        <v>3</v>
      </c>
      <c r="D1" s="13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9</v>
      </c>
      <c r="J1" s="11" t="s">
        <v>10</v>
      </c>
      <c r="K1" s="11" t="s">
        <v>8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">
      <c r="A2" t="s">
        <v>17</v>
      </c>
      <c r="B2" t="s">
        <v>40</v>
      </c>
      <c r="C2" t="s">
        <v>42</v>
      </c>
      <c r="D2">
        <v>0</v>
      </c>
      <c r="E2">
        <v>1</v>
      </c>
      <c r="F2">
        <v>1</v>
      </c>
      <c r="G2" t="s">
        <v>25</v>
      </c>
      <c r="H2">
        <v>10.199999999999999</v>
      </c>
      <c r="I2">
        <v>0</v>
      </c>
      <c r="J2">
        <v>0</v>
      </c>
      <c r="K2">
        <v>0</v>
      </c>
      <c r="L2" t="s">
        <v>27</v>
      </c>
      <c r="M2">
        <v>0</v>
      </c>
      <c r="N2" t="s">
        <v>28</v>
      </c>
      <c r="O2">
        <v>400</v>
      </c>
      <c r="P2">
        <v>70</v>
      </c>
      <c r="Q2">
        <v>15</v>
      </c>
    </row>
    <row r="3" spans="1:17" x14ac:dyDescent="0.2">
      <c r="A3" t="s">
        <v>17</v>
      </c>
      <c r="B3" t="s">
        <v>40</v>
      </c>
      <c r="C3" t="s">
        <v>42</v>
      </c>
      <c r="D3">
        <v>14</v>
      </c>
      <c r="E3">
        <v>1</v>
      </c>
      <c r="F3">
        <v>1</v>
      </c>
      <c r="G3" t="s">
        <v>25</v>
      </c>
      <c r="H3">
        <v>15</v>
      </c>
      <c r="I3">
        <v>0</v>
      </c>
      <c r="J3">
        <v>0</v>
      </c>
      <c r="K3">
        <v>0</v>
      </c>
      <c r="L3" t="s">
        <v>12</v>
      </c>
      <c r="M3">
        <v>0</v>
      </c>
      <c r="N3" t="s">
        <v>28</v>
      </c>
      <c r="O3">
        <v>400</v>
      </c>
      <c r="P3">
        <v>70</v>
      </c>
      <c r="Q3">
        <v>15</v>
      </c>
    </row>
    <row r="4" spans="1:17" x14ac:dyDescent="0.2">
      <c r="A4" t="s">
        <v>17</v>
      </c>
      <c r="B4" t="s">
        <v>40</v>
      </c>
      <c r="C4" t="s">
        <v>42</v>
      </c>
      <c r="D4">
        <v>28</v>
      </c>
      <c r="E4">
        <v>1</v>
      </c>
      <c r="F4">
        <v>1</v>
      </c>
      <c r="G4" t="s">
        <v>25</v>
      </c>
      <c r="H4">
        <v>16.5</v>
      </c>
      <c r="I4">
        <v>0</v>
      </c>
      <c r="J4">
        <v>0</v>
      </c>
      <c r="K4">
        <v>0</v>
      </c>
      <c r="L4" t="s">
        <v>27</v>
      </c>
      <c r="M4">
        <v>0</v>
      </c>
      <c r="N4" t="s">
        <v>28</v>
      </c>
      <c r="O4">
        <v>400</v>
      </c>
      <c r="P4">
        <v>70</v>
      </c>
      <c r="Q4">
        <v>15</v>
      </c>
    </row>
    <row r="5" spans="1:17" x14ac:dyDescent="0.2">
      <c r="A5" t="s">
        <v>17</v>
      </c>
      <c r="B5" t="s">
        <v>40</v>
      </c>
      <c r="C5" t="s">
        <v>42</v>
      </c>
      <c r="D5">
        <v>42</v>
      </c>
      <c r="E5">
        <v>1</v>
      </c>
      <c r="F5">
        <v>1</v>
      </c>
      <c r="G5" t="s">
        <v>25</v>
      </c>
      <c r="H5">
        <v>15.6</v>
      </c>
      <c r="I5">
        <v>0</v>
      </c>
      <c r="J5">
        <v>0</v>
      </c>
      <c r="K5">
        <v>0</v>
      </c>
      <c r="L5" t="s">
        <v>12</v>
      </c>
      <c r="M5">
        <v>0</v>
      </c>
      <c r="N5" t="s">
        <v>28</v>
      </c>
      <c r="O5">
        <v>400</v>
      </c>
      <c r="P5">
        <v>70</v>
      </c>
      <c r="Q5">
        <v>15</v>
      </c>
    </row>
    <row r="6" spans="1:17" x14ac:dyDescent="0.2">
      <c r="A6" t="s">
        <v>17</v>
      </c>
      <c r="B6" t="s">
        <v>40</v>
      </c>
      <c r="C6" t="s">
        <v>42</v>
      </c>
      <c r="D6">
        <v>56</v>
      </c>
      <c r="E6">
        <v>1</v>
      </c>
      <c r="F6">
        <v>1</v>
      </c>
      <c r="G6" t="s">
        <v>25</v>
      </c>
      <c r="H6">
        <v>19.600000000000001</v>
      </c>
      <c r="I6">
        <v>0</v>
      </c>
      <c r="J6">
        <v>0</v>
      </c>
      <c r="K6">
        <v>0</v>
      </c>
      <c r="L6" t="s">
        <v>27</v>
      </c>
      <c r="M6">
        <v>0</v>
      </c>
      <c r="N6" t="s">
        <v>28</v>
      </c>
      <c r="O6">
        <v>400</v>
      </c>
      <c r="P6">
        <v>70</v>
      </c>
      <c r="Q6">
        <v>15</v>
      </c>
    </row>
    <row r="7" spans="1:17" x14ac:dyDescent="0.2">
      <c r="A7" t="s">
        <v>17</v>
      </c>
      <c r="B7" t="s">
        <v>40</v>
      </c>
      <c r="C7" t="s">
        <v>42</v>
      </c>
      <c r="D7">
        <v>70</v>
      </c>
      <c r="E7">
        <v>1</v>
      </c>
      <c r="F7">
        <v>1</v>
      </c>
      <c r="G7" t="s">
        <v>25</v>
      </c>
      <c r="H7">
        <v>21.7</v>
      </c>
      <c r="I7">
        <v>0</v>
      </c>
      <c r="J7">
        <v>0</v>
      </c>
      <c r="K7">
        <v>0</v>
      </c>
      <c r="L7" t="s">
        <v>12</v>
      </c>
      <c r="M7">
        <v>3</v>
      </c>
      <c r="N7" t="s">
        <v>28</v>
      </c>
      <c r="O7">
        <v>400</v>
      </c>
      <c r="P7">
        <v>70</v>
      </c>
      <c r="Q7">
        <v>15</v>
      </c>
    </row>
    <row r="8" spans="1:17" x14ac:dyDescent="0.2">
      <c r="A8" t="s">
        <v>17</v>
      </c>
      <c r="B8" t="s">
        <v>40</v>
      </c>
      <c r="C8" t="s">
        <v>42</v>
      </c>
      <c r="D8">
        <v>84</v>
      </c>
      <c r="E8">
        <v>1</v>
      </c>
      <c r="F8">
        <v>1</v>
      </c>
      <c r="G8" t="s">
        <v>25</v>
      </c>
      <c r="H8">
        <v>42.5</v>
      </c>
      <c r="I8">
        <v>0</v>
      </c>
      <c r="J8">
        <v>0</v>
      </c>
      <c r="K8">
        <v>0</v>
      </c>
      <c r="L8" t="s">
        <v>27</v>
      </c>
      <c r="M8">
        <v>3</v>
      </c>
      <c r="N8" t="s">
        <v>28</v>
      </c>
      <c r="O8">
        <v>400</v>
      </c>
      <c r="P8">
        <v>70</v>
      </c>
      <c r="Q8">
        <v>15</v>
      </c>
    </row>
    <row r="9" spans="1:17" x14ac:dyDescent="0.2">
      <c r="A9" t="s">
        <v>17</v>
      </c>
      <c r="B9" t="s">
        <v>40</v>
      </c>
      <c r="C9" t="s">
        <v>42</v>
      </c>
      <c r="D9">
        <v>98</v>
      </c>
      <c r="E9">
        <v>1</v>
      </c>
      <c r="F9">
        <v>1</v>
      </c>
      <c r="G9" t="s">
        <v>25</v>
      </c>
      <c r="H9">
        <v>92.5</v>
      </c>
      <c r="I9">
        <v>0</v>
      </c>
      <c r="J9">
        <v>0</v>
      </c>
      <c r="K9">
        <v>0</v>
      </c>
      <c r="L9" t="s">
        <v>27</v>
      </c>
      <c r="M9">
        <v>0</v>
      </c>
      <c r="N9" t="s">
        <v>28</v>
      </c>
      <c r="O9">
        <v>400</v>
      </c>
      <c r="P9">
        <v>70</v>
      </c>
      <c r="Q9">
        <v>15</v>
      </c>
    </row>
    <row r="10" spans="1:17" x14ac:dyDescent="0.2">
      <c r="A10" t="s">
        <v>17</v>
      </c>
      <c r="B10" t="s">
        <v>40</v>
      </c>
      <c r="C10" t="s">
        <v>42</v>
      </c>
      <c r="D10">
        <v>112</v>
      </c>
      <c r="E10">
        <v>1</v>
      </c>
      <c r="F10">
        <v>1</v>
      </c>
      <c r="G10" t="s">
        <v>25</v>
      </c>
      <c r="H10">
        <v>111</v>
      </c>
      <c r="I10">
        <v>0</v>
      </c>
      <c r="J10">
        <v>0</v>
      </c>
      <c r="K10">
        <v>0</v>
      </c>
      <c r="L10" t="s">
        <v>27</v>
      </c>
      <c r="M10">
        <v>0</v>
      </c>
      <c r="N10" t="s">
        <v>28</v>
      </c>
      <c r="O10">
        <v>400</v>
      </c>
      <c r="P10">
        <v>70</v>
      </c>
      <c r="Q10">
        <v>15</v>
      </c>
    </row>
    <row r="11" spans="1:17" x14ac:dyDescent="0.2">
      <c r="A11" t="s">
        <v>17</v>
      </c>
      <c r="B11" t="s">
        <v>40</v>
      </c>
      <c r="C11" t="s">
        <v>42</v>
      </c>
      <c r="D11">
        <v>126</v>
      </c>
      <c r="E11">
        <v>1</v>
      </c>
      <c r="F11">
        <v>1</v>
      </c>
      <c r="G11" t="s">
        <v>25</v>
      </c>
      <c r="H11">
        <v>118</v>
      </c>
      <c r="I11">
        <v>0</v>
      </c>
      <c r="J11">
        <v>0</v>
      </c>
      <c r="K11">
        <v>0</v>
      </c>
      <c r="L11" t="s">
        <v>12</v>
      </c>
      <c r="M11">
        <v>0</v>
      </c>
      <c r="N11" t="s">
        <v>28</v>
      </c>
      <c r="O11">
        <v>400</v>
      </c>
      <c r="P11">
        <v>70</v>
      </c>
      <c r="Q11">
        <v>15</v>
      </c>
    </row>
    <row r="12" spans="1:17" x14ac:dyDescent="0.2">
      <c r="A12" t="s">
        <v>17</v>
      </c>
      <c r="B12" t="s">
        <v>40</v>
      </c>
      <c r="C12" t="s">
        <v>42</v>
      </c>
      <c r="D12">
        <v>140</v>
      </c>
      <c r="E12">
        <v>1</v>
      </c>
      <c r="F12">
        <v>1</v>
      </c>
      <c r="G12" t="s">
        <v>25</v>
      </c>
      <c r="H12">
        <v>120</v>
      </c>
      <c r="I12">
        <v>0</v>
      </c>
      <c r="J12">
        <v>0</v>
      </c>
      <c r="K12">
        <v>0</v>
      </c>
      <c r="L12" t="s">
        <v>27</v>
      </c>
      <c r="M12">
        <v>3</v>
      </c>
      <c r="N12" t="s">
        <v>28</v>
      </c>
      <c r="O12">
        <v>400</v>
      </c>
      <c r="P12">
        <v>70</v>
      </c>
      <c r="Q12">
        <v>15</v>
      </c>
    </row>
    <row r="13" spans="1:17" x14ac:dyDescent="0.2">
      <c r="A13" t="s">
        <v>17</v>
      </c>
      <c r="B13" t="s">
        <v>40</v>
      </c>
      <c r="C13" t="s">
        <v>42</v>
      </c>
      <c r="D13">
        <v>154</v>
      </c>
      <c r="E13">
        <v>1</v>
      </c>
      <c r="F13">
        <v>1</v>
      </c>
      <c r="G13" t="s">
        <v>25</v>
      </c>
      <c r="H13">
        <v>222</v>
      </c>
      <c r="I13">
        <v>0</v>
      </c>
      <c r="J13">
        <v>0</v>
      </c>
      <c r="K13">
        <v>0</v>
      </c>
      <c r="L13" t="s">
        <v>27</v>
      </c>
      <c r="M13">
        <v>0</v>
      </c>
      <c r="N13" t="s">
        <v>28</v>
      </c>
      <c r="O13">
        <v>400</v>
      </c>
      <c r="P13">
        <v>70</v>
      </c>
      <c r="Q13">
        <v>15</v>
      </c>
    </row>
    <row r="14" spans="1:17" x14ac:dyDescent="0.2">
      <c r="A14" t="s">
        <v>17</v>
      </c>
      <c r="B14" t="s">
        <v>40</v>
      </c>
      <c r="C14" t="s">
        <v>42</v>
      </c>
      <c r="D14">
        <v>168</v>
      </c>
      <c r="E14">
        <v>1</v>
      </c>
      <c r="F14">
        <v>1</v>
      </c>
      <c r="G14" t="s">
        <v>25</v>
      </c>
      <c r="H14">
        <v>262</v>
      </c>
      <c r="I14">
        <v>0</v>
      </c>
      <c r="J14">
        <v>0</v>
      </c>
      <c r="K14">
        <v>0</v>
      </c>
      <c r="L14" t="s">
        <v>27</v>
      </c>
      <c r="M14">
        <v>0</v>
      </c>
      <c r="N14" t="s">
        <v>28</v>
      </c>
      <c r="O14">
        <v>400</v>
      </c>
      <c r="P14">
        <v>70</v>
      </c>
      <c r="Q14">
        <v>15</v>
      </c>
    </row>
    <row r="15" spans="1:17" x14ac:dyDescent="0.2">
      <c r="A15" t="s">
        <v>17</v>
      </c>
      <c r="B15" t="s">
        <v>40</v>
      </c>
      <c r="C15" t="s">
        <v>42</v>
      </c>
      <c r="D15">
        <v>182</v>
      </c>
      <c r="E15">
        <v>1</v>
      </c>
      <c r="F15">
        <v>1</v>
      </c>
      <c r="G15" t="s">
        <v>25</v>
      </c>
      <c r="H15">
        <v>272</v>
      </c>
      <c r="I15">
        <v>0</v>
      </c>
      <c r="J15">
        <v>0</v>
      </c>
      <c r="K15">
        <v>0</v>
      </c>
      <c r="L15" t="s">
        <v>12</v>
      </c>
      <c r="M15">
        <v>0</v>
      </c>
      <c r="N15" t="s">
        <v>28</v>
      </c>
      <c r="O15">
        <v>400</v>
      </c>
      <c r="P15">
        <v>70</v>
      </c>
      <c r="Q15">
        <v>15</v>
      </c>
    </row>
    <row r="16" spans="1:17" x14ac:dyDescent="0.2">
      <c r="A16" t="s">
        <v>17</v>
      </c>
      <c r="B16" t="s">
        <v>40</v>
      </c>
      <c r="C16" t="s">
        <v>42</v>
      </c>
      <c r="D16">
        <v>196</v>
      </c>
      <c r="E16">
        <v>1</v>
      </c>
      <c r="F16">
        <v>1</v>
      </c>
      <c r="G16" t="s">
        <v>25</v>
      </c>
      <c r="H16">
        <v>352</v>
      </c>
      <c r="I16">
        <v>0</v>
      </c>
      <c r="J16">
        <v>0</v>
      </c>
      <c r="K16">
        <v>0</v>
      </c>
      <c r="L16" t="s">
        <v>27</v>
      </c>
      <c r="M16">
        <v>0</v>
      </c>
      <c r="N16" t="s">
        <v>28</v>
      </c>
      <c r="O16">
        <v>400</v>
      </c>
      <c r="P16">
        <v>70</v>
      </c>
      <c r="Q16">
        <v>15</v>
      </c>
    </row>
    <row r="17" spans="1:17" x14ac:dyDescent="0.2">
      <c r="A17" t="s">
        <v>17</v>
      </c>
      <c r="B17" t="s">
        <v>40</v>
      </c>
      <c r="C17" t="s">
        <v>42</v>
      </c>
      <c r="D17">
        <v>210</v>
      </c>
      <c r="E17">
        <v>1</v>
      </c>
      <c r="F17">
        <v>1</v>
      </c>
      <c r="G17" t="s">
        <v>25</v>
      </c>
      <c r="H17">
        <v>352</v>
      </c>
      <c r="I17">
        <v>0</v>
      </c>
      <c r="J17">
        <v>0</v>
      </c>
      <c r="K17">
        <v>0</v>
      </c>
      <c r="L17" t="s">
        <v>12</v>
      </c>
      <c r="M17">
        <v>0</v>
      </c>
      <c r="N17" t="s">
        <v>28</v>
      </c>
      <c r="O17">
        <v>400</v>
      </c>
      <c r="P17">
        <v>70</v>
      </c>
      <c r="Q17">
        <v>15</v>
      </c>
    </row>
    <row r="18" spans="1:17" s="4" customFormat="1" x14ac:dyDescent="0.2">
      <c r="A18" s="4" t="s">
        <v>17</v>
      </c>
      <c r="B18" s="4" t="s">
        <v>40</v>
      </c>
      <c r="C18" s="4" t="s">
        <v>42</v>
      </c>
      <c r="D18" s="4">
        <v>233</v>
      </c>
      <c r="E18" s="4">
        <v>1</v>
      </c>
      <c r="F18" s="4">
        <v>1</v>
      </c>
      <c r="G18" s="4" t="s">
        <v>25</v>
      </c>
      <c r="H18" s="4">
        <v>444</v>
      </c>
      <c r="I18" s="4">
        <v>0</v>
      </c>
      <c r="J18" s="4">
        <v>0</v>
      </c>
      <c r="K18" s="4">
        <v>0</v>
      </c>
      <c r="L18" s="4" t="s">
        <v>27</v>
      </c>
      <c r="M18" s="4">
        <v>0</v>
      </c>
      <c r="N18" s="4" t="s">
        <v>28</v>
      </c>
      <c r="O18" s="4">
        <v>400</v>
      </c>
      <c r="P18" s="4">
        <v>70</v>
      </c>
      <c r="Q18" s="4">
        <v>15</v>
      </c>
    </row>
    <row r="19" spans="1:17" x14ac:dyDescent="0.2">
      <c r="A19" t="s">
        <v>17</v>
      </c>
      <c r="B19" t="s">
        <v>40</v>
      </c>
      <c r="C19" t="s">
        <v>43</v>
      </c>
      <c r="D19">
        <v>0</v>
      </c>
      <c r="E19">
        <v>1</v>
      </c>
      <c r="F19">
        <v>1</v>
      </c>
      <c r="G19" t="s">
        <v>25</v>
      </c>
      <c r="H19">
        <v>9.8000000000000007</v>
      </c>
      <c r="I19">
        <v>0</v>
      </c>
      <c r="J19">
        <v>0</v>
      </c>
      <c r="K19">
        <v>0</v>
      </c>
      <c r="L19" t="s">
        <v>27</v>
      </c>
      <c r="M19">
        <v>0</v>
      </c>
      <c r="N19" t="s">
        <v>28</v>
      </c>
      <c r="O19">
        <v>400</v>
      </c>
      <c r="P19">
        <v>70</v>
      </c>
      <c r="Q19">
        <v>15</v>
      </c>
    </row>
    <row r="20" spans="1:17" x14ac:dyDescent="0.2">
      <c r="A20" t="s">
        <v>17</v>
      </c>
      <c r="B20" t="s">
        <v>40</v>
      </c>
      <c r="C20" t="s">
        <v>43</v>
      </c>
      <c r="D20">
        <v>14</v>
      </c>
      <c r="E20">
        <v>1</v>
      </c>
      <c r="F20">
        <v>1</v>
      </c>
      <c r="G20" t="s">
        <v>25</v>
      </c>
      <c r="H20">
        <v>14.8</v>
      </c>
      <c r="I20">
        <v>0</v>
      </c>
      <c r="J20">
        <v>0</v>
      </c>
      <c r="K20">
        <v>0</v>
      </c>
      <c r="L20" t="s">
        <v>12</v>
      </c>
      <c r="M20">
        <v>0</v>
      </c>
      <c r="N20" t="s">
        <v>28</v>
      </c>
      <c r="O20">
        <v>400</v>
      </c>
      <c r="P20">
        <v>70</v>
      </c>
      <c r="Q20">
        <v>15</v>
      </c>
    </row>
    <row r="21" spans="1:17" x14ac:dyDescent="0.2">
      <c r="A21" t="s">
        <v>17</v>
      </c>
      <c r="B21" t="s">
        <v>40</v>
      </c>
      <c r="C21" t="s">
        <v>43</v>
      </c>
      <c r="D21">
        <v>28</v>
      </c>
      <c r="E21">
        <v>1</v>
      </c>
      <c r="F21">
        <v>1</v>
      </c>
      <c r="G21" t="s">
        <v>25</v>
      </c>
      <c r="H21">
        <v>16.399999999999999</v>
      </c>
      <c r="I21">
        <v>0</v>
      </c>
      <c r="J21">
        <v>0</v>
      </c>
      <c r="K21">
        <v>0</v>
      </c>
      <c r="L21" t="s">
        <v>27</v>
      </c>
      <c r="M21">
        <v>0</v>
      </c>
      <c r="N21" t="s">
        <v>28</v>
      </c>
      <c r="O21">
        <v>400</v>
      </c>
      <c r="P21">
        <v>70</v>
      </c>
      <c r="Q21">
        <v>15</v>
      </c>
    </row>
    <row r="22" spans="1:17" x14ac:dyDescent="0.2">
      <c r="A22" t="s">
        <v>17</v>
      </c>
      <c r="B22" t="s">
        <v>40</v>
      </c>
      <c r="C22" t="s">
        <v>43</v>
      </c>
      <c r="D22">
        <v>42</v>
      </c>
      <c r="E22">
        <v>1</v>
      </c>
      <c r="F22">
        <v>1</v>
      </c>
      <c r="G22" t="s">
        <v>25</v>
      </c>
      <c r="H22">
        <v>17.600000000000001</v>
      </c>
      <c r="I22">
        <v>0</v>
      </c>
      <c r="J22">
        <v>0</v>
      </c>
      <c r="K22">
        <v>0</v>
      </c>
      <c r="L22" t="s">
        <v>12</v>
      </c>
      <c r="M22">
        <v>0</v>
      </c>
      <c r="N22" t="s">
        <v>28</v>
      </c>
      <c r="O22">
        <v>400</v>
      </c>
      <c r="P22">
        <v>70</v>
      </c>
      <c r="Q22">
        <v>15</v>
      </c>
    </row>
    <row r="23" spans="1:17" x14ac:dyDescent="0.2">
      <c r="A23" t="s">
        <v>17</v>
      </c>
      <c r="B23" t="s">
        <v>40</v>
      </c>
      <c r="C23" t="s">
        <v>43</v>
      </c>
      <c r="D23">
        <v>56</v>
      </c>
      <c r="E23">
        <v>1</v>
      </c>
      <c r="F23">
        <v>1</v>
      </c>
      <c r="G23" t="s">
        <v>25</v>
      </c>
      <c r="H23">
        <v>20</v>
      </c>
      <c r="I23">
        <v>0</v>
      </c>
      <c r="J23">
        <v>0</v>
      </c>
      <c r="K23">
        <v>0</v>
      </c>
      <c r="L23" t="s">
        <v>27</v>
      </c>
      <c r="M23">
        <v>0</v>
      </c>
      <c r="N23" t="s">
        <v>28</v>
      </c>
      <c r="O23">
        <v>400</v>
      </c>
      <c r="P23">
        <v>70</v>
      </c>
      <c r="Q23">
        <v>15</v>
      </c>
    </row>
    <row r="24" spans="1:17" x14ac:dyDescent="0.2">
      <c r="A24" t="s">
        <v>17</v>
      </c>
      <c r="B24" t="s">
        <v>40</v>
      </c>
      <c r="C24" t="s">
        <v>43</v>
      </c>
      <c r="D24">
        <v>70</v>
      </c>
      <c r="E24">
        <v>1</v>
      </c>
      <c r="F24">
        <v>1</v>
      </c>
      <c r="G24" t="s">
        <v>25</v>
      </c>
      <c r="H24">
        <v>22</v>
      </c>
      <c r="I24">
        <v>0</v>
      </c>
      <c r="J24">
        <v>0</v>
      </c>
      <c r="K24">
        <v>0</v>
      </c>
      <c r="L24" t="s">
        <v>12</v>
      </c>
      <c r="M24">
        <v>3</v>
      </c>
      <c r="N24" t="s">
        <v>28</v>
      </c>
      <c r="O24">
        <v>400</v>
      </c>
      <c r="P24">
        <v>70</v>
      </c>
      <c r="Q24">
        <v>15</v>
      </c>
    </row>
    <row r="25" spans="1:17" x14ac:dyDescent="0.2">
      <c r="A25" t="s">
        <v>17</v>
      </c>
      <c r="B25" t="s">
        <v>40</v>
      </c>
      <c r="C25" t="s">
        <v>43</v>
      </c>
      <c r="D25">
        <v>84</v>
      </c>
      <c r="E25">
        <v>1</v>
      </c>
      <c r="F25">
        <v>1</v>
      </c>
      <c r="G25" t="s">
        <v>25</v>
      </c>
      <c r="H25">
        <v>46.5</v>
      </c>
      <c r="I25">
        <v>0</v>
      </c>
      <c r="J25">
        <v>0</v>
      </c>
      <c r="K25">
        <v>0</v>
      </c>
      <c r="L25" t="s">
        <v>27</v>
      </c>
      <c r="M25">
        <v>3</v>
      </c>
      <c r="N25" t="s">
        <v>28</v>
      </c>
      <c r="O25">
        <v>400</v>
      </c>
      <c r="P25">
        <v>70</v>
      </c>
      <c r="Q25">
        <v>15</v>
      </c>
    </row>
    <row r="26" spans="1:17" x14ac:dyDescent="0.2">
      <c r="A26" t="s">
        <v>17</v>
      </c>
      <c r="B26" t="s">
        <v>40</v>
      </c>
      <c r="C26" t="s">
        <v>43</v>
      </c>
      <c r="D26">
        <v>98</v>
      </c>
      <c r="E26">
        <v>1</v>
      </c>
      <c r="F26">
        <v>1</v>
      </c>
      <c r="G26" t="s">
        <v>25</v>
      </c>
      <c r="H26">
        <v>97</v>
      </c>
      <c r="I26">
        <v>0</v>
      </c>
      <c r="J26">
        <v>0</v>
      </c>
      <c r="K26">
        <v>0</v>
      </c>
      <c r="L26" t="s">
        <v>12</v>
      </c>
      <c r="M26">
        <v>0</v>
      </c>
      <c r="N26" t="s">
        <v>28</v>
      </c>
      <c r="O26">
        <v>400</v>
      </c>
      <c r="P26">
        <v>70</v>
      </c>
      <c r="Q26">
        <v>15</v>
      </c>
    </row>
    <row r="27" spans="1:17" x14ac:dyDescent="0.2">
      <c r="A27" t="s">
        <v>17</v>
      </c>
      <c r="B27" t="s">
        <v>40</v>
      </c>
      <c r="C27" t="s">
        <v>43</v>
      </c>
      <c r="D27">
        <v>112</v>
      </c>
      <c r="E27">
        <v>1</v>
      </c>
      <c r="F27">
        <v>1</v>
      </c>
      <c r="G27" t="s">
        <v>25</v>
      </c>
      <c r="H27">
        <v>100</v>
      </c>
      <c r="I27">
        <v>0</v>
      </c>
      <c r="J27">
        <v>0</v>
      </c>
      <c r="K27">
        <v>0</v>
      </c>
      <c r="L27" t="s">
        <v>27</v>
      </c>
      <c r="M27">
        <v>0</v>
      </c>
      <c r="N27" t="s">
        <v>28</v>
      </c>
      <c r="O27">
        <v>400</v>
      </c>
      <c r="P27">
        <v>70</v>
      </c>
      <c r="Q27">
        <v>15</v>
      </c>
    </row>
    <row r="28" spans="1:17" x14ac:dyDescent="0.2">
      <c r="A28" t="s">
        <v>17</v>
      </c>
      <c r="B28" t="s">
        <v>40</v>
      </c>
      <c r="C28" t="s">
        <v>43</v>
      </c>
      <c r="D28">
        <v>126</v>
      </c>
      <c r="E28">
        <v>1</v>
      </c>
      <c r="F28">
        <v>1</v>
      </c>
      <c r="G28" t="s">
        <v>25</v>
      </c>
      <c r="H28">
        <v>102.3</v>
      </c>
      <c r="I28">
        <v>0</v>
      </c>
      <c r="J28">
        <v>0</v>
      </c>
      <c r="K28">
        <v>0</v>
      </c>
      <c r="L28" t="s">
        <v>12</v>
      </c>
      <c r="M28">
        <v>0</v>
      </c>
      <c r="N28" t="s">
        <v>28</v>
      </c>
      <c r="O28">
        <v>400</v>
      </c>
      <c r="P28">
        <v>70</v>
      </c>
      <c r="Q28">
        <v>15</v>
      </c>
    </row>
    <row r="29" spans="1:17" x14ac:dyDescent="0.2">
      <c r="A29" t="s">
        <v>17</v>
      </c>
      <c r="B29" t="s">
        <v>40</v>
      </c>
      <c r="C29" t="s">
        <v>43</v>
      </c>
      <c r="D29">
        <v>140</v>
      </c>
      <c r="E29">
        <v>1</v>
      </c>
      <c r="F29">
        <v>1</v>
      </c>
      <c r="G29" t="s">
        <v>25</v>
      </c>
      <c r="H29">
        <v>120.6</v>
      </c>
      <c r="I29">
        <v>0</v>
      </c>
      <c r="J29">
        <v>0</v>
      </c>
      <c r="K29">
        <v>0</v>
      </c>
      <c r="L29" t="s">
        <v>27</v>
      </c>
      <c r="M29">
        <v>3</v>
      </c>
      <c r="N29" t="s">
        <v>28</v>
      </c>
      <c r="O29">
        <v>400</v>
      </c>
      <c r="P29">
        <v>70</v>
      </c>
      <c r="Q29">
        <v>15</v>
      </c>
    </row>
    <row r="30" spans="1:17" x14ac:dyDescent="0.2">
      <c r="A30" t="s">
        <v>17</v>
      </c>
      <c r="B30" t="s">
        <v>40</v>
      </c>
      <c r="C30" t="s">
        <v>43</v>
      </c>
      <c r="D30">
        <v>154</v>
      </c>
      <c r="E30">
        <v>1</v>
      </c>
      <c r="F30">
        <v>1</v>
      </c>
      <c r="G30" t="s">
        <v>25</v>
      </c>
      <c r="H30">
        <v>222</v>
      </c>
      <c r="I30">
        <v>0</v>
      </c>
      <c r="J30">
        <v>0</v>
      </c>
      <c r="K30">
        <v>0</v>
      </c>
      <c r="L30" t="s">
        <v>12</v>
      </c>
      <c r="M30">
        <v>0</v>
      </c>
      <c r="N30" t="s">
        <v>28</v>
      </c>
      <c r="O30">
        <v>400</v>
      </c>
      <c r="P30">
        <v>70</v>
      </c>
      <c r="Q30">
        <v>15</v>
      </c>
    </row>
    <row r="31" spans="1:17" x14ac:dyDescent="0.2">
      <c r="A31" t="s">
        <v>17</v>
      </c>
      <c r="B31" t="s">
        <v>40</v>
      </c>
      <c r="C31" t="s">
        <v>43</v>
      </c>
      <c r="D31">
        <v>168</v>
      </c>
      <c r="E31">
        <v>1</v>
      </c>
      <c r="F31">
        <v>1</v>
      </c>
      <c r="G31" t="s">
        <v>25</v>
      </c>
      <c r="H31">
        <v>232</v>
      </c>
      <c r="I31">
        <v>0</v>
      </c>
      <c r="J31">
        <v>0</v>
      </c>
      <c r="K31">
        <v>0</v>
      </c>
      <c r="L31" t="s">
        <v>27</v>
      </c>
      <c r="M31">
        <v>0</v>
      </c>
      <c r="N31" t="s">
        <v>28</v>
      </c>
      <c r="O31">
        <v>400</v>
      </c>
      <c r="P31">
        <v>70</v>
      </c>
      <c r="Q31">
        <v>15</v>
      </c>
    </row>
    <row r="32" spans="1:17" x14ac:dyDescent="0.2">
      <c r="A32" t="s">
        <v>17</v>
      </c>
      <c r="B32" t="s">
        <v>40</v>
      </c>
      <c r="C32" t="s">
        <v>43</v>
      </c>
      <c r="D32">
        <v>182</v>
      </c>
      <c r="E32">
        <v>1</v>
      </c>
      <c r="F32">
        <v>1</v>
      </c>
      <c r="G32" t="s">
        <v>25</v>
      </c>
      <c r="H32">
        <f>AVERAGE(H33,H30)</f>
        <v>256</v>
      </c>
      <c r="I32">
        <v>0</v>
      </c>
      <c r="J32">
        <v>0</v>
      </c>
      <c r="K32">
        <v>0</v>
      </c>
      <c r="L32" t="s">
        <v>12</v>
      </c>
      <c r="M32">
        <v>0</v>
      </c>
      <c r="N32" t="s">
        <v>28</v>
      </c>
      <c r="O32">
        <v>400</v>
      </c>
      <c r="P32">
        <v>70</v>
      </c>
      <c r="Q32">
        <v>15</v>
      </c>
    </row>
    <row r="33" spans="1:17" x14ac:dyDescent="0.2">
      <c r="A33" t="s">
        <v>17</v>
      </c>
      <c r="B33" t="s">
        <v>40</v>
      </c>
      <c r="C33" t="s">
        <v>43</v>
      </c>
      <c r="D33">
        <v>196</v>
      </c>
      <c r="E33">
        <v>1</v>
      </c>
      <c r="F33">
        <v>1</v>
      </c>
      <c r="G33" t="s">
        <v>25</v>
      </c>
      <c r="H33">
        <v>290</v>
      </c>
      <c r="I33">
        <v>0</v>
      </c>
      <c r="J33">
        <v>0</v>
      </c>
      <c r="K33">
        <v>0</v>
      </c>
      <c r="L33" t="s">
        <v>27</v>
      </c>
      <c r="M33">
        <v>0</v>
      </c>
      <c r="N33" t="s">
        <v>28</v>
      </c>
      <c r="O33">
        <v>400</v>
      </c>
      <c r="P33">
        <v>70</v>
      </c>
      <c r="Q33">
        <v>15</v>
      </c>
    </row>
    <row r="34" spans="1:17" s="4" customFormat="1" x14ac:dyDescent="0.2">
      <c r="A34" s="4" t="s">
        <v>17</v>
      </c>
      <c r="B34" s="4" t="s">
        <v>40</v>
      </c>
      <c r="C34" s="4" t="s">
        <v>43</v>
      </c>
      <c r="D34" s="4">
        <v>210</v>
      </c>
      <c r="E34" s="4">
        <v>1</v>
      </c>
      <c r="F34" s="4">
        <v>1</v>
      </c>
      <c r="G34" s="4" t="s">
        <v>25</v>
      </c>
      <c r="H34" s="4">
        <v>295</v>
      </c>
      <c r="I34" s="4">
        <v>0</v>
      </c>
      <c r="J34" s="4">
        <v>0</v>
      </c>
      <c r="K34" s="4">
        <v>0</v>
      </c>
      <c r="L34" s="4" t="s">
        <v>12</v>
      </c>
      <c r="M34" s="4">
        <v>0</v>
      </c>
      <c r="N34" s="4" t="s">
        <v>28</v>
      </c>
      <c r="O34" s="4">
        <v>400</v>
      </c>
      <c r="P34" s="4">
        <v>70</v>
      </c>
      <c r="Q34" s="4">
        <v>15</v>
      </c>
    </row>
    <row r="35" spans="1:17" x14ac:dyDescent="0.2">
      <c r="A35" t="s">
        <v>17</v>
      </c>
      <c r="B35" t="s">
        <v>40</v>
      </c>
      <c r="C35" t="s">
        <v>44</v>
      </c>
      <c r="D35">
        <v>0</v>
      </c>
      <c r="E35">
        <v>1</v>
      </c>
      <c r="F35">
        <v>1</v>
      </c>
      <c r="G35" t="s">
        <v>25</v>
      </c>
      <c r="H35">
        <v>10.9</v>
      </c>
      <c r="I35">
        <v>0</v>
      </c>
      <c r="J35">
        <v>0</v>
      </c>
      <c r="K35">
        <v>0</v>
      </c>
      <c r="L35" t="s">
        <v>27</v>
      </c>
      <c r="M35">
        <v>0</v>
      </c>
      <c r="N35" t="s">
        <v>28</v>
      </c>
      <c r="O35">
        <v>400</v>
      </c>
      <c r="P35">
        <v>70</v>
      </c>
      <c r="Q35">
        <v>15</v>
      </c>
    </row>
    <row r="36" spans="1:17" x14ac:dyDescent="0.2">
      <c r="A36" t="s">
        <v>17</v>
      </c>
      <c r="B36" t="s">
        <v>40</v>
      </c>
      <c r="C36" t="s">
        <v>44</v>
      </c>
      <c r="D36">
        <v>14</v>
      </c>
      <c r="E36">
        <v>1</v>
      </c>
      <c r="F36">
        <v>1</v>
      </c>
      <c r="G36" t="s">
        <v>25</v>
      </c>
      <c r="H36">
        <v>16.2</v>
      </c>
      <c r="I36">
        <v>0</v>
      </c>
      <c r="J36">
        <v>0</v>
      </c>
      <c r="K36">
        <v>0</v>
      </c>
      <c r="L36" t="s">
        <v>12</v>
      </c>
      <c r="M36">
        <v>0</v>
      </c>
      <c r="N36" t="s">
        <v>28</v>
      </c>
      <c r="O36">
        <v>400</v>
      </c>
      <c r="P36">
        <v>70</v>
      </c>
      <c r="Q36">
        <v>15</v>
      </c>
    </row>
    <row r="37" spans="1:17" x14ac:dyDescent="0.2">
      <c r="A37" t="s">
        <v>17</v>
      </c>
      <c r="B37" t="s">
        <v>40</v>
      </c>
      <c r="C37" t="s">
        <v>44</v>
      </c>
      <c r="D37">
        <v>28</v>
      </c>
      <c r="E37">
        <v>1</v>
      </c>
      <c r="F37">
        <v>1</v>
      </c>
      <c r="G37" t="s">
        <v>25</v>
      </c>
      <c r="H37">
        <v>17.3</v>
      </c>
      <c r="I37">
        <v>0</v>
      </c>
      <c r="J37">
        <v>0</v>
      </c>
      <c r="K37">
        <v>0</v>
      </c>
      <c r="L37" t="s">
        <v>27</v>
      </c>
      <c r="M37">
        <v>0</v>
      </c>
      <c r="N37" t="s">
        <v>28</v>
      </c>
      <c r="O37">
        <v>400</v>
      </c>
      <c r="P37">
        <v>70</v>
      </c>
      <c r="Q37">
        <v>15</v>
      </c>
    </row>
    <row r="38" spans="1:17" x14ac:dyDescent="0.2">
      <c r="A38" t="s">
        <v>17</v>
      </c>
      <c r="B38" t="s">
        <v>40</v>
      </c>
      <c r="C38" t="s">
        <v>44</v>
      </c>
      <c r="D38">
        <v>42</v>
      </c>
      <c r="E38">
        <v>1</v>
      </c>
      <c r="F38">
        <v>1</v>
      </c>
      <c r="G38" t="s">
        <v>25</v>
      </c>
      <c r="H38">
        <v>18.600000000000001</v>
      </c>
      <c r="I38">
        <v>0</v>
      </c>
      <c r="J38">
        <v>0</v>
      </c>
      <c r="K38">
        <v>0</v>
      </c>
      <c r="L38" t="s">
        <v>12</v>
      </c>
      <c r="M38">
        <v>0</v>
      </c>
      <c r="N38" t="s">
        <v>28</v>
      </c>
      <c r="O38">
        <v>400</v>
      </c>
      <c r="P38">
        <v>70</v>
      </c>
      <c r="Q38">
        <v>15</v>
      </c>
    </row>
    <row r="39" spans="1:17" x14ac:dyDescent="0.2">
      <c r="A39" t="s">
        <v>17</v>
      </c>
      <c r="B39" t="s">
        <v>40</v>
      </c>
      <c r="C39" t="s">
        <v>44</v>
      </c>
      <c r="D39">
        <v>56</v>
      </c>
      <c r="E39">
        <v>1</v>
      </c>
      <c r="F39">
        <v>1</v>
      </c>
      <c r="G39" t="s">
        <v>25</v>
      </c>
      <c r="H39">
        <v>20</v>
      </c>
      <c r="I39">
        <v>0</v>
      </c>
      <c r="J39">
        <v>0</v>
      </c>
      <c r="K39">
        <v>0</v>
      </c>
      <c r="L39" t="s">
        <v>27</v>
      </c>
      <c r="M39">
        <v>0</v>
      </c>
      <c r="N39" t="s">
        <v>28</v>
      </c>
      <c r="O39">
        <v>400</v>
      </c>
      <c r="P39">
        <v>70</v>
      </c>
      <c r="Q39">
        <v>15</v>
      </c>
    </row>
    <row r="40" spans="1:17" x14ac:dyDescent="0.2">
      <c r="A40" t="s">
        <v>17</v>
      </c>
      <c r="B40" t="s">
        <v>40</v>
      </c>
      <c r="C40" t="s">
        <v>44</v>
      </c>
      <c r="D40">
        <v>70</v>
      </c>
      <c r="E40">
        <v>1</v>
      </c>
      <c r="F40">
        <v>1</v>
      </c>
      <c r="G40" t="s">
        <v>25</v>
      </c>
      <c r="H40">
        <v>24.5</v>
      </c>
      <c r="I40">
        <v>0</v>
      </c>
      <c r="J40">
        <v>0</v>
      </c>
      <c r="K40">
        <v>0</v>
      </c>
      <c r="L40" t="s">
        <v>12</v>
      </c>
      <c r="M40">
        <v>3</v>
      </c>
      <c r="N40" t="s">
        <v>28</v>
      </c>
      <c r="O40">
        <v>400</v>
      </c>
      <c r="P40">
        <v>70</v>
      </c>
      <c r="Q40">
        <v>15</v>
      </c>
    </row>
    <row r="41" spans="1:17" x14ac:dyDescent="0.2">
      <c r="A41" t="s">
        <v>17</v>
      </c>
      <c r="B41" t="s">
        <v>40</v>
      </c>
      <c r="C41" t="s">
        <v>44</v>
      </c>
      <c r="D41">
        <v>84</v>
      </c>
      <c r="E41">
        <v>1</v>
      </c>
      <c r="F41">
        <v>1</v>
      </c>
      <c r="G41" t="s">
        <v>25</v>
      </c>
      <c r="H41">
        <v>55</v>
      </c>
      <c r="I41">
        <v>0</v>
      </c>
      <c r="J41">
        <v>0</v>
      </c>
      <c r="K41">
        <v>0</v>
      </c>
      <c r="L41" t="s">
        <v>27</v>
      </c>
      <c r="M41">
        <v>3</v>
      </c>
      <c r="N41" t="s">
        <v>28</v>
      </c>
      <c r="O41">
        <v>400</v>
      </c>
      <c r="P41">
        <v>70</v>
      </c>
      <c r="Q41">
        <v>15</v>
      </c>
    </row>
    <row r="42" spans="1:17" x14ac:dyDescent="0.2">
      <c r="A42" t="s">
        <v>17</v>
      </c>
      <c r="B42" t="s">
        <v>40</v>
      </c>
      <c r="C42" t="s">
        <v>44</v>
      </c>
      <c r="D42">
        <v>98</v>
      </c>
      <c r="E42">
        <v>1</v>
      </c>
      <c r="F42">
        <v>1</v>
      </c>
      <c r="G42" t="s">
        <v>25</v>
      </c>
      <c r="H42">
        <v>118</v>
      </c>
      <c r="I42">
        <v>0</v>
      </c>
      <c r="J42">
        <v>0</v>
      </c>
      <c r="K42">
        <v>0</v>
      </c>
      <c r="L42" t="s">
        <v>12</v>
      </c>
      <c r="M42">
        <v>0</v>
      </c>
      <c r="N42" t="s">
        <v>28</v>
      </c>
      <c r="O42">
        <v>400</v>
      </c>
      <c r="P42">
        <v>70</v>
      </c>
      <c r="Q42">
        <v>15</v>
      </c>
    </row>
    <row r="43" spans="1:17" x14ac:dyDescent="0.2">
      <c r="A43" t="s">
        <v>17</v>
      </c>
      <c r="B43" t="s">
        <v>40</v>
      </c>
      <c r="C43" t="s">
        <v>44</v>
      </c>
      <c r="D43">
        <v>112</v>
      </c>
      <c r="E43">
        <v>1</v>
      </c>
      <c r="F43">
        <v>1</v>
      </c>
      <c r="G43" t="s">
        <v>25</v>
      </c>
      <c r="H43">
        <v>125.6</v>
      </c>
      <c r="I43">
        <v>0</v>
      </c>
      <c r="J43">
        <v>0</v>
      </c>
      <c r="K43">
        <v>0</v>
      </c>
      <c r="L43" t="s">
        <v>27</v>
      </c>
      <c r="M43">
        <v>0</v>
      </c>
      <c r="N43" t="s">
        <v>28</v>
      </c>
      <c r="O43">
        <v>400</v>
      </c>
      <c r="P43">
        <v>70</v>
      </c>
      <c r="Q43">
        <v>15</v>
      </c>
    </row>
    <row r="44" spans="1:17" x14ac:dyDescent="0.2">
      <c r="A44" t="s">
        <v>17</v>
      </c>
      <c r="B44" t="s">
        <v>40</v>
      </c>
      <c r="C44" t="s">
        <v>44</v>
      </c>
      <c r="D44">
        <v>126</v>
      </c>
      <c r="E44">
        <v>1</v>
      </c>
      <c r="F44">
        <v>1</v>
      </c>
      <c r="G44" t="s">
        <v>25</v>
      </c>
      <c r="H44">
        <v>146</v>
      </c>
      <c r="I44">
        <v>0</v>
      </c>
      <c r="J44">
        <v>0</v>
      </c>
      <c r="K44">
        <v>0</v>
      </c>
      <c r="L44" t="s">
        <v>12</v>
      </c>
      <c r="M44">
        <v>0</v>
      </c>
      <c r="N44" t="s">
        <v>28</v>
      </c>
      <c r="O44">
        <v>400</v>
      </c>
      <c r="P44">
        <v>70</v>
      </c>
      <c r="Q44">
        <v>15</v>
      </c>
    </row>
    <row r="45" spans="1:17" x14ac:dyDescent="0.2">
      <c r="A45" t="s">
        <v>17</v>
      </c>
      <c r="B45" t="s">
        <v>40</v>
      </c>
      <c r="C45" t="s">
        <v>44</v>
      </c>
      <c r="D45">
        <v>140</v>
      </c>
      <c r="E45">
        <v>1</v>
      </c>
      <c r="F45">
        <v>1</v>
      </c>
      <c r="G45" t="s">
        <v>25</v>
      </c>
      <c r="H45">
        <v>187</v>
      </c>
      <c r="I45">
        <v>0</v>
      </c>
      <c r="J45">
        <v>0</v>
      </c>
      <c r="K45">
        <v>0</v>
      </c>
      <c r="L45" t="s">
        <v>27</v>
      </c>
      <c r="M45">
        <v>3</v>
      </c>
      <c r="N45" t="s">
        <v>28</v>
      </c>
      <c r="O45">
        <v>400</v>
      </c>
      <c r="P45">
        <v>70</v>
      </c>
      <c r="Q45">
        <v>15</v>
      </c>
    </row>
    <row r="46" spans="1:17" x14ac:dyDescent="0.2">
      <c r="A46" t="s">
        <v>17</v>
      </c>
      <c r="B46" t="s">
        <v>40</v>
      </c>
      <c r="C46" t="s">
        <v>44</v>
      </c>
      <c r="D46">
        <v>154</v>
      </c>
      <c r="E46">
        <v>1</v>
      </c>
      <c r="F46">
        <v>1</v>
      </c>
      <c r="G46" t="s">
        <v>25</v>
      </c>
      <c r="H46">
        <v>271</v>
      </c>
      <c r="I46">
        <v>0</v>
      </c>
      <c r="J46">
        <v>0</v>
      </c>
      <c r="K46">
        <v>0</v>
      </c>
      <c r="L46" t="s">
        <v>12</v>
      </c>
      <c r="M46">
        <v>0</v>
      </c>
      <c r="N46" t="s">
        <v>28</v>
      </c>
      <c r="O46">
        <v>400</v>
      </c>
      <c r="P46">
        <v>70</v>
      </c>
      <c r="Q46">
        <v>15</v>
      </c>
    </row>
    <row r="47" spans="1:17" x14ac:dyDescent="0.2">
      <c r="A47" t="s">
        <v>17</v>
      </c>
      <c r="B47" t="s">
        <v>40</v>
      </c>
      <c r="C47" t="s">
        <v>44</v>
      </c>
      <c r="D47">
        <v>168</v>
      </c>
      <c r="E47">
        <v>1</v>
      </c>
      <c r="F47">
        <v>1</v>
      </c>
      <c r="G47" t="s">
        <v>25</v>
      </c>
      <c r="H47">
        <v>338</v>
      </c>
      <c r="I47">
        <v>0</v>
      </c>
      <c r="J47">
        <v>0</v>
      </c>
      <c r="K47">
        <v>0</v>
      </c>
      <c r="L47" t="s">
        <v>27</v>
      </c>
      <c r="M47">
        <v>0</v>
      </c>
      <c r="N47" t="s">
        <v>28</v>
      </c>
      <c r="O47">
        <v>400</v>
      </c>
      <c r="P47">
        <v>70</v>
      </c>
      <c r="Q47">
        <v>15</v>
      </c>
    </row>
    <row r="48" spans="1:17" x14ac:dyDescent="0.2">
      <c r="A48" t="s">
        <v>17</v>
      </c>
      <c r="B48" t="s">
        <v>40</v>
      </c>
      <c r="C48" t="s">
        <v>44</v>
      </c>
      <c r="D48">
        <v>182</v>
      </c>
      <c r="E48">
        <v>1</v>
      </c>
      <c r="F48">
        <v>1</v>
      </c>
      <c r="G48" t="s">
        <v>25</v>
      </c>
      <c r="H48">
        <v>345</v>
      </c>
      <c r="I48">
        <v>0</v>
      </c>
      <c r="J48">
        <v>0</v>
      </c>
      <c r="K48">
        <v>0</v>
      </c>
      <c r="L48" t="s">
        <v>12</v>
      </c>
      <c r="M48">
        <v>0</v>
      </c>
      <c r="N48" t="s">
        <v>28</v>
      </c>
      <c r="O48">
        <v>400</v>
      </c>
      <c r="P48">
        <v>70</v>
      </c>
      <c r="Q48">
        <v>15</v>
      </c>
    </row>
    <row r="49" spans="1:17" x14ac:dyDescent="0.2">
      <c r="A49" t="s">
        <v>17</v>
      </c>
      <c r="B49" t="s">
        <v>40</v>
      </c>
      <c r="C49" t="s">
        <v>44</v>
      </c>
      <c r="D49">
        <v>196</v>
      </c>
      <c r="E49">
        <v>1</v>
      </c>
      <c r="F49">
        <v>1</v>
      </c>
      <c r="G49" t="s">
        <v>25</v>
      </c>
      <c r="H49">
        <v>440</v>
      </c>
      <c r="I49">
        <v>0</v>
      </c>
      <c r="J49">
        <v>0</v>
      </c>
      <c r="K49">
        <v>0</v>
      </c>
      <c r="L49" t="s">
        <v>27</v>
      </c>
      <c r="M49">
        <v>0</v>
      </c>
      <c r="N49" t="s">
        <v>28</v>
      </c>
      <c r="O49">
        <v>400</v>
      </c>
      <c r="P49">
        <v>70</v>
      </c>
      <c r="Q49">
        <v>15</v>
      </c>
    </row>
    <row r="50" spans="1:17" x14ac:dyDescent="0.2">
      <c r="A50" t="s">
        <v>17</v>
      </c>
      <c r="B50" t="s">
        <v>40</v>
      </c>
      <c r="C50" t="s">
        <v>44</v>
      </c>
      <c r="D50">
        <v>210</v>
      </c>
      <c r="E50">
        <v>1</v>
      </c>
      <c r="F50">
        <v>1</v>
      </c>
      <c r="G50" t="s">
        <v>25</v>
      </c>
      <c r="H50">
        <v>442</v>
      </c>
      <c r="I50">
        <v>0</v>
      </c>
      <c r="J50">
        <v>0</v>
      </c>
      <c r="K50">
        <v>0</v>
      </c>
      <c r="L50" t="s">
        <v>12</v>
      </c>
      <c r="M50">
        <v>0</v>
      </c>
      <c r="N50" t="s">
        <v>28</v>
      </c>
      <c r="O50">
        <v>400</v>
      </c>
      <c r="P50">
        <v>70</v>
      </c>
      <c r="Q50">
        <v>15</v>
      </c>
    </row>
    <row r="51" spans="1:17" s="4" customFormat="1" x14ac:dyDescent="0.2">
      <c r="A51" s="4" t="s">
        <v>17</v>
      </c>
      <c r="B51" s="4" t="s">
        <v>40</v>
      </c>
      <c r="C51" s="4" t="s">
        <v>44</v>
      </c>
      <c r="D51" s="4">
        <v>233</v>
      </c>
      <c r="E51" s="4">
        <v>1</v>
      </c>
      <c r="F51" s="4">
        <v>1</v>
      </c>
      <c r="G51" s="4" t="s">
        <v>25</v>
      </c>
      <c r="H51" s="4">
        <v>523</v>
      </c>
      <c r="I51" s="4">
        <v>0</v>
      </c>
      <c r="J51" s="4">
        <v>0</v>
      </c>
      <c r="K51" s="4">
        <v>0</v>
      </c>
      <c r="L51" s="4" t="s">
        <v>27</v>
      </c>
      <c r="M51" s="4">
        <v>0</v>
      </c>
      <c r="N51" s="4" t="s">
        <v>28</v>
      </c>
      <c r="O51" s="4">
        <v>400</v>
      </c>
      <c r="P51" s="4">
        <v>70</v>
      </c>
      <c r="Q51" s="4">
        <v>15</v>
      </c>
    </row>
    <row r="52" spans="1:17" x14ac:dyDescent="0.2">
      <c r="A52" t="s">
        <v>17</v>
      </c>
      <c r="B52" t="s">
        <v>40</v>
      </c>
      <c r="C52" t="s">
        <v>45</v>
      </c>
      <c r="D52">
        <v>0</v>
      </c>
      <c r="E52">
        <v>1</v>
      </c>
      <c r="F52">
        <v>1</v>
      </c>
      <c r="G52" t="s">
        <v>25</v>
      </c>
      <c r="H52">
        <v>8.8000000000000007</v>
      </c>
      <c r="I52">
        <v>0</v>
      </c>
      <c r="J52">
        <v>0</v>
      </c>
      <c r="K52">
        <v>0</v>
      </c>
      <c r="L52" t="s">
        <v>27</v>
      </c>
      <c r="M52">
        <v>0</v>
      </c>
      <c r="N52" t="s">
        <v>28</v>
      </c>
      <c r="O52">
        <v>400</v>
      </c>
      <c r="P52">
        <v>70</v>
      </c>
      <c r="Q52">
        <v>15</v>
      </c>
    </row>
    <row r="53" spans="1:17" x14ac:dyDescent="0.2">
      <c r="A53" t="s">
        <v>17</v>
      </c>
      <c r="B53" t="s">
        <v>40</v>
      </c>
      <c r="C53" t="s">
        <v>45</v>
      </c>
      <c r="D53">
        <v>14</v>
      </c>
      <c r="E53">
        <v>1</v>
      </c>
      <c r="F53">
        <v>1</v>
      </c>
      <c r="G53" t="s">
        <v>25</v>
      </c>
      <c r="H53">
        <v>14.7</v>
      </c>
      <c r="I53">
        <v>0</v>
      </c>
      <c r="J53">
        <v>0</v>
      </c>
      <c r="K53">
        <v>0</v>
      </c>
      <c r="L53" t="s">
        <v>12</v>
      </c>
      <c r="M53">
        <v>0</v>
      </c>
      <c r="N53" t="s">
        <v>28</v>
      </c>
      <c r="O53">
        <v>400</v>
      </c>
      <c r="P53">
        <v>70</v>
      </c>
      <c r="Q53">
        <v>15</v>
      </c>
    </row>
    <row r="54" spans="1:17" x14ac:dyDescent="0.2">
      <c r="A54" t="s">
        <v>17</v>
      </c>
      <c r="B54" t="s">
        <v>40</v>
      </c>
      <c r="C54" t="s">
        <v>45</v>
      </c>
      <c r="D54">
        <v>28</v>
      </c>
      <c r="E54">
        <v>1</v>
      </c>
      <c r="F54">
        <v>1</v>
      </c>
      <c r="G54" t="s">
        <v>25</v>
      </c>
      <c r="H54">
        <v>15</v>
      </c>
      <c r="I54">
        <v>0</v>
      </c>
      <c r="J54">
        <v>0</v>
      </c>
      <c r="K54">
        <v>0</v>
      </c>
      <c r="L54" t="s">
        <v>27</v>
      </c>
      <c r="M54">
        <v>0</v>
      </c>
      <c r="N54" t="s">
        <v>28</v>
      </c>
      <c r="O54">
        <v>400</v>
      </c>
      <c r="P54">
        <v>70</v>
      </c>
      <c r="Q54">
        <v>15</v>
      </c>
    </row>
    <row r="55" spans="1:17" x14ac:dyDescent="0.2">
      <c r="A55" t="s">
        <v>17</v>
      </c>
      <c r="B55" t="s">
        <v>40</v>
      </c>
      <c r="C55" t="s">
        <v>45</v>
      </c>
      <c r="D55">
        <v>42</v>
      </c>
      <c r="E55">
        <v>1</v>
      </c>
      <c r="F55">
        <v>1</v>
      </c>
      <c r="G55" t="s">
        <v>25</v>
      </c>
      <c r="H55">
        <v>17.600000000000001</v>
      </c>
      <c r="I55">
        <v>0</v>
      </c>
      <c r="J55">
        <v>0</v>
      </c>
      <c r="K55">
        <v>0</v>
      </c>
      <c r="L55" t="s">
        <v>12</v>
      </c>
      <c r="M55">
        <v>0</v>
      </c>
      <c r="N55" t="s">
        <v>28</v>
      </c>
      <c r="O55">
        <v>400</v>
      </c>
      <c r="P55">
        <v>70</v>
      </c>
      <c r="Q55">
        <v>15</v>
      </c>
    </row>
    <row r="56" spans="1:17" x14ac:dyDescent="0.2">
      <c r="A56" t="s">
        <v>17</v>
      </c>
      <c r="B56" t="s">
        <v>40</v>
      </c>
      <c r="C56" t="s">
        <v>45</v>
      </c>
      <c r="D56">
        <v>56</v>
      </c>
      <c r="E56">
        <v>1</v>
      </c>
      <c r="F56">
        <v>1</v>
      </c>
      <c r="G56" t="s">
        <v>25</v>
      </c>
      <c r="H56">
        <v>18.8</v>
      </c>
      <c r="I56">
        <v>0</v>
      </c>
      <c r="J56">
        <v>0</v>
      </c>
      <c r="K56">
        <v>0</v>
      </c>
      <c r="L56" t="s">
        <v>27</v>
      </c>
      <c r="M56">
        <v>0</v>
      </c>
      <c r="N56" t="s">
        <v>28</v>
      </c>
      <c r="O56">
        <v>400</v>
      </c>
      <c r="P56">
        <v>70</v>
      </c>
      <c r="Q56">
        <v>15</v>
      </c>
    </row>
    <row r="57" spans="1:17" x14ac:dyDescent="0.2">
      <c r="A57" t="s">
        <v>17</v>
      </c>
      <c r="B57" t="s">
        <v>40</v>
      </c>
      <c r="C57" t="s">
        <v>45</v>
      </c>
      <c r="D57">
        <v>70</v>
      </c>
      <c r="E57">
        <v>1</v>
      </c>
      <c r="F57">
        <v>1</v>
      </c>
      <c r="G57" t="s">
        <v>25</v>
      </c>
      <c r="H57">
        <v>21.1</v>
      </c>
      <c r="I57">
        <v>0</v>
      </c>
      <c r="J57">
        <v>0</v>
      </c>
      <c r="K57">
        <v>0</v>
      </c>
      <c r="L57" t="s">
        <v>12</v>
      </c>
      <c r="M57">
        <v>3</v>
      </c>
      <c r="N57" t="s">
        <v>28</v>
      </c>
      <c r="O57">
        <v>400</v>
      </c>
      <c r="P57">
        <v>70</v>
      </c>
      <c r="Q57">
        <v>15</v>
      </c>
    </row>
    <row r="58" spans="1:17" x14ac:dyDescent="0.2">
      <c r="A58" t="s">
        <v>17</v>
      </c>
      <c r="B58" t="s">
        <v>40</v>
      </c>
      <c r="C58" t="s">
        <v>45</v>
      </c>
      <c r="D58">
        <v>84</v>
      </c>
      <c r="E58">
        <v>1</v>
      </c>
      <c r="F58">
        <v>1</v>
      </c>
      <c r="G58" t="s">
        <v>25</v>
      </c>
      <c r="H58">
        <v>55</v>
      </c>
      <c r="I58">
        <v>0</v>
      </c>
      <c r="J58">
        <v>0</v>
      </c>
      <c r="K58">
        <v>0</v>
      </c>
      <c r="L58" t="s">
        <v>27</v>
      </c>
      <c r="M58">
        <v>3</v>
      </c>
      <c r="N58" t="s">
        <v>28</v>
      </c>
      <c r="O58">
        <v>400</v>
      </c>
      <c r="P58">
        <v>70</v>
      </c>
      <c r="Q58">
        <v>15</v>
      </c>
    </row>
    <row r="59" spans="1:17" x14ac:dyDescent="0.2">
      <c r="A59" t="s">
        <v>17</v>
      </c>
      <c r="B59" t="s">
        <v>40</v>
      </c>
      <c r="C59" t="s">
        <v>45</v>
      </c>
      <c r="D59">
        <v>98</v>
      </c>
      <c r="E59">
        <v>1</v>
      </c>
      <c r="F59">
        <v>1</v>
      </c>
      <c r="G59" t="s">
        <v>25</v>
      </c>
      <c r="H59">
        <v>114</v>
      </c>
      <c r="I59">
        <v>0</v>
      </c>
      <c r="J59">
        <v>0</v>
      </c>
      <c r="K59">
        <v>0</v>
      </c>
      <c r="L59" t="s">
        <v>12</v>
      </c>
      <c r="M59">
        <v>0</v>
      </c>
      <c r="N59" t="s">
        <v>28</v>
      </c>
      <c r="O59">
        <v>400</v>
      </c>
      <c r="P59">
        <v>70</v>
      </c>
      <c r="Q59">
        <v>15</v>
      </c>
    </row>
    <row r="60" spans="1:17" x14ac:dyDescent="0.2">
      <c r="A60" t="s">
        <v>17</v>
      </c>
      <c r="B60" t="s">
        <v>40</v>
      </c>
      <c r="C60" t="s">
        <v>45</v>
      </c>
      <c r="D60">
        <v>112</v>
      </c>
      <c r="E60">
        <v>1</v>
      </c>
      <c r="F60">
        <v>1</v>
      </c>
      <c r="G60" t="s">
        <v>25</v>
      </c>
      <c r="H60">
        <v>122</v>
      </c>
      <c r="I60">
        <v>0</v>
      </c>
      <c r="J60">
        <v>0</v>
      </c>
      <c r="K60">
        <v>0</v>
      </c>
      <c r="L60" t="s">
        <v>27</v>
      </c>
      <c r="M60">
        <v>0</v>
      </c>
      <c r="N60" t="s">
        <v>28</v>
      </c>
      <c r="O60">
        <v>400</v>
      </c>
      <c r="P60">
        <v>70</v>
      </c>
      <c r="Q60">
        <v>15</v>
      </c>
    </row>
    <row r="61" spans="1:17" x14ac:dyDescent="0.2">
      <c r="A61" t="s">
        <v>17</v>
      </c>
      <c r="B61" t="s">
        <v>40</v>
      </c>
      <c r="C61" t="s">
        <v>45</v>
      </c>
      <c r="D61">
        <v>126</v>
      </c>
      <c r="E61">
        <v>1</v>
      </c>
      <c r="F61">
        <v>1</v>
      </c>
      <c r="G61" t="s">
        <v>25</v>
      </c>
      <c r="H61">
        <v>136</v>
      </c>
      <c r="I61">
        <v>0</v>
      </c>
      <c r="J61">
        <v>0</v>
      </c>
      <c r="K61">
        <v>0</v>
      </c>
      <c r="L61" t="s">
        <v>12</v>
      </c>
      <c r="M61">
        <v>0</v>
      </c>
      <c r="N61" t="s">
        <v>28</v>
      </c>
      <c r="O61">
        <v>400</v>
      </c>
      <c r="P61">
        <v>70</v>
      </c>
      <c r="Q61">
        <v>15</v>
      </c>
    </row>
    <row r="62" spans="1:17" x14ac:dyDescent="0.2">
      <c r="A62" t="s">
        <v>17</v>
      </c>
      <c r="B62" t="s">
        <v>40</v>
      </c>
      <c r="C62" t="s">
        <v>45</v>
      </c>
      <c r="D62">
        <v>140</v>
      </c>
      <c r="E62">
        <v>1</v>
      </c>
      <c r="F62">
        <v>1</v>
      </c>
      <c r="G62" t="s">
        <v>25</v>
      </c>
      <c r="H62">
        <v>153.80000000000001</v>
      </c>
      <c r="I62">
        <v>0</v>
      </c>
      <c r="J62">
        <v>0</v>
      </c>
      <c r="K62">
        <v>0</v>
      </c>
      <c r="L62" t="s">
        <v>27</v>
      </c>
      <c r="M62">
        <v>3</v>
      </c>
      <c r="N62" t="s">
        <v>28</v>
      </c>
      <c r="O62">
        <v>400</v>
      </c>
      <c r="P62">
        <v>70</v>
      </c>
      <c r="Q62">
        <v>15</v>
      </c>
    </row>
    <row r="63" spans="1:17" x14ac:dyDescent="0.2">
      <c r="A63" t="s">
        <v>17</v>
      </c>
      <c r="B63" t="s">
        <v>40</v>
      </c>
      <c r="C63" t="s">
        <v>45</v>
      </c>
      <c r="D63">
        <v>154</v>
      </c>
      <c r="E63">
        <v>1</v>
      </c>
      <c r="F63">
        <v>1</v>
      </c>
      <c r="G63" t="s">
        <v>25</v>
      </c>
      <c r="H63">
        <v>259</v>
      </c>
      <c r="I63">
        <v>0</v>
      </c>
      <c r="J63">
        <v>0</v>
      </c>
      <c r="K63">
        <v>0</v>
      </c>
      <c r="L63" t="s">
        <v>12</v>
      </c>
      <c r="M63">
        <v>0</v>
      </c>
      <c r="N63" t="s">
        <v>28</v>
      </c>
      <c r="O63">
        <v>400</v>
      </c>
      <c r="P63">
        <v>70</v>
      </c>
      <c r="Q63">
        <v>15</v>
      </c>
    </row>
    <row r="64" spans="1:17" x14ac:dyDescent="0.2">
      <c r="A64" t="s">
        <v>17</v>
      </c>
      <c r="B64" t="s">
        <v>40</v>
      </c>
      <c r="C64" t="s">
        <v>45</v>
      </c>
      <c r="D64">
        <v>168</v>
      </c>
      <c r="E64">
        <v>1</v>
      </c>
      <c r="F64">
        <v>1</v>
      </c>
      <c r="G64" t="s">
        <v>25</v>
      </c>
      <c r="H64">
        <v>271</v>
      </c>
      <c r="I64">
        <v>0</v>
      </c>
      <c r="J64">
        <v>0</v>
      </c>
      <c r="K64">
        <v>0</v>
      </c>
      <c r="L64" t="s">
        <v>27</v>
      </c>
      <c r="M64">
        <v>0</v>
      </c>
      <c r="N64" t="s">
        <v>28</v>
      </c>
      <c r="O64">
        <v>400</v>
      </c>
      <c r="P64">
        <v>70</v>
      </c>
      <c r="Q64">
        <v>15</v>
      </c>
    </row>
    <row r="65" spans="1:17" x14ac:dyDescent="0.2">
      <c r="A65" t="s">
        <v>17</v>
      </c>
      <c r="B65" t="s">
        <v>40</v>
      </c>
      <c r="C65" t="s">
        <v>45</v>
      </c>
      <c r="D65">
        <v>182</v>
      </c>
      <c r="E65">
        <v>1</v>
      </c>
      <c r="F65">
        <v>1</v>
      </c>
      <c r="G65" t="s">
        <v>25</v>
      </c>
      <c r="H65">
        <v>317</v>
      </c>
      <c r="I65">
        <v>0</v>
      </c>
      <c r="J65">
        <v>0</v>
      </c>
      <c r="K65">
        <v>0</v>
      </c>
      <c r="L65" t="s">
        <v>12</v>
      </c>
      <c r="M65">
        <v>0</v>
      </c>
      <c r="N65" t="s">
        <v>28</v>
      </c>
      <c r="O65">
        <v>400</v>
      </c>
      <c r="P65">
        <v>70</v>
      </c>
      <c r="Q65">
        <v>15</v>
      </c>
    </row>
    <row r="66" spans="1:17" x14ac:dyDescent="0.2">
      <c r="A66" t="s">
        <v>17</v>
      </c>
      <c r="B66" t="s">
        <v>40</v>
      </c>
      <c r="C66" t="s">
        <v>45</v>
      </c>
      <c r="D66">
        <v>196</v>
      </c>
      <c r="E66">
        <v>1</v>
      </c>
      <c r="F66">
        <v>1</v>
      </c>
      <c r="G66" t="s">
        <v>25</v>
      </c>
      <c r="H66">
        <v>399</v>
      </c>
      <c r="I66">
        <v>0</v>
      </c>
      <c r="J66">
        <v>0</v>
      </c>
      <c r="K66">
        <v>0</v>
      </c>
      <c r="L66" t="s">
        <v>27</v>
      </c>
      <c r="M66">
        <v>0</v>
      </c>
      <c r="N66" t="s">
        <v>28</v>
      </c>
      <c r="O66">
        <v>400</v>
      </c>
      <c r="P66">
        <v>70</v>
      </c>
      <c r="Q66">
        <v>15</v>
      </c>
    </row>
    <row r="67" spans="1:17" x14ac:dyDescent="0.2">
      <c r="A67" t="s">
        <v>17</v>
      </c>
      <c r="B67" t="s">
        <v>40</v>
      </c>
      <c r="C67" t="s">
        <v>45</v>
      </c>
      <c r="D67">
        <v>210</v>
      </c>
      <c r="E67">
        <v>1</v>
      </c>
      <c r="F67">
        <v>1</v>
      </c>
      <c r="G67" t="s">
        <v>25</v>
      </c>
      <c r="H67">
        <v>428</v>
      </c>
      <c r="I67">
        <v>0</v>
      </c>
      <c r="J67">
        <v>0</v>
      </c>
      <c r="K67">
        <v>0</v>
      </c>
      <c r="L67" t="s">
        <v>12</v>
      </c>
      <c r="M67">
        <v>0</v>
      </c>
      <c r="N67" t="s">
        <v>28</v>
      </c>
      <c r="O67">
        <v>400</v>
      </c>
      <c r="P67">
        <v>70</v>
      </c>
      <c r="Q67">
        <v>15</v>
      </c>
    </row>
    <row r="68" spans="1:17" s="4" customFormat="1" x14ac:dyDescent="0.2">
      <c r="A68" s="4" t="s">
        <v>17</v>
      </c>
      <c r="B68" s="4" t="s">
        <v>40</v>
      </c>
      <c r="C68" s="4" t="s">
        <v>45</v>
      </c>
      <c r="D68" s="4">
        <v>233</v>
      </c>
      <c r="E68" s="4">
        <v>1</v>
      </c>
      <c r="F68" s="4">
        <v>1</v>
      </c>
      <c r="G68" s="4" t="s">
        <v>25</v>
      </c>
      <c r="H68" s="4">
        <v>514</v>
      </c>
      <c r="I68" s="4">
        <v>0</v>
      </c>
      <c r="J68" s="4">
        <v>0</v>
      </c>
      <c r="K68" s="4">
        <v>0</v>
      </c>
      <c r="L68" s="4" t="s">
        <v>27</v>
      </c>
      <c r="M68" s="4">
        <v>0</v>
      </c>
      <c r="N68" s="4" t="s">
        <v>28</v>
      </c>
      <c r="O68" s="4">
        <v>400</v>
      </c>
      <c r="P68" s="4">
        <v>70</v>
      </c>
      <c r="Q68" s="4">
        <v>15</v>
      </c>
    </row>
    <row r="69" spans="1:17" x14ac:dyDescent="0.2">
      <c r="A69" t="s">
        <v>17</v>
      </c>
      <c r="B69" t="s">
        <v>40</v>
      </c>
      <c r="C69" t="s">
        <v>46</v>
      </c>
      <c r="D69">
        <v>0</v>
      </c>
      <c r="E69">
        <v>1</v>
      </c>
      <c r="F69">
        <v>1</v>
      </c>
      <c r="G69" t="s">
        <v>25</v>
      </c>
      <c r="H69">
        <v>13.6</v>
      </c>
      <c r="I69">
        <v>0</v>
      </c>
      <c r="J69">
        <v>0</v>
      </c>
      <c r="K69">
        <v>0</v>
      </c>
      <c r="L69" t="s">
        <v>27</v>
      </c>
      <c r="M69">
        <v>0</v>
      </c>
      <c r="N69" t="s">
        <v>28</v>
      </c>
      <c r="O69">
        <v>400</v>
      </c>
      <c r="P69">
        <v>70</v>
      </c>
      <c r="Q69">
        <v>15</v>
      </c>
    </row>
    <row r="70" spans="1:17" x14ac:dyDescent="0.2">
      <c r="A70" t="s">
        <v>17</v>
      </c>
      <c r="B70" t="s">
        <v>40</v>
      </c>
      <c r="C70" t="s">
        <v>46</v>
      </c>
      <c r="D70">
        <v>14</v>
      </c>
      <c r="E70">
        <v>1</v>
      </c>
      <c r="F70">
        <v>1</v>
      </c>
      <c r="G70" t="s">
        <v>25</v>
      </c>
      <c r="H70">
        <v>16</v>
      </c>
      <c r="I70">
        <v>0</v>
      </c>
      <c r="J70">
        <v>0</v>
      </c>
      <c r="K70">
        <v>0</v>
      </c>
      <c r="L70" t="s">
        <v>12</v>
      </c>
      <c r="M70">
        <v>0</v>
      </c>
      <c r="N70" t="s">
        <v>28</v>
      </c>
      <c r="O70">
        <v>400</v>
      </c>
      <c r="P70">
        <v>70</v>
      </c>
      <c r="Q70">
        <v>15</v>
      </c>
    </row>
    <row r="71" spans="1:17" x14ac:dyDescent="0.2">
      <c r="A71" t="s">
        <v>17</v>
      </c>
      <c r="B71" t="s">
        <v>40</v>
      </c>
      <c r="C71" t="s">
        <v>46</v>
      </c>
      <c r="D71">
        <v>28</v>
      </c>
      <c r="E71">
        <v>1</v>
      </c>
      <c r="F71">
        <v>1</v>
      </c>
      <c r="G71" t="s">
        <v>25</v>
      </c>
      <c r="H71">
        <v>16.399999999999999</v>
      </c>
      <c r="I71">
        <v>0</v>
      </c>
      <c r="J71">
        <v>0</v>
      </c>
      <c r="K71">
        <v>0</v>
      </c>
      <c r="L71" t="s">
        <v>27</v>
      </c>
      <c r="M71">
        <v>0</v>
      </c>
      <c r="N71" t="s">
        <v>28</v>
      </c>
      <c r="O71">
        <v>400</v>
      </c>
      <c r="P71">
        <v>70</v>
      </c>
      <c r="Q71">
        <v>15</v>
      </c>
    </row>
    <row r="72" spans="1:17" x14ac:dyDescent="0.2">
      <c r="A72" t="s">
        <v>17</v>
      </c>
      <c r="B72" t="s">
        <v>40</v>
      </c>
      <c r="C72" t="s">
        <v>46</v>
      </c>
      <c r="D72">
        <v>42</v>
      </c>
      <c r="E72">
        <v>1</v>
      </c>
      <c r="F72">
        <v>1</v>
      </c>
      <c r="G72" t="s">
        <v>25</v>
      </c>
      <c r="H72">
        <v>21.3</v>
      </c>
      <c r="I72">
        <v>0</v>
      </c>
      <c r="J72">
        <v>0</v>
      </c>
      <c r="K72">
        <v>0</v>
      </c>
      <c r="L72" t="s">
        <v>12</v>
      </c>
      <c r="M72">
        <v>0</v>
      </c>
      <c r="N72" t="s">
        <v>28</v>
      </c>
      <c r="O72">
        <v>400</v>
      </c>
      <c r="P72">
        <v>70</v>
      </c>
      <c r="Q72">
        <v>15</v>
      </c>
    </row>
    <row r="73" spans="1:17" x14ac:dyDescent="0.2">
      <c r="A73" t="s">
        <v>17</v>
      </c>
      <c r="B73" t="s">
        <v>40</v>
      </c>
      <c r="C73" t="s">
        <v>46</v>
      </c>
      <c r="D73">
        <v>56</v>
      </c>
      <c r="E73">
        <v>1</v>
      </c>
      <c r="F73">
        <v>1</v>
      </c>
      <c r="G73" t="s">
        <v>25</v>
      </c>
      <c r="H73">
        <v>22.2</v>
      </c>
      <c r="I73">
        <v>0</v>
      </c>
      <c r="J73">
        <v>0</v>
      </c>
      <c r="K73">
        <v>0</v>
      </c>
      <c r="L73" t="s">
        <v>27</v>
      </c>
      <c r="M73">
        <v>0</v>
      </c>
      <c r="N73" t="s">
        <v>28</v>
      </c>
      <c r="O73">
        <v>400</v>
      </c>
      <c r="P73">
        <v>70</v>
      </c>
      <c r="Q73">
        <v>15</v>
      </c>
    </row>
    <row r="74" spans="1:17" x14ac:dyDescent="0.2">
      <c r="A74" t="s">
        <v>17</v>
      </c>
      <c r="B74" t="s">
        <v>40</v>
      </c>
      <c r="C74" t="s">
        <v>46</v>
      </c>
      <c r="D74">
        <v>70</v>
      </c>
      <c r="E74">
        <v>1</v>
      </c>
      <c r="F74">
        <v>1</v>
      </c>
      <c r="G74" t="s">
        <v>25</v>
      </c>
      <c r="H74">
        <v>26.7</v>
      </c>
      <c r="I74">
        <v>0</v>
      </c>
      <c r="J74">
        <v>0</v>
      </c>
      <c r="K74">
        <v>0</v>
      </c>
      <c r="L74" t="s">
        <v>12</v>
      </c>
      <c r="M74">
        <v>3</v>
      </c>
      <c r="N74" t="s">
        <v>28</v>
      </c>
      <c r="O74">
        <v>400</v>
      </c>
      <c r="P74">
        <v>70</v>
      </c>
      <c r="Q74">
        <v>15</v>
      </c>
    </row>
    <row r="75" spans="1:17" x14ac:dyDescent="0.2">
      <c r="A75" t="s">
        <v>17</v>
      </c>
      <c r="B75" t="s">
        <v>40</v>
      </c>
      <c r="C75" t="s">
        <v>46</v>
      </c>
      <c r="D75">
        <v>84</v>
      </c>
      <c r="E75">
        <v>1</v>
      </c>
      <c r="F75">
        <v>1</v>
      </c>
      <c r="G75" t="s">
        <v>25</v>
      </c>
      <c r="H75">
        <v>60.5</v>
      </c>
      <c r="I75">
        <v>0</v>
      </c>
      <c r="J75">
        <v>0</v>
      </c>
      <c r="K75">
        <v>0</v>
      </c>
      <c r="L75" t="s">
        <v>27</v>
      </c>
      <c r="M75">
        <v>3</v>
      </c>
      <c r="N75" t="s">
        <v>28</v>
      </c>
      <c r="O75">
        <v>400</v>
      </c>
      <c r="P75">
        <v>70</v>
      </c>
      <c r="Q75">
        <v>15</v>
      </c>
    </row>
    <row r="76" spans="1:17" x14ac:dyDescent="0.2">
      <c r="A76" t="s">
        <v>17</v>
      </c>
      <c r="B76" t="s">
        <v>40</v>
      </c>
      <c r="C76" t="s">
        <v>46</v>
      </c>
      <c r="D76">
        <v>98</v>
      </c>
      <c r="E76">
        <v>1</v>
      </c>
      <c r="F76">
        <v>1</v>
      </c>
      <c r="G76" t="s">
        <v>25</v>
      </c>
      <c r="H76">
        <v>134</v>
      </c>
      <c r="I76">
        <v>0</v>
      </c>
      <c r="J76">
        <v>0</v>
      </c>
      <c r="K76">
        <v>0</v>
      </c>
      <c r="L76" t="s">
        <v>12</v>
      </c>
      <c r="M76">
        <v>0</v>
      </c>
      <c r="N76" t="s">
        <v>28</v>
      </c>
      <c r="O76">
        <v>400</v>
      </c>
      <c r="P76">
        <v>70</v>
      </c>
      <c r="Q76">
        <v>15</v>
      </c>
    </row>
    <row r="77" spans="1:17" x14ac:dyDescent="0.2">
      <c r="A77" t="s">
        <v>17</v>
      </c>
      <c r="B77" t="s">
        <v>40</v>
      </c>
      <c r="C77" t="s">
        <v>46</v>
      </c>
      <c r="D77">
        <v>112</v>
      </c>
      <c r="E77">
        <v>1</v>
      </c>
      <c r="F77">
        <v>1</v>
      </c>
      <c r="G77" t="s">
        <v>25</v>
      </c>
      <c r="H77">
        <v>141</v>
      </c>
      <c r="I77">
        <v>0</v>
      </c>
      <c r="J77">
        <v>0</v>
      </c>
      <c r="K77">
        <v>0</v>
      </c>
      <c r="L77" t="s">
        <v>27</v>
      </c>
      <c r="M77">
        <v>0</v>
      </c>
      <c r="N77" t="s">
        <v>28</v>
      </c>
      <c r="O77">
        <v>400</v>
      </c>
      <c r="P77">
        <v>70</v>
      </c>
      <c r="Q77">
        <v>15</v>
      </c>
    </row>
    <row r="78" spans="1:17" x14ac:dyDescent="0.2">
      <c r="A78" t="s">
        <v>17</v>
      </c>
      <c r="B78" t="s">
        <v>40</v>
      </c>
      <c r="C78" t="s">
        <v>46</v>
      </c>
      <c r="D78">
        <v>126</v>
      </c>
      <c r="E78">
        <v>1</v>
      </c>
      <c r="F78">
        <v>1</v>
      </c>
      <c r="G78" t="s">
        <v>25</v>
      </c>
      <c r="H78">
        <v>154</v>
      </c>
      <c r="I78">
        <v>0</v>
      </c>
      <c r="J78">
        <v>0</v>
      </c>
      <c r="K78">
        <v>0</v>
      </c>
      <c r="L78" t="s">
        <v>12</v>
      </c>
      <c r="M78">
        <v>0</v>
      </c>
      <c r="N78" t="s">
        <v>28</v>
      </c>
      <c r="O78">
        <v>400</v>
      </c>
      <c r="P78">
        <v>70</v>
      </c>
      <c r="Q78">
        <v>15</v>
      </c>
    </row>
    <row r="79" spans="1:17" x14ac:dyDescent="0.2">
      <c r="A79" t="s">
        <v>17</v>
      </c>
      <c r="B79" t="s">
        <v>40</v>
      </c>
      <c r="C79" t="s">
        <v>46</v>
      </c>
      <c r="D79">
        <v>140</v>
      </c>
      <c r="E79">
        <v>1</v>
      </c>
      <c r="F79">
        <v>1</v>
      </c>
      <c r="G79" t="s">
        <v>25</v>
      </c>
      <c r="H79">
        <v>203</v>
      </c>
      <c r="I79">
        <v>0</v>
      </c>
      <c r="J79">
        <v>0</v>
      </c>
      <c r="K79">
        <v>0</v>
      </c>
      <c r="L79" t="s">
        <v>27</v>
      </c>
      <c r="M79">
        <v>3</v>
      </c>
      <c r="N79" t="s">
        <v>28</v>
      </c>
      <c r="O79">
        <v>400</v>
      </c>
      <c r="P79">
        <v>70</v>
      </c>
      <c r="Q79">
        <v>15</v>
      </c>
    </row>
    <row r="80" spans="1:17" x14ac:dyDescent="0.2">
      <c r="A80" t="s">
        <v>17</v>
      </c>
      <c r="B80" t="s">
        <v>40</v>
      </c>
      <c r="C80" t="s">
        <v>46</v>
      </c>
      <c r="D80">
        <v>154</v>
      </c>
      <c r="E80">
        <v>1</v>
      </c>
      <c r="F80">
        <v>1</v>
      </c>
      <c r="G80" t="s">
        <v>25</v>
      </c>
      <c r="H80">
        <v>330</v>
      </c>
      <c r="I80">
        <v>0</v>
      </c>
      <c r="J80">
        <v>0</v>
      </c>
      <c r="K80">
        <v>0</v>
      </c>
      <c r="L80" t="s">
        <v>12</v>
      </c>
      <c r="M80">
        <v>0</v>
      </c>
      <c r="N80" t="s">
        <v>28</v>
      </c>
      <c r="O80">
        <v>400</v>
      </c>
      <c r="P80">
        <v>70</v>
      </c>
      <c r="Q80">
        <v>15</v>
      </c>
    </row>
    <row r="81" spans="1:17" x14ac:dyDescent="0.2">
      <c r="A81" t="s">
        <v>17</v>
      </c>
      <c r="B81" t="s">
        <v>40</v>
      </c>
      <c r="C81" t="s">
        <v>46</v>
      </c>
      <c r="D81">
        <v>168</v>
      </c>
      <c r="E81">
        <v>1</v>
      </c>
      <c r="F81">
        <v>1</v>
      </c>
      <c r="G81" t="s">
        <v>25</v>
      </c>
      <c r="H81">
        <v>361</v>
      </c>
      <c r="I81">
        <v>0</v>
      </c>
      <c r="J81">
        <v>0</v>
      </c>
      <c r="K81">
        <v>0</v>
      </c>
      <c r="L81" t="s">
        <v>27</v>
      </c>
      <c r="M81">
        <v>0</v>
      </c>
      <c r="N81" t="s">
        <v>28</v>
      </c>
      <c r="O81">
        <v>400</v>
      </c>
      <c r="P81">
        <v>70</v>
      </c>
      <c r="Q81">
        <v>15</v>
      </c>
    </row>
    <row r="82" spans="1:17" x14ac:dyDescent="0.2">
      <c r="A82" t="s">
        <v>17</v>
      </c>
      <c r="B82" t="s">
        <v>40</v>
      </c>
      <c r="C82" t="s">
        <v>46</v>
      </c>
      <c r="D82">
        <v>182</v>
      </c>
      <c r="E82">
        <v>1</v>
      </c>
      <c r="F82">
        <v>1</v>
      </c>
      <c r="G82" t="s">
        <v>25</v>
      </c>
      <c r="H82">
        <v>353</v>
      </c>
      <c r="I82">
        <v>0</v>
      </c>
      <c r="J82">
        <v>0</v>
      </c>
      <c r="K82">
        <v>0</v>
      </c>
      <c r="L82" t="s">
        <v>12</v>
      </c>
      <c r="M82">
        <v>0</v>
      </c>
      <c r="N82" t="s">
        <v>28</v>
      </c>
      <c r="O82">
        <v>400</v>
      </c>
      <c r="P82">
        <v>70</v>
      </c>
      <c r="Q82">
        <v>15</v>
      </c>
    </row>
    <row r="83" spans="1:17" x14ac:dyDescent="0.2">
      <c r="A83" t="s">
        <v>17</v>
      </c>
      <c r="B83" t="s">
        <v>40</v>
      </c>
      <c r="C83" t="s">
        <v>46</v>
      </c>
      <c r="D83">
        <v>196</v>
      </c>
      <c r="E83">
        <v>1</v>
      </c>
      <c r="F83">
        <v>1</v>
      </c>
      <c r="G83" t="s">
        <v>25</v>
      </c>
      <c r="H83">
        <v>408</v>
      </c>
      <c r="I83">
        <v>0</v>
      </c>
      <c r="J83">
        <v>0</v>
      </c>
      <c r="K83">
        <v>0</v>
      </c>
      <c r="L83" t="s">
        <v>27</v>
      </c>
      <c r="M83">
        <v>0</v>
      </c>
      <c r="N83" t="s">
        <v>28</v>
      </c>
      <c r="O83">
        <v>400</v>
      </c>
      <c r="P83">
        <v>70</v>
      </c>
      <c r="Q83">
        <v>15</v>
      </c>
    </row>
    <row r="84" spans="1:17" x14ac:dyDescent="0.2">
      <c r="A84" t="s">
        <v>17</v>
      </c>
      <c r="B84" t="s">
        <v>40</v>
      </c>
      <c r="C84" t="s">
        <v>46</v>
      </c>
      <c r="D84">
        <v>210</v>
      </c>
      <c r="E84">
        <v>1</v>
      </c>
      <c r="F84">
        <v>1</v>
      </c>
      <c r="G84" t="s">
        <v>25</v>
      </c>
      <c r="H84">
        <v>427</v>
      </c>
      <c r="I84">
        <v>0</v>
      </c>
      <c r="J84">
        <v>0</v>
      </c>
      <c r="K84">
        <v>0</v>
      </c>
      <c r="L84" t="s">
        <v>12</v>
      </c>
      <c r="M84">
        <v>0</v>
      </c>
      <c r="N84" t="s">
        <v>28</v>
      </c>
      <c r="O84">
        <v>400</v>
      </c>
      <c r="P84">
        <v>70</v>
      </c>
      <c r="Q84">
        <v>15</v>
      </c>
    </row>
    <row r="85" spans="1:17" x14ac:dyDescent="0.2">
      <c r="A85" t="s">
        <v>17</v>
      </c>
      <c r="B85" t="s">
        <v>40</v>
      </c>
      <c r="C85" t="s">
        <v>46</v>
      </c>
      <c r="D85">
        <v>233</v>
      </c>
      <c r="E85">
        <v>1</v>
      </c>
      <c r="F85">
        <v>1</v>
      </c>
      <c r="G85" t="s">
        <v>25</v>
      </c>
      <c r="H85">
        <v>423</v>
      </c>
      <c r="I85">
        <v>0</v>
      </c>
      <c r="J85">
        <v>0</v>
      </c>
      <c r="K85">
        <v>0</v>
      </c>
      <c r="L85" t="s">
        <v>27</v>
      </c>
      <c r="M85">
        <v>0</v>
      </c>
      <c r="N85" t="s">
        <v>28</v>
      </c>
      <c r="O85">
        <v>400</v>
      </c>
      <c r="P85">
        <v>70</v>
      </c>
      <c r="Q85">
        <v>15</v>
      </c>
    </row>
  </sheetData>
  <phoneticPr fontId="2" type="noConversion"/>
  <conditionalFormatting sqref="G1">
    <cfRule type="cellIs" dxfId="77" priority="5" operator="equal">
      <formula>"J"</formula>
    </cfRule>
    <cfRule type="cellIs" dxfId="76" priority="6" operator="equal">
      <formula>"A"</formula>
    </cfRule>
  </conditionalFormatting>
  <conditionalFormatting sqref="G1">
    <cfRule type="cellIs" dxfId="75" priority="3" operator="equal">
      <formula>"J"</formula>
    </cfRule>
    <cfRule type="cellIs" dxfId="74" priority="4" operator="equal">
      <formula>"A"</formula>
    </cfRule>
  </conditionalFormatting>
  <conditionalFormatting sqref="G1:G1048576">
    <cfRule type="cellIs" dxfId="73" priority="1" operator="equal">
      <formula>"A"</formula>
    </cfRule>
    <cfRule type="cellIs" dxfId="72" priority="2" operator="equal">
      <formula>"J"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A0FA-3FBE-2543-A39E-979BA1E3C257}">
  <dimension ref="A1:Q136"/>
  <sheetViews>
    <sheetView zoomScale="93" workbookViewId="0">
      <pane ySplit="1" topLeftCell="A94" activePane="bottomLeft" state="frozen"/>
      <selection pane="bottomLeft" activeCell="F115" sqref="F115"/>
    </sheetView>
  </sheetViews>
  <sheetFormatPr baseColWidth="10" defaultRowHeight="16" x14ac:dyDescent="0.2"/>
  <cols>
    <col min="1" max="1" width="16.6640625" customWidth="1"/>
    <col min="2" max="2" width="16.5" customWidth="1"/>
  </cols>
  <sheetData>
    <row r="1" spans="1:17" s="11" customFormat="1" x14ac:dyDescent="0.2">
      <c r="A1" s="11" t="s">
        <v>0</v>
      </c>
      <c r="B1" s="11" t="s">
        <v>1</v>
      </c>
      <c r="C1" s="12" t="s">
        <v>3</v>
      </c>
      <c r="D1" s="13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9</v>
      </c>
      <c r="J1" s="11" t="s">
        <v>10</v>
      </c>
      <c r="K1" s="11" t="s">
        <v>8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">
      <c r="A2" t="s">
        <v>17</v>
      </c>
      <c r="B2" t="s">
        <v>47</v>
      </c>
      <c r="C2" t="s">
        <v>48</v>
      </c>
      <c r="D2" s="2">
        <v>0</v>
      </c>
      <c r="E2">
        <v>1</v>
      </c>
      <c r="F2">
        <v>1</v>
      </c>
      <c r="G2" t="s">
        <v>25</v>
      </c>
      <c r="H2">
        <v>7.5</v>
      </c>
      <c r="I2">
        <v>0</v>
      </c>
      <c r="J2">
        <v>0</v>
      </c>
      <c r="K2">
        <v>0</v>
      </c>
      <c r="L2" t="s">
        <v>27</v>
      </c>
      <c r="M2">
        <v>1</v>
      </c>
      <c r="N2" t="s">
        <v>28</v>
      </c>
      <c r="O2">
        <v>400</v>
      </c>
      <c r="P2">
        <v>70</v>
      </c>
      <c r="Q2">
        <v>15</v>
      </c>
    </row>
    <row r="3" spans="1:17" x14ac:dyDescent="0.2">
      <c r="A3" t="s">
        <v>17</v>
      </c>
      <c r="B3" t="s">
        <v>47</v>
      </c>
      <c r="C3" t="s">
        <v>48</v>
      </c>
      <c r="D3" s="2">
        <v>14</v>
      </c>
      <c r="E3">
        <v>1</v>
      </c>
      <c r="F3">
        <v>1</v>
      </c>
      <c r="G3" t="s">
        <v>25</v>
      </c>
      <c r="H3">
        <v>12.2</v>
      </c>
      <c r="I3">
        <v>0</v>
      </c>
      <c r="J3">
        <v>0</v>
      </c>
      <c r="K3">
        <v>0</v>
      </c>
      <c r="L3" t="s">
        <v>12</v>
      </c>
      <c r="M3">
        <v>1</v>
      </c>
      <c r="N3" t="s">
        <v>28</v>
      </c>
      <c r="O3">
        <v>400</v>
      </c>
      <c r="P3">
        <v>70</v>
      </c>
      <c r="Q3">
        <v>15</v>
      </c>
    </row>
    <row r="4" spans="1:17" x14ac:dyDescent="0.2">
      <c r="A4" t="s">
        <v>17</v>
      </c>
      <c r="B4" t="s">
        <v>47</v>
      </c>
      <c r="C4" t="s">
        <v>48</v>
      </c>
      <c r="D4" s="2">
        <v>28</v>
      </c>
      <c r="E4">
        <v>1</v>
      </c>
      <c r="F4">
        <v>1</v>
      </c>
      <c r="G4" t="s">
        <v>25</v>
      </c>
      <c r="H4">
        <v>29</v>
      </c>
      <c r="I4">
        <v>0</v>
      </c>
      <c r="J4">
        <v>0</v>
      </c>
      <c r="K4">
        <v>0</v>
      </c>
      <c r="L4" t="s">
        <v>27</v>
      </c>
      <c r="M4">
        <v>1</v>
      </c>
      <c r="N4" t="s">
        <v>28</v>
      </c>
      <c r="O4">
        <v>400</v>
      </c>
      <c r="P4">
        <v>70</v>
      </c>
      <c r="Q4">
        <v>15</v>
      </c>
    </row>
    <row r="5" spans="1:17" x14ac:dyDescent="0.2">
      <c r="A5" t="s">
        <v>17</v>
      </c>
      <c r="B5" t="s">
        <v>47</v>
      </c>
      <c r="C5" t="s">
        <v>48</v>
      </c>
      <c r="D5" s="2">
        <v>42</v>
      </c>
      <c r="E5">
        <v>1</v>
      </c>
      <c r="F5">
        <v>1</v>
      </c>
      <c r="G5" t="s">
        <v>25</v>
      </c>
      <c r="H5">
        <v>41.8</v>
      </c>
      <c r="I5">
        <v>0</v>
      </c>
      <c r="J5">
        <v>0</v>
      </c>
      <c r="K5">
        <v>0</v>
      </c>
      <c r="L5" t="s">
        <v>12</v>
      </c>
      <c r="M5">
        <v>1</v>
      </c>
      <c r="N5" t="s">
        <v>28</v>
      </c>
      <c r="O5">
        <v>400</v>
      </c>
      <c r="P5">
        <v>70</v>
      </c>
      <c r="Q5">
        <v>15</v>
      </c>
    </row>
    <row r="6" spans="1:17" x14ac:dyDescent="0.2">
      <c r="A6" t="s">
        <v>17</v>
      </c>
      <c r="B6" t="s">
        <v>47</v>
      </c>
      <c r="C6" t="s">
        <v>48</v>
      </c>
      <c r="D6" s="2">
        <v>56</v>
      </c>
      <c r="E6">
        <v>1</v>
      </c>
      <c r="F6">
        <v>1</v>
      </c>
      <c r="G6" t="s">
        <v>25</v>
      </c>
      <c r="H6">
        <v>92.2</v>
      </c>
      <c r="I6">
        <v>0</v>
      </c>
      <c r="J6">
        <v>0</v>
      </c>
      <c r="K6">
        <v>0</v>
      </c>
      <c r="L6" t="s">
        <v>27</v>
      </c>
      <c r="M6">
        <v>1</v>
      </c>
      <c r="N6" t="s">
        <v>28</v>
      </c>
      <c r="O6">
        <v>400</v>
      </c>
      <c r="P6">
        <v>70</v>
      </c>
      <c r="Q6">
        <v>15</v>
      </c>
    </row>
    <row r="7" spans="1:17" x14ac:dyDescent="0.2">
      <c r="A7" t="s">
        <v>17</v>
      </c>
      <c r="B7" t="s">
        <v>47</v>
      </c>
      <c r="C7" t="s">
        <v>48</v>
      </c>
      <c r="D7" s="2">
        <v>70</v>
      </c>
      <c r="E7">
        <v>1</v>
      </c>
      <c r="F7">
        <v>1</v>
      </c>
      <c r="G7" t="s">
        <v>25</v>
      </c>
      <c r="H7">
        <v>219</v>
      </c>
      <c r="I7">
        <v>0</v>
      </c>
      <c r="J7">
        <v>0</v>
      </c>
      <c r="K7">
        <v>0</v>
      </c>
      <c r="L7" t="s">
        <v>12</v>
      </c>
      <c r="M7">
        <v>1</v>
      </c>
      <c r="N7" t="s">
        <v>28</v>
      </c>
      <c r="O7">
        <v>400</v>
      </c>
      <c r="P7">
        <v>70</v>
      </c>
      <c r="Q7">
        <v>15</v>
      </c>
    </row>
    <row r="8" spans="1:17" x14ac:dyDescent="0.2">
      <c r="A8" t="s">
        <v>17</v>
      </c>
      <c r="B8" t="s">
        <v>47</v>
      </c>
      <c r="C8" t="s">
        <v>48</v>
      </c>
      <c r="D8" s="2">
        <v>84</v>
      </c>
      <c r="E8">
        <v>1</v>
      </c>
      <c r="F8">
        <v>1</v>
      </c>
      <c r="G8" t="s">
        <v>25</v>
      </c>
      <c r="H8">
        <v>303.89999999999998</v>
      </c>
      <c r="I8">
        <v>0</v>
      </c>
      <c r="J8">
        <v>0</v>
      </c>
      <c r="K8">
        <v>0</v>
      </c>
      <c r="L8" t="s">
        <v>27</v>
      </c>
      <c r="M8">
        <v>1</v>
      </c>
      <c r="N8" t="s">
        <v>28</v>
      </c>
      <c r="O8">
        <v>400</v>
      </c>
      <c r="P8">
        <v>70</v>
      </c>
      <c r="Q8">
        <v>15</v>
      </c>
    </row>
    <row r="9" spans="1:17" x14ac:dyDescent="0.2">
      <c r="A9" t="s">
        <v>17</v>
      </c>
      <c r="B9" t="s">
        <v>47</v>
      </c>
      <c r="C9" t="s">
        <v>48</v>
      </c>
      <c r="D9" s="2">
        <v>98</v>
      </c>
      <c r="E9">
        <v>1</v>
      </c>
      <c r="F9">
        <v>1</v>
      </c>
      <c r="G9" t="s">
        <v>25</v>
      </c>
      <c r="H9">
        <v>435.3</v>
      </c>
      <c r="I9">
        <v>0</v>
      </c>
      <c r="J9">
        <v>0</v>
      </c>
      <c r="K9">
        <v>0</v>
      </c>
      <c r="L9" t="s">
        <v>12</v>
      </c>
      <c r="M9">
        <v>1</v>
      </c>
      <c r="N9" t="s">
        <v>28</v>
      </c>
      <c r="O9">
        <v>400</v>
      </c>
      <c r="P9">
        <v>70</v>
      </c>
      <c r="Q9">
        <v>15</v>
      </c>
    </row>
    <row r="10" spans="1:17" x14ac:dyDescent="0.2">
      <c r="A10" t="s">
        <v>17</v>
      </c>
      <c r="B10" t="s">
        <v>47</v>
      </c>
      <c r="C10" t="s">
        <v>48</v>
      </c>
      <c r="D10" s="2">
        <v>112</v>
      </c>
      <c r="E10">
        <v>1</v>
      </c>
      <c r="F10">
        <v>1</v>
      </c>
      <c r="G10" t="s">
        <v>25</v>
      </c>
      <c r="H10">
        <v>552</v>
      </c>
      <c r="I10">
        <v>0</v>
      </c>
      <c r="J10">
        <v>0</v>
      </c>
      <c r="K10">
        <v>0</v>
      </c>
      <c r="L10" t="s">
        <v>27</v>
      </c>
      <c r="M10">
        <v>1</v>
      </c>
      <c r="N10" t="s">
        <v>28</v>
      </c>
      <c r="O10">
        <v>400</v>
      </c>
      <c r="P10">
        <v>70</v>
      </c>
      <c r="Q10">
        <v>15</v>
      </c>
    </row>
    <row r="11" spans="1:17" x14ac:dyDescent="0.2">
      <c r="A11" t="s">
        <v>17</v>
      </c>
      <c r="B11" t="s">
        <v>47</v>
      </c>
      <c r="C11" t="s">
        <v>48</v>
      </c>
      <c r="D11" s="2">
        <v>126</v>
      </c>
      <c r="E11">
        <v>1</v>
      </c>
      <c r="F11">
        <v>1</v>
      </c>
      <c r="G11" t="s">
        <v>26</v>
      </c>
      <c r="H11">
        <v>590</v>
      </c>
      <c r="I11">
        <v>0</v>
      </c>
      <c r="J11">
        <v>0</v>
      </c>
      <c r="K11">
        <v>0</v>
      </c>
      <c r="L11" t="s">
        <v>12</v>
      </c>
      <c r="M11">
        <v>1</v>
      </c>
      <c r="N11" t="s">
        <v>28</v>
      </c>
      <c r="O11">
        <v>400</v>
      </c>
      <c r="P11">
        <v>70</v>
      </c>
      <c r="Q11">
        <v>15</v>
      </c>
    </row>
    <row r="12" spans="1:17" x14ac:dyDescent="0.2">
      <c r="A12" t="s">
        <v>17</v>
      </c>
      <c r="B12" t="s">
        <v>47</v>
      </c>
      <c r="C12" t="s">
        <v>48</v>
      </c>
      <c r="D12" s="2">
        <v>140</v>
      </c>
      <c r="E12">
        <v>1</v>
      </c>
      <c r="F12">
        <v>1</v>
      </c>
      <c r="G12" t="s">
        <v>26</v>
      </c>
      <c r="H12">
        <v>736</v>
      </c>
      <c r="I12">
        <v>0</v>
      </c>
      <c r="J12">
        <v>0</v>
      </c>
      <c r="K12">
        <v>0</v>
      </c>
      <c r="L12" t="s">
        <v>27</v>
      </c>
      <c r="M12">
        <v>1</v>
      </c>
      <c r="N12" t="s">
        <v>28</v>
      </c>
      <c r="O12">
        <v>400</v>
      </c>
      <c r="P12">
        <v>70</v>
      </c>
      <c r="Q12">
        <v>15</v>
      </c>
    </row>
    <row r="13" spans="1:17" x14ac:dyDescent="0.2">
      <c r="A13" t="s">
        <v>17</v>
      </c>
      <c r="B13" t="s">
        <v>47</v>
      </c>
      <c r="C13" t="s">
        <v>48</v>
      </c>
      <c r="D13" s="2">
        <v>154</v>
      </c>
      <c r="E13">
        <v>1</v>
      </c>
      <c r="F13">
        <v>1</v>
      </c>
      <c r="G13" t="s">
        <v>26</v>
      </c>
      <c r="H13">
        <v>831.5</v>
      </c>
      <c r="I13">
        <v>0</v>
      </c>
      <c r="J13">
        <v>0</v>
      </c>
      <c r="K13">
        <v>0</v>
      </c>
      <c r="L13" t="s">
        <v>12</v>
      </c>
      <c r="M13">
        <v>1</v>
      </c>
      <c r="N13" t="s">
        <v>28</v>
      </c>
      <c r="O13">
        <v>400</v>
      </c>
      <c r="P13">
        <v>70</v>
      </c>
      <c r="Q13">
        <v>15</v>
      </c>
    </row>
    <row r="14" spans="1:17" x14ac:dyDescent="0.2">
      <c r="A14" t="s">
        <v>17</v>
      </c>
      <c r="B14" t="s">
        <v>47</v>
      </c>
      <c r="C14" t="s">
        <v>48</v>
      </c>
      <c r="D14" s="2">
        <v>168</v>
      </c>
      <c r="E14">
        <v>1</v>
      </c>
      <c r="F14">
        <v>1</v>
      </c>
      <c r="G14" t="s">
        <v>26</v>
      </c>
      <c r="H14">
        <v>988</v>
      </c>
      <c r="I14">
        <v>0</v>
      </c>
      <c r="J14">
        <v>0</v>
      </c>
      <c r="K14">
        <v>0</v>
      </c>
      <c r="L14" t="s">
        <v>27</v>
      </c>
      <c r="M14">
        <v>1</v>
      </c>
      <c r="N14" t="s">
        <v>28</v>
      </c>
      <c r="O14">
        <v>400</v>
      </c>
      <c r="P14">
        <v>70</v>
      </c>
      <c r="Q14">
        <v>15</v>
      </c>
    </row>
    <row r="15" spans="1:17" x14ac:dyDescent="0.2">
      <c r="A15" t="s">
        <v>17</v>
      </c>
      <c r="B15" t="s">
        <v>47</v>
      </c>
      <c r="C15" t="s">
        <v>48</v>
      </c>
      <c r="D15" s="2">
        <v>182</v>
      </c>
      <c r="E15">
        <v>1</v>
      </c>
      <c r="F15">
        <v>1</v>
      </c>
      <c r="G15" t="s">
        <v>26</v>
      </c>
      <c r="H15">
        <v>1007</v>
      </c>
      <c r="I15">
        <v>0</v>
      </c>
      <c r="J15">
        <v>0</v>
      </c>
      <c r="K15">
        <v>0</v>
      </c>
      <c r="L15" t="s">
        <v>12</v>
      </c>
      <c r="M15">
        <v>1</v>
      </c>
      <c r="N15" t="s">
        <v>28</v>
      </c>
      <c r="O15">
        <v>400</v>
      </c>
      <c r="P15">
        <v>70</v>
      </c>
      <c r="Q15">
        <v>15</v>
      </c>
    </row>
    <row r="16" spans="1:17" x14ac:dyDescent="0.2">
      <c r="A16" t="s">
        <v>17</v>
      </c>
      <c r="B16" t="s">
        <v>47</v>
      </c>
      <c r="C16" t="s">
        <v>48</v>
      </c>
      <c r="D16" s="2">
        <v>196</v>
      </c>
      <c r="E16">
        <v>1</v>
      </c>
      <c r="F16">
        <v>1</v>
      </c>
      <c r="G16" t="s">
        <v>26</v>
      </c>
      <c r="H16">
        <v>1064</v>
      </c>
      <c r="I16">
        <v>0</v>
      </c>
      <c r="J16">
        <v>0</v>
      </c>
      <c r="K16">
        <v>0</v>
      </c>
      <c r="L16" t="s">
        <v>27</v>
      </c>
      <c r="M16">
        <v>1</v>
      </c>
      <c r="N16" t="s">
        <v>28</v>
      </c>
      <c r="O16">
        <v>400</v>
      </c>
      <c r="P16">
        <v>70</v>
      </c>
      <c r="Q16">
        <v>15</v>
      </c>
    </row>
    <row r="17" spans="1:17" x14ac:dyDescent="0.2">
      <c r="A17" t="s">
        <v>17</v>
      </c>
      <c r="B17" t="s">
        <v>47</v>
      </c>
      <c r="C17" t="s">
        <v>48</v>
      </c>
      <c r="D17" s="2">
        <v>210</v>
      </c>
      <c r="E17">
        <v>1</v>
      </c>
      <c r="F17">
        <v>1</v>
      </c>
      <c r="G17" t="s">
        <v>26</v>
      </c>
      <c r="H17">
        <v>1120</v>
      </c>
      <c r="I17">
        <v>0</v>
      </c>
      <c r="J17">
        <v>0</v>
      </c>
      <c r="K17">
        <v>0</v>
      </c>
      <c r="L17" t="s">
        <v>12</v>
      </c>
      <c r="M17">
        <v>1</v>
      </c>
      <c r="N17" t="s">
        <v>28</v>
      </c>
      <c r="O17">
        <v>400</v>
      </c>
      <c r="P17">
        <v>70</v>
      </c>
      <c r="Q17">
        <v>15</v>
      </c>
    </row>
    <row r="18" spans="1:17" x14ac:dyDescent="0.2">
      <c r="A18" t="s">
        <v>17</v>
      </c>
      <c r="B18" t="s">
        <v>47</v>
      </c>
      <c r="C18" t="s">
        <v>48</v>
      </c>
      <c r="D18" s="2">
        <v>224</v>
      </c>
      <c r="E18">
        <v>1</v>
      </c>
      <c r="F18">
        <v>1</v>
      </c>
      <c r="G18" t="s">
        <v>26</v>
      </c>
      <c r="H18">
        <v>1196.8</v>
      </c>
      <c r="I18">
        <v>0</v>
      </c>
      <c r="J18">
        <v>0</v>
      </c>
      <c r="K18">
        <v>0</v>
      </c>
      <c r="L18" t="s">
        <v>27</v>
      </c>
      <c r="M18">
        <v>1</v>
      </c>
      <c r="N18" t="s">
        <v>28</v>
      </c>
      <c r="O18">
        <v>400</v>
      </c>
      <c r="P18">
        <v>70</v>
      </c>
      <c r="Q18">
        <v>15</v>
      </c>
    </row>
    <row r="19" spans="1:17" x14ac:dyDescent="0.2">
      <c r="A19" t="s">
        <v>17</v>
      </c>
      <c r="B19" t="s">
        <v>47</v>
      </c>
      <c r="C19" t="s">
        <v>48</v>
      </c>
      <c r="D19" s="2">
        <v>238</v>
      </c>
      <c r="E19">
        <v>1</v>
      </c>
      <c r="F19">
        <v>1</v>
      </c>
      <c r="G19" t="s">
        <v>26</v>
      </c>
      <c r="H19">
        <v>1329</v>
      </c>
      <c r="I19">
        <v>0</v>
      </c>
      <c r="J19">
        <v>0</v>
      </c>
      <c r="K19">
        <v>0</v>
      </c>
      <c r="L19" t="s">
        <v>12</v>
      </c>
      <c r="M19">
        <v>1</v>
      </c>
      <c r="N19" t="s">
        <v>28</v>
      </c>
      <c r="O19">
        <v>400</v>
      </c>
      <c r="P19">
        <v>70</v>
      </c>
      <c r="Q19">
        <v>15</v>
      </c>
    </row>
    <row r="20" spans="1:17" x14ac:dyDescent="0.2">
      <c r="A20" t="s">
        <v>17</v>
      </c>
      <c r="B20" t="s">
        <v>47</v>
      </c>
      <c r="C20" t="s">
        <v>48</v>
      </c>
      <c r="D20" s="2">
        <v>252</v>
      </c>
      <c r="E20">
        <v>1</v>
      </c>
      <c r="F20">
        <v>1</v>
      </c>
      <c r="G20" t="s">
        <v>26</v>
      </c>
      <c r="H20">
        <v>1456</v>
      </c>
      <c r="I20">
        <v>0</v>
      </c>
      <c r="J20">
        <v>0</v>
      </c>
      <c r="K20">
        <v>0</v>
      </c>
      <c r="L20" t="s">
        <v>27</v>
      </c>
      <c r="M20">
        <v>1</v>
      </c>
      <c r="N20" t="s">
        <v>28</v>
      </c>
      <c r="O20">
        <v>400</v>
      </c>
      <c r="P20">
        <v>70</v>
      </c>
      <c r="Q20">
        <v>15</v>
      </c>
    </row>
    <row r="21" spans="1:17" x14ac:dyDescent="0.2">
      <c r="A21" t="s">
        <v>17</v>
      </c>
      <c r="B21" t="s">
        <v>47</v>
      </c>
      <c r="C21" t="s">
        <v>48</v>
      </c>
      <c r="D21" s="2">
        <v>266</v>
      </c>
      <c r="E21">
        <v>1</v>
      </c>
      <c r="F21">
        <v>1</v>
      </c>
      <c r="G21" t="s">
        <v>26</v>
      </c>
      <c r="H21">
        <v>1558</v>
      </c>
      <c r="I21">
        <v>0</v>
      </c>
      <c r="J21">
        <v>0</v>
      </c>
      <c r="K21">
        <v>0</v>
      </c>
      <c r="L21" t="s">
        <v>12</v>
      </c>
      <c r="M21">
        <v>1</v>
      </c>
      <c r="N21" t="s">
        <v>28</v>
      </c>
      <c r="O21">
        <v>400</v>
      </c>
      <c r="P21">
        <v>70</v>
      </c>
      <c r="Q21">
        <v>15</v>
      </c>
    </row>
    <row r="22" spans="1:17" x14ac:dyDescent="0.2">
      <c r="A22" t="s">
        <v>17</v>
      </c>
      <c r="B22" t="s">
        <v>47</v>
      </c>
      <c r="C22" t="s">
        <v>48</v>
      </c>
      <c r="D22" s="2">
        <v>280</v>
      </c>
      <c r="E22">
        <v>1</v>
      </c>
      <c r="F22">
        <v>1</v>
      </c>
      <c r="G22" t="s">
        <v>26</v>
      </c>
      <c r="H22">
        <v>1587</v>
      </c>
      <c r="I22">
        <v>0</v>
      </c>
      <c r="J22">
        <v>0</v>
      </c>
      <c r="K22">
        <v>0</v>
      </c>
      <c r="L22" t="s">
        <v>27</v>
      </c>
      <c r="M22">
        <v>1</v>
      </c>
      <c r="N22" t="s">
        <v>28</v>
      </c>
      <c r="O22">
        <v>400</v>
      </c>
      <c r="P22">
        <v>70</v>
      </c>
      <c r="Q22">
        <v>15</v>
      </c>
    </row>
    <row r="23" spans="1:17" x14ac:dyDescent="0.2">
      <c r="A23" t="s">
        <v>17</v>
      </c>
      <c r="B23" t="s">
        <v>47</v>
      </c>
      <c r="C23" t="s">
        <v>48</v>
      </c>
      <c r="D23" s="2">
        <v>294</v>
      </c>
      <c r="E23">
        <v>1</v>
      </c>
      <c r="F23">
        <v>1</v>
      </c>
      <c r="G23" t="s">
        <v>26</v>
      </c>
      <c r="H23">
        <v>1640</v>
      </c>
      <c r="I23">
        <v>0</v>
      </c>
      <c r="J23">
        <v>0</v>
      </c>
      <c r="K23">
        <v>0</v>
      </c>
      <c r="L23" t="s">
        <v>12</v>
      </c>
      <c r="M23">
        <v>1</v>
      </c>
      <c r="N23" t="s">
        <v>28</v>
      </c>
      <c r="O23">
        <v>400</v>
      </c>
      <c r="P23">
        <v>70</v>
      </c>
      <c r="Q23">
        <v>15</v>
      </c>
    </row>
    <row r="24" spans="1:17" x14ac:dyDescent="0.2">
      <c r="A24" t="s">
        <v>17</v>
      </c>
      <c r="B24" t="s">
        <v>47</v>
      </c>
      <c r="C24" t="s">
        <v>48</v>
      </c>
      <c r="D24" s="2">
        <v>308</v>
      </c>
      <c r="E24">
        <v>1</v>
      </c>
      <c r="F24">
        <v>1</v>
      </c>
      <c r="G24" t="s">
        <v>26</v>
      </c>
      <c r="H24">
        <v>1615.4</v>
      </c>
      <c r="I24">
        <v>0</v>
      </c>
      <c r="J24">
        <v>0</v>
      </c>
      <c r="K24">
        <v>0</v>
      </c>
      <c r="L24" t="s">
        <v>27</v>
      </c>
      <c r="M24">
        <v>1</v>
      </c>
      <c r="N24" t="s">
        <v>28</v>
      </c>
      <c r="O24">
        <v>400</v>
      </c>
      <c r="P24">
        <v>70</v>
      </c>
      <c r="Q24">
        <v>15</v>
      </c>
    </row>
    <row r="25" spans="1:17" x14ac:dyDescent="0.2">
      <c r="A25" t="s">
        <v>17</v>
      </c>
      <c r="B25" t="s">
        <v>47</v>
      </c>
      <c r="C25" t="s">
        <v>48</v>
      </c>
      <c r="D25" s="2">
        <v>322</v>
      </c>
      <c r="E25">
        <v>1</v>
      </c>
      <c r="F25">
        <v>1</v>
      </c>
      <c r="G25" t="s">
        <v>26</v>
      </c>
      <c r="H25">
        <v>1790</v>
      </c>
      <c r="I25">
        <v>0</v>
      </c>
      <c r="J25">
        <v>0</v>
      </c>
      <c r="K25">
        <v>0</v>
      </c>
      <c r="L25" t="s">
        <v>12</v>
      </c>
      <c r="M25">
        <v>1</v>
      </c>
      <c r="N25" t="s">
        <v>28</v>
      </c>
      <c r="O25">
        <v>400</v>
      </c>
      <c r="P25">
        <v>70</v>
      </c>
      <c r="Q25">
        <v>15</v>
      </c>
    </row>
    <row r="26" spans="1:17" x14ac:dyDescent="0.2">
      <c r="A26" t="s">
        <v>17</v>
      </c>
      <c r="B26" t="s">
        <v>47</v>
      </c>
      <c r="C26" t="s">
        <v>48</v>
      </c>
      <c r="D26" s="2">
        <v>336</v>
      </c>
      <c r="E26">
        <v>1</v>
      </c>
      <c r="F26">
        <v>1</v>
      </c>
      <c r="G26" t="s">
        <v>26</v>
      </c>
      <c r="H26">
        <v>1886</v>
      </c>
      <c r="I26">
        <v>0</v>
      </c>
      <c r="J26">
        <v>0</v>
      </c>
      <c r="K26">
        <v>0</v>
      </c>
      <c r="L26" t="s">
        <v>27</v>
      </c>
      <c r="M26">
        <v>1</v>
      </c>
      <c r="N26" t="s">
        <v>28</v>
      </c>
      <c r="O26">
        <v>400</v>
      </c>
      <c r="P26">
        <v>70</v>
      </c>
      <c r="Q26">
        <v>15</v>
      </c>
    </row>
    <row r="27" spans="1:17" x14ac:dyDescent="0.2">
      <c r="A27" t="s">
        <v>17</v>
      </c>
      <c r="B27" t="s">
        <v>47</v>
      </c>
      <c r="C27" t="s">
        <v>48</v>
      </c>
      <c r="D27" s="2">
        <v>350</v>
      </c>
      <c r="E27">
        <v>1</v>
      </c>
      <c r="F27">
        <v>1</v>
      </c>
      <c r="G27" t="s">
        <v>26</v>
      </c>
      <c r="H27">
        <v>1880</v>
      </c>
      <c r="I27">
        <v>0</v>
      </c>
      <c r="J27">
        <v>0</v>
      </c>
      <c r="K27">
        <v>0</v>
      </c>
      <c r="L27" t="s">
        <v>12</v>
      </c>
      <c r="M27">
        <v>1</v>
      </c>
      <c r="N27" t="s">
        <v>28</v>
      </c>
      <c r="O27">
        <v>400</v>
      </c>
      <c r="P27">
        <v>70</v>
      </c>
      <c r="Q27">
        <v>15</v>
      </c>
    </row>
    <row r="28" spans="1:17" x14ac:dyDescent="0.2">
      <c r="A28" t="s">
        <v>17</v>
      </c>
      <c r="B28" t="s">
        <v>47</v>
      </c>
      <c r="C28" t="s">
        <v>48</v>
      </c>
      <c r="D28" s="2">
        <v>364</v>
      </c>
      <c r="E28">
        <v>1</v>
      </c>
      <c r="F28">
        <v>1</v>
      </c>
      <c r="G28" t="s">
        <v>26</v>
      </c>
      <c r="H28">
        <v>1954</v>
      </c>
      <c r="I28">
        <v>0</v>
      </c>
      <c r="J28">
        <v>0</v>
      </c>
      <c r="K28">
        <v>0</v>
      </c>
      <c r="L28" t="s">
        <v>27</v>
      </c>
      <c r="M28">
        <v>1</v>
      </c>
      <c r="N28" t="s">
        <v>28</v>
      </c>
      <c r="O28">
        <v>400</v>
      </c>
      <c r="P28">
        <v>70</v>
      </c>
      <c r="Q28">
        <v>15</v>
      </c>
    </row>
    <row r="29" spans="1:17" x14ac:dyDescent="0.2">
      <c r="A29" t="s">
        <v>17</v>
      </c>
      <c r="B29" t="s">
        <v>47</v>
      </c>
      <c r="C29" t="s">
        <v>48</v>
      </c>
      <c r="D29" s="2">
        <v>378</v>
      </c>
      <c r="E29">
        <v>1</v>
      </c>
      <c r="F29">
        <v>1</v>
      </c>
      <c r="G29" t="s">
        <v>26</v>
      </c>
      <c r="H29">
        <v>2170</v>
      </c>
      <c r="I29">
        <v>0</v>
      </c>
      <c r="J29">
        <v>0</v>
      </c>
      <c r="K29">
        <v>0</v>
      </c>
      <c r="L29" t="s">
        <v>12</v>
      </c>
      <c r="M29">
        <v>1</v>
      </c>
      <c r="N29" t="s">
        <v>28</v>
      </c>
      <c r="O29">
        <v>400</v>
      </c>
      <c r="P29">
        <v>70</v>
      </c>
      <c r="Q29">
        <v>15</v>
      </c>
    </row>
    <row r="30" spans="1:17" s="4" customFormat="1" x14ac:dyDescent="0.2">
      <c r="A30" s="4" t="s">
        <v>17</v>
      </c>
      <c r="B30" s="4" t="s">
        <v>47</v>
      </c>
      <c r="C30" s="4" t="s">
        <v>48</v>
      </c>
      <c r="D30" s="5">
        <v>392</v>
      </c>
      <c r="E30" s="4">
        <v>1</v>
      </c>
      <c r="F30" s="4">
        <v>1</v>
      </c>
      <c r="G30" s="4" t="s">
        <v>26</v>
      </c>
      <c r="H30" s="4">
        <v>1975</v>
      </c>
      <c r="I30" s="4">
        <v>0</v>
      </c>
      <c r="J30" s="4">
        <v>0</v>
      </c>
      <c r="K30" s="4">
        <v>0</v>
      </c>
      <c r="L30" s="4" t="s">
        <v>27</v>
      </c>
      <c r="M30" s="4">
        <v>1</v>
      </c>
      <c r="N30" s="4" t="s">
        <v>28</v>
      </c>
      <c r="O30" s="4">
        <v>400</v>
      </c>
      <c r="P30" s="4">
        <v>70</v>
      </c>
      <c r="Q30" s="4">
        <v>15</v>
      </c>
    </row>
    <row r="31" spans="1:17" x14ac:dyDescent="0.2">
      <c r="A31" t="s">
        <v>17</v>
      </c>
      <c r="B31" t="s">
        <v>47</v>
      </c>
      <c r="C31" t="s">
        <v>49</v>
      </c>
      <c r="D31" s="2">
        <v>0</v>
      </c>
      <c r="E31">
        <v>1</v>
      </c>
      <c r="F31">
        <v>1</v>
      </c>
      <c r="G31" t="s">
        <v>25</v>
      </c>
      <c r="H31">
        <v>11.2</v>
      </c>
      <c r="I31">
        <v>0</v>
      </c>
      <c r="J31">
        <v>0</v>
      </c>
      <c r="K31">
        <v>0</v>
      </c>
      <c r="L31" t="s">
        <v>27</v>
      </c>
      <c r="M31">
        <v>1</v>
      </c>
      <c r="N31" t="s">
        <v>28</v>
      </c>
      <c r="O31">
        <v>400</v>
      </c>
      <c r="P31">
        <v>70</v>
      </c>
      <c r="Q31">
        <v>15</v>
      </c>
    </row>
    <row r="32" spans="1:17" x14ac:dyDescent="0.2">
      <c r="A32" t="s">
        <v>17</v>
      </c>
      <c r="B32" t="s">
        <v>47</v>
      </c>
      <c r="C32" t="s">
        <v>49</v>
      </c>
      <c r="D32" s="2">
        <v>14</v>
      </c>
      <c r="E32">
        <v>1</v>
      </c>
      <c r="F32">
        <v>1</v>
      </c>
      <c r="G32" t="s">
        <v>25</v>
      </c>
      <c r="H32">
        <v>17.399999999999999</v>
      </c>
      <c r="I32">
        <v>0</v>
      </c>
      <c r="J32">
        <v>0</v>
      </c>
      <c r="K32">
        <v>0</v>
      </c>
      <c r="L32" t="s">
        <v>12</v>
      </c>
      <c r="M32">
        <v>1</v>
      </c>
      <c r="N32" t="s">
        <v>28</v>
      </c>
      <c r="O32">
        <v>400</v>
      </c>
      <c r="P32">
        <v>70</v>
      </c>
      <c r="Q32">
        <v>15</v>
      </c>
    </row>
    <row r="33" spans="1:17" x14ac:dyDescent="0.2">
      <c r="A33" t="s">
        <v>17</v>
      </c>
      <c r="B33" t="s">
        <v>47</v>
      </c>
      <c r="C33" t="s">
        <v>49</v>
      </c>
      <c r="D33" s="2">
        <v>28</v>
      </c>
      <c r="E33">
        <v>1</v>
      </c>
      <c r="F33">
        <v>1</v>
      </c>
      <c r="G33" t="s">
        <v>25</v>
      </c>
      <c r="H33">
        <v>43.1</v>
      </c>
      <c r="I33">
        <v>0</v>
      </c>
      <c r="J33">
        <v>0</v>
      </c>
      <c r="K33">
        <v>0</v>
      </c>
      <c r="L33" t="s">
        <v>27</v>
      </c>
      <c r="M33">
        <v>1</v>
      </c>
      <c r="N33" t="s">
        <v>28</v>
      </c>
      <c r="O33">
        <v>400</v>
      </c>
      <c r="P33">
        <v>70</v>
      </c>
      <c r="Q33">
        <v>15</v>
      </c>
    </row>
    <row r="34" spans="1:17" x14ac:dyDescent="0.2">
      <c r="A34" t="s">
        <v>17</v>
      </c>
      <c r="B34" t="s">
        <v>47</v>
      </c>
      <c r="C34" t="s">
        <v>49</v>
      </c>
      <c r="D34" s="2">
        <v>42</v>
      </c>
      <c r="E34">
        <v>1</v>
      </c>
      <c r="F34">
        <v>1</v>
      </c>
      <c r="G34" t="s">
        <v>25</v>
      </c>
      <c r="H34">
        <v>59.5</v>
      </c>
      <c r="I34">
        <v>0</v>
      </c>
      <c r="J34">
        <v>0</v>
      </c>
      <c r="K34">
        <v>0</v>
      </c>
      <c r="L34" t="s">
        <v>12</v>
      </c>
      <c r="M34">
        <v>1</v>
      </c>
      <c r="N34" t="s">
        <v>28</v>
      </c>
      <c r="O34">
        <v>400</v>
      </c>
      <c r="P34">
        <v>70</v>
      </c>
      <c r="Q34">
        <v>15</v>
      </c>
    </row>
    <row r="35" spans="1:17" x14ac:dyDescent="0.2">
      <c r="A35" t="s">
        <v>17</v>
      </c>
      <c r="B35" t="s">
        <v>47</v>
      </c>
      <c r="C35" t="s">
        <v>49</v>
      </c>
      <c r="D35" s="2">
        <v>56</v>
      </c>
      <c r="E35">
        <v>1</v>
      </c>
      <c r="F35">
        <v>1</v>
      </c>
      <c r="G35" t="s">
        <v>25</v>
      </c>
      <c r="H35">
        <v>100</v>
      </c>
      <c r="I35">
        <v>0</v>
      </c>
      <c r="J35">
        <v>0</v>
      </c>
      <c r="K35">
        <v>0</v>
      </c>
      <c r="L35" t="s">
        <v>27</v>
      </c>
      <c r="M35">
        <v>1</v>
      </c>
      <c r="N35" t="s">
        <v>28</v>
      </c>
      <c r="O35">
        <v>400</v>
      </c>
      <c r="P35">
        <v>70</v>
      </c>
      <c r="Q35">
        <v>15</v>
      </c>
    </row>
    <row r="36" spans="1:17" x14ac:dyDescent="0.2">
      <c r="A36" t="s">
        <v>17</v>
      </c>
      <c r="B36" t="s">
        <v>47</v>
      </c>
      <c r="C36" t="s">
        <v>49</v>
      </c>
      <c r="D36" s="2">
        <v>70</v>
      </c>
      <c r="E36">
        <v>1</v>
      </c>
      <c r="F36">
        <v>1</v>
      </c>
      <c r="G36" t="s">
        <v>25</v>
      </c>
      <c r="H36">
        <v>216.3</v>
      </c>
      <c r="I36">
        <v>0</v>
      </c>
      <c r="J36">
        <v>0</v>
      </c>
      <c r="K36">
        <v>0</v>
      </c>
      <c r="L36" t="s">
        <v>12</v>
      </c>
      <c r="M36">
        <v>1</v>
      </c>
      <c r="N36" t="s">
        <v>28</v>
      </c>
      <c r="O36">
        <v>400</v>
      </c>
      <c r="P36">
        <v>70</v>
      </c>
      <c r="Q36">
        <v>15</v>
      </c>
    </row>
    <row r="37" spans="1:17" x14ac:dyDescent="0.2">
      <c r="A37" t="s">
        <v>17</v>
      </c>
      <c r="B37" t="s">
        <v>47</v>
      </c>
      <c r="C37" t="s">
        <v>49</v>
      </c>
      <c r="D37" s="2">
        <v>84</v>
      </c>
      <c r="E37">
        <v>1</v>
      </c>
      <c r="F37">
        <v>1</v>
      </c>
      <c r="G37" t="s">
        <v>25</v>
      </c>
      <c r="H37">
        <v>282.8</v>
      </c>
      <c r="I37">
        <v>0</v>
      </c>
      <c r="J37">
        <v>0</v>
      </c>
      <c r="K37">
        <v>0</v>
      </c>
      <c r="L37" t="s">
        <v>27</v>
      </c>
      <c r="M37">
        <v>1</v>
      </c>
      <c r="N37" t="s">
        <v>28</v>
      </c>
      <c r="O37">
        <v>400</v>
      </c>
      <c r="P37">
        <v>70</v>
      </c>
      <c r="Q37">
        <v>15</v>
      </c>
    </row>
    <row r="38" spans="1:17" x14ac:dyDescent="0.2">
      <c r="A38" t="s">
        <v>17</v>
      </c>
      <c r="B38" t="s">
        <v>47</v>
      </c>
      <c r="C38" t="s">
        <v>49</v>
      </c>
      <c r="D38" s="2">
        <v>98</v>
      </c>
      <c r="E38">
        <v>1</v>
      </c>
      <c r="F38">
        <v>1</v>
      </c>
      <c r="G38" t="s">
        <v>25</v>
      </c>
      <c r="H38">
        <v>380</v>
      </c>
      <c r="I38">
        <v>0</v>
      </c>
      <c r="J38">
        <v>0</v>
      </c>
      <c r="K38">
        <v>0</v>
      </c>
      <c r="L38" t="s">
        <v>12</v>
      </c>
      <c r="M38">
        <v>1</v>
      </c>
      <c r="N38" t="s">
        <v>28</v>
      </c>
      <c r="O38">
        <v>400</v>
      </c>
      <c r="P38">
        <v>70</v>
      </c>
      <c r="Q38">
        <v>15</v>
      </c>
    </row>
    <row r="39" spans="1:17" x14ac:dyDescent="0.2">
      <c r="A39" t="s">
        <v>17</v>
      </c>
      <c r="B39" t="s">
        <v>47</v>
      </c>
      <c r="C39" t="s">
        <v>49</v>
      </c>
      <c r="D39" s="2">
        <v>112</v>
      </c>
      <c r="E39">
        <v>1</v>
      </c>
      <c r="F39">
        <v>1</v>
      </c>
      <c r="G39" t="s">
        <v>25</v>
      </c>
      <c r="H39">
        <v>568</v>
      </c>
      <c r="I39">
        <v>0</v>
      </c>
      <c r="J39">
        <v>0</v>
      </c>
      <c r="K39">
        <v>0</v>
      </c>
      <c r="L39" t="s">
        <v>27</v>
      </c>
      <c r="M39">
        <v>1</v>
      </c>
      <c r="N39" t="s">
        <v>28</v>
      </c>
      <c r="O39">
        <v>400</v>
      </c>
      <c r="P39">
        <v>70</v>
      </c>
      <c r="Q39">
        <v>15</v>
      </c>
    </row>
    <row r="40" spans="1:17" x14ac:dyDescent="0.2">
      <c r="A40" t="s">
        <v>17</v>
      </c>
      <c r="B40" t="s">
        <v>47</v>
      </c>
      <c r="C40" t="s">
        <v>49</v>
      </c>
      <c r="D40" s="2">
        <v>126</v>
      </c>
      <c r="E40">
        <v>1</v>
      </c>
      <c r="F40">
        <v>1</v>
      </c>
      <c r="G40" t="s">
        <v>26</v>
      </c>
      <c r="H40">
        <v>609.29999999999995</v>
      </c>
      <c r="I40">
        <v>0</v>
      </c>
      <c r="J40">
        <v>0</v>
      </c>
      <c r="K40">
        <v>0</v>
      </c>
      <c r="L40" t="s">
        <v>12</v>
      </c>
      <c r="M40">
        <v>1</v>
      </c>
      <c r="N40" t="s">
        <v>28</v>
      </c>
      <c r="O40">
        <v>400</v>
      </c>
      <c r="P40">
        <v>70</v>
      </c>
      <c r="Q40">
        <v>15</v>
      </c>
    </row>
    <row r="41" spans="1:17" x14ac:dyDescent="0.2">
      <c r="A41" t="s">
        <v>17</v>
      </c>
      <c r="B41" t="s">
        <v>47</v>
      </c>
      <c r="C41" t="s">
        <v>49</v>
      </c>
      <c r="D41" s="2">
        <v>140</v>
      </c>
      <c r="E41">
        <v>1</v>
      </c>
      <c r="F41">
        <v>1</v>
      </c>
      <c r="G41" t="s">
        <v>26</v>
      </c>
      <c r="H41">
        <v>620.79999999999995</v>
      </c>
      <c r="I41">
        <v>0</v>
      </c>
      <c r="J41">
        <v>0</v>
      </c>
      <c r="K41">
        <v>0</v>
      </c>
      <c r="L41" t="s">
        <v>27</v>
      </c>
      <c r="M41">
        <v>1</v>
      </c>
      <c r="N41" t="s">
        <v>28</v>
      </c>
      <c r="O41">
        <v>400</v>
      </c>
      <c r="P41">
        <v>70</v>
      </c>
      <c r="Q41">
        <v>15</v>
      </c>
    </row>
    <row r="42" spans="1:17" x14ac:dyDescent="0.2">
      <c r="A42" t="s">
        <v>17</v>
      </c>
      <c r="B42" t="s">
        <v>47</v>
      </c>
      <c r="C42" t="s">
        <v>49</v>
      </c>
      <c r="D42" s="2">
        <v>154</v>
      </c>
      <c r="E42">
        <v>1</v>
      </c>
      <c r="F42">
        <v>1</v>
      </c>
      <c r="G42" t="s">
        <v>26</v>
      </c>
      <c r="H42">
        <v>530.5</v>
      </c>
      <c r="I42">
        <v>0</v>
      </c>
      <c r="J42">
        <v>0</v>
      </c>
      <c r="K42">
        <v>0</v>
      </c>
      <c r="L42" t="s">
        <v>12</v>
      </c>
      <c r="M42">
        <v>1</v>
      </c>
      <c r="N42" t="s">
        <v>28</v>
      </c>
      <c r="O42">
        <v>400</v>
      </c>
      <c r="P42">
        <v>70</v>
      </c>
      <c r="Q42">
        <v>15</v>
      </c>
    </row>
    <row r="43" spans="1:17" x14ac:dyDescent="0.2">
      <c r="A43" t="s">
        <v>17</v>
      </c>
      <c r="B43" t="s">
        <v>47</v>
      </c>
      <c r="C43" t="s">
        <v>49</v>
      </c>
      <c r="D43" s="2">
        <v>168</v>
      </c>
      <c r="E43">
        <v>1</v>
      </c>
      <c r="F43">
        <v>1</v>
      </c>
      <c r="G43" t="s">
        <v>26</v>
      </c>
      <c r="H43">
        <v>750</v>
      </c>
      <c r="I43">
        <v>0</v>
      </c>
      <c r="J43">
        <v>0</v>
      </c>
      <c r="K43">
        <v>0</v>
      </c>
      <c r="L43" t="s">
        <v>27</v>
      </c>
      <c r="M43">
        <v>1</v>
      </c>
      <c r="N43" t="s">
        <v>28</v>
      </c>
      <c r="O43">
        <v>400</v>
      </c>
      <c r="P43">
        <v>70</v>
      </c>
      <c r="Q43">
        <v>15</v>
      </c>
    </row>
    <row r="44" spans="1:17" x14ac:dyDescent="0.2">
      <c r="A44" t="s">
        <v>17</v>
      </c>
      <c r="B44" t="s">
        <v>47</v>
      </c>
      <c r="C44" t="s">
        <v>49</v>
      </c>
      <c r="D44" s="2">
        <v>182</v>
      </c>
      <c r="E44">
        <v>1</v>
      </c>
      <c r="F44">
        <v>1</v>
      </c>
      <c r="G44" t="s">
        <v>26</v>
      </c>
      <c r="H44">
        <v>840</v>
      </c>
      <c r="I44">
        <v>0</v>
      </c>
      <c r="J44">
        <v>0</v>
      </c>
      <c r="K44">
        <v>0</v>
      </c>
      <c r="L44" t="s">
        <v>12</v>
      </c>
      <c r="M44">
        <v>1</v>
      </c>
      <c r="N44" t="s">
        <v>28</v>
      </c>
      <c r="O44">
        <v>400</v>
      </c>
      <c r="P44">
        <v>70</v>
      </c>
      <c r="Q44">
        <v>15</v>
      </c>
    </row>
    <row r="45" spans="1:17" x14ac:dyDescent="0.2">
      <c r="A45" t="s">
        <v>17</v>
      </c>
      <c r="B45" t="s">
        <v>47</v>
      </c>
      <c r="C45" t="s">
        <v>49</v>
      </c>
      <c r="D45" s="2">
        <v>196</v>
      </c>
      <c r="E45">
        <v>1</v>
      </c>
      <c r="F45">
        <v>1</v>
      </c>
      <c r="G45" t="s">
        <v>26</v>
      </c>
      <c r="H45">
        <v>941</v>
      </c>
      <c r="I45">
        <v>0</v>
      </c>
      <c r="J45">
        <v>0</v>
      </c>
      <c r="K45">
        <v>0</v>
      </c>
      <c r="L45" t="s">
        <v>27</v>
      </c>
      <c r="M45">
        <v>1</v>
      </c>
      <c r="N45" t="s">
        <v>28</v>
      </c>
      <c r="O45">
        <v>400</v>
      </c>
      <c r="P45">
        <v>70</v>
      </c>
      <c r="Q45">
        <v>15</v>
      </c>
    </row>
    <row r="46" spans="1:17" x14ac:dyDescent="0.2">
      <c r="A46" t="s">
        <v>17</v>
      </c>
      <c r="B46" t="s">
        <v>47</v>
      </c>
      <c r="C46" t="s">
        <v>49</v>
      </c>
      <c r="D46" s="2">
        <v>210</v>
      </c>
      <c r="E46">
        <v>1</v>
      </c>
      <c r="F46">
        <v>1</v>
      </c>
      <c r="G46" t="s">
        <v>26</v>
      </c>
      <c r="H46">
        <v>997.6</v>
      </c>
      <c r="I46">
        <v>0</v>
      </c>
      <c r="J46">
        <v>0</v>
      </c>
      <c r="K46">
        <v>0</v>
      </c>
      <c r="L46" t="s">
        <v>12</v>
      </c>
      <c r="M46">
        <v>1</v>
      </c>
      <c r="N46" t="s">
        <v>28</v>
      </c>
      <c r="O46">
        <v>400</v>
      </c>
      <c r="P46">
        <v>70</v>
      </c>
      <c r="Q46">
        <v>15</v>
      </c>
    </row>
    <row r="47" spans="1:17" x14ac:dyDescent="0.2">
      <c r="A47" t="s">
        <v>17</v>
      </c>
      <c r="B47" t="s">
        <v>47</v>
      </c>
      <c r="C47" t="s">
        <v>49</v>
      </c>
      <c r="D47" s="2">
        <v>224</v>
      </c>
      <c r="E47">
        <v>1</v>
      </c>
      <c r="F47">
        <v>1</v>
      </c>
      <c r="G47" t="s">
        <v>26</v>
      </c>
      <c r="H47">
        <v>1128.2</v>
      </c>
      <c r="I47">
        <v>0</v>
      </c>
      <c r="J47">
        <v>0</v>
      </c>
      <c r="K47">
        <v>0</v>
      </c>
      <c r="L47" t="s">
        <v>27</v>
      </c>
      <c r="M47">
        <v>1</v>
      </c>
      <c r="N47" t="s">
        <v>28</v>
      </c>
      <c r="O47">
        <v>400</v>
      </c>
      <c r="P47">
        <v>70</v>
      </c>
      <c r="Q47">
        <v>15</v>
      </c>
    </row>
    <row r="48" spans="1:17" x14ac:dyDescent="0.2">
      <c r="A48" t="s">
        <v>17</v>
      </c>
      <c r="B48" t="s">
        <v>47</v>
      </c>
      <c r="C48" t="s">
        <v>49</v>
      </c>
      <c r="D48" s="2">
        <v>238</v>
      </c>
      <c r="E48">
        <v>1</v>
      </c>
      <c r="F48">
        <v>1</v>
      </c>
      <c r="G48" t="s">
        <v>26</v>
      </c>
      <c r="H48">
        <v>1200</v>
      </c>
      <c r="I48">
        <v>0</v>
      </c>
      <c r="J48">
        <v>0</v>
      </c>
      <c r="K48">
        <v>0</v>
      </c>
      <c r="L48" t="s">
        <v>12</v>
      </c>
      <c r="M48">
        <v>1</v>
      </c>
      <c r="N48" t="s">
        <v>28</v>
      </c>
      <c r="O48">
        <v>400</v>
      </c>
      <c r="P48">
        <v>70</v>
      </c>
      <c r="Q48">
        <v>15</v>
      </c>
    </row>
    <row r="49" spans="1:17" x14ac:dyDescent="0.2">
      <c r="A49" t="s">
        <v>17</v>
      </c>
      <c r="B49" t="s">
        <v>47</v>
      </c>
      <c r="C49" t="s">
        <v>49</v>
      </c>
      <c r="D49" s="2">
        <v>252</v>
      </c>
      <c r="E49">
        <v>1</v>
      </c>
      <c r="F49">
        <v>1</v>
      </c>
      <c r="G49" t="s">
        <v>26</v>
      </c>
      <c r="H49">
        <v>1250</v>
      </c>
      <c r="I49">
        <v>0</v>
      </c>
      <c r="J49">
        <v>0</v>
      </c>
      <c r="K49">
        <v>0</v>
      </c>
      <c r="L49" t="s">
        <v>27</v>
      </c>
      <c r="M49">
        <v>1</v>
      </c>
      <c r="N49" t="s">
        <v>28</v>
      </c>
      <c r="O49">
        <v>400</v>
      </c>
      <c r="P49">
        <v>70</v>
      </c>
      <c r="Q49">
        <v>15</v>
      </c>
    </row>
    <row r="50" spans="1:17" x14ac:dyDescent="0.2">
      <c r="A50" t="s">
        <v>17</v>
      </c>
      <c r="B50" t="s">
        <v>47</v>
      </c>
      <c r="C50" t="s">
        <v>49</v>
      </c>
      <c r="D50" s="2">
        <v>266</v>
      </c>
      <c r="E50">
        <v>1</v>
      </c>
      <c r="F50">
        <v>1</v>
      </c>
      <c r="G50" t="s">
        <v>26</v>
      </c>
      <c r="H50">
        <v>1383</v>
      </c>
      <c r="I50">
        <v>0</v>
      </c>
      <c r="J50">
        <v>0</v>
      </c>
      <c r="K50">
        <v>0</v>
      </c>
      <c r="L50" t="s">
        <v>12</v>
      </c>
      <c r="M50">
        <v>1</v>
      </c>
      <c r="N50" t="s">
        <v>28</v>
      </c>
      <c r="O50">
        <v>400</v>
      </c>
      <c r="P50">
        <v>70</v>
      </c>
      <c r="Q50">
        <v>15</v>
      </c>
    </row>
    <row r="51" spans="1:17" x14ac:dyDescent="0.2">
      <c r="A51" t="s">
        <v>17</v>
      </c>
      <c r="B51" t="s">
        <v>47</v>
      </c>
      <c r="C51" t="s">
        <v>49</v>
      </c>
      <c r="D51" s="2">
        <v>280</v>
      </c>
      <c r="E51">
        <v>1</v>
      </c>
      <c r="F51">
        <v>1</v>
      </c>
      <c r="G51" t="s">
        <v>26</v>
      </c>
      <c r="H51">
        <v>1488</v>
      </c>
      <c r="I51">
        <v>0</v>
      </c>
      <c r="J51">
        <v>0</v>
      </c>
      <c r="K51">
        <v>0</v>
      </c>
      <c r="L51" t="s">
        <v>27</v>
      </c>
      <c r="M51">
        <v>1</v>
      </c>
      <c r="N51" t="s">
        <v>28</v>
      </c>
      <c r="O51">
        <v>400</v>
      </c>
      <c r="P51">
        <v>70</v>
      </c>
      <c r="Q51">
        <v>15</v>
      </c>
    </row>
    <row r="52" spans="1:17" x14ac:dyDescent="0.2">
      <c r="A52" t="s">
        <v>17</v>
      </c>
      <c r="B52" t="s">
        <v>47</v>
      </c>
      <c r="C52" t="s">
        <v>49</v>
      </c>
      <c r="D52" s="2">
        <v>294</v>
      </c>
      <c r="E52">
        <v>1</v>
      </c>
      <c r="F52">
        <v>1</v>
      </c>
      <c r="G52" t="s">
        <v>26</v>
      </c>
      <c r="H52">
        <v>1444</v>
      </c>
      <c r="I52">
        <v>0</v>
      </c>
      <c r="J52">
        <v>0</v>
      </c>
      <c r="K52">
        <v>0</v>
      </c>
      <c r="L52" t="s">
        <v>12</v>
      </c>
      <c r="M52">
        <v>1</v>
      </c>
      <c r="N52" t="s">
        <v>28</v>
      </c>
      <c r="O52">
        <v>400</v>
      </c>
      <c r="P52">
        <v>70</v>
      </c>
      <c r="Q52">
        <v>15</v>
      </c>
    </row>
    <row r="53" spans="1:17" x14ac:dyDescent="0.2">
      <c r="A53" t="s">
        <v>17</v>
      </c>
      <c r="B53" t="s">
        <v>47</v>
      </c>
      <c r="C53" t="s">
        <v>49</v>
      </c>
      <c r="D53" s="2">
        <v>308</v>
      </c>
      <c r="E53">
        <v>1</v>
      </c>
      <c r="F53">
        <v>1</v>
      </c>
      <c r="G53" t="s">
        <v>26</v>
      </c>
      <c r="H53">
        <v>1439.3</v>
      </c>
      <c r="I53">
        <v>0</v>
      </c>
      <c r="J53">
        <v>0</v>
      </c>
      <c r="K53">
        <v>0</v>
      </c>
      <c r="L53" t="s">
        <v>27</v>
      </c>
      <c r="M53">
        <v>1</v>
      </c>
      <c r="N53" t="s">
        <v>28</v>
      </c>
      <c r="O53">
        <v>400</v>
      </c>
      <c r="P53">
        <v>70</v>
      </c>
      <c r="Q53">
        <v>15</v>
      </c>
    </row>
    <row r="54" spans="1:17" x14ac:dyDescent="0.2">
      <c r="A54" t="s">
        <v>17</v>
      </c>
      <c r="B54" t="s">
        <v>47</v>
      </c>
      <c r="C54" t="s">
        <v>49</v>
      </c>
      <c r="D54" s="2">
        <v>322</v>
      </c>
      <c r="E54">
        <v>1</v>
      </c>
      <c r="F54">
        <v>1</v>
      </c>
      <c r="G54" t="s">
        <v>26</v>
      </c>
      <c r="H54">
        <v>1258</v>
      </c>
      <c r="I54">
        <v>0</v>
      </c>
      <c r="J54">
        <v>0</v>
      </c>
      <c r="K54">
        <v>0</v>
      </c>
      <c r="L54" t="s">
        <v>12</v>
      </c>
      <c r="M54">
        <v>1</v>
      </c>
      <c r="N54" t="s">
        <v>28</v>
      </c>
      <c r="O54">
        <v>400</v>
      </c>
      <c r="P54">
        <v>70</v>
      </c>
      <c r="Q54">
        <v>15</v>
      </c>
    </row>
    <row r="55" spans="1:17" x14ac:dyDescent="0.2">
      <c r="A55" t="s">
        <v>17</v>
      </c>
      <c r="B55" t="s">
        <v>47</v>
      </c>
      <c r="C55" t="s">
        <v>49</v>
      </c>
      <c r="D55" s="2">
        <v>336</v>
      </c>
      <c r="E55">
        <v>1</v>
      </c>
      <c r="F55">
        <v>1</v>
      </c>
      <c r="G55" t="s">
        <v>26</v>
      </c>
      <c r="H55">
        <v>1560</v>
      </c>
      <c r="I55">
        <v>0</v>
      </c>
      <c r="J55">
        <v>0</v>
      </c>
      <c r="K55">
        <v>0</v>
      </c>
      <c r="L55" t="s">
        <v>27</v>
      </c>
      <c r="M55">
        <v>1</v>
      </c>
      <c r="N55" t="s">
        <v>28</v>
      </c>
      <c r="O55">
        <v>400</v>
      </c>
      <c r="P55">
        <v>70</v>
      </c>
      <c r="Q55">
        <v>15</v>
      </c>
    </row>
    <row r="56" spans="1:17" x14ac:dyDescent="0.2">
      <c r="A56" t="s">
        <v>17</v>
      </c>
      <c r="B56" t="s">
        <v>47</v>
      </c>
      <c r="C56" t="s">
        <v>49</v>
      </c>
      <c r="D56" s="2">
        <v>350</v>
      </c>
      <c r="E56">
        <v>1</v>
      </c>
      <c r="F56">
        <v>1</v>
      </c>
      <c r="G56" t="s">
        <v>26</v>
      </c>
      <c r="H56">
        <v>1490</v>
      </c>
      <c r="I56">
        <v>0</v>
      </c>
      <c r="J56">
        <v>0</v>
      </c>
      <c r="K56">
        <v>0</v>
      </c>
      <c r="L56" t="s">
        <v>12</v>
      </c>
      <c r="M56">
        <v>1</v>
      </c>
      <c r="N56" t="s">
        <v>28</v>
      </c>
      <c r="O56">
        <v>400</v>
      </c>
      <c r="P56">
        <v>70</v>
      </c>
      <c r="Q56">
        <v>15</v>
      </c>
    </row>
    <row r="57" spans="1:17" x14ac:dyDescent="0.2">
      <c r="A57" t="s">
        <v>17</v>
      </c>
      <c r="B57" t="s">
        <v>47</v>
      </c>
      <c r="C57" t="s">
        <v>49</v>
      </c>
      <c r="D57" s="2">
        <v>364</v>
      </c>
      <c r="E57">
        <v>1</v>
      </c>
      <c r="F57">
        <v>1</v>
      </c>
      <c r="G57" t="s">
        <v>26</v>
      </c>
      <c r="H57">
        <v>1272</v>
      </c>
      <c r="I57">
        <v>0</v>
      </c>
      <c r="J57">
        <v>0</v>
      </c>
      <c r="K57">
        <v>0</v>
      </c>
      <c r="L57" t="s">
        <v>27</v>
      </c>
      <c r="M57">
        <v>1</v>
      </c>
      <c r="N57" t="s">
        <v>28</v>
      </c>
      <c r="O57">
        <v>400</v>
      </c>
      <c r="P57">
        <v>70</v>
      </c>
      <c r="Q57">
        <v>15</v>
      </c>
    </row>
    <row r="58" spans="1:17" x14ac:dyDescent="0.2">
      <c r="A58" t="s">
        <v>17</v>
      </c>
      <c r="B58" t="s">
        <v>47</v>
      </c>
      <c r="C58" t="s">
        <v>49</v>
      </c>
      <c r="D58" s="2">
        <v>378</v>
      </c>
      <c r="E58">
        <v>1</v>
      </c>
      <c r="F58">
        <v>1</v>
      </c>
      <c r="G58" t="s">
        <v>26</v>
      </c>
      <c r="H58">
        <v>1702</v>
      </c>
      <c r="I58">
        <v>0</v>
      </c>
      <c r="J58">
        <v>0</v>
      </c>
      <c r="K58">
        <v>0</v>
      </c>
      <c r="L58" t="s">
        <v>12</v>
      </c>
      <c r="M58">
        <v>1</v>
      </c>
      <c r="N58" t="s">
        <v>28</v>
      </c>
      <c r="O58">
        <v>400</v>
      </c>
      <c r="P58">
        <v>70</v>
      </c>
      <c r="Q58">
        <v>15</v>
      </c>
    </row>
    <row r="59" spans="1:17" s="4" customFormat="1" x14ac:dyDescent="0.2">
      <c r="A59" s="4" t="s">
        <v>17</v>
      </c>
      <c r="B59" s="4" t="s">
        <v>47</v>
      </c>
      <c r="C59" s="4" t="s">
        <v>49</v>
      </c>
      <c r="D59" s="5">
        <v>392</v>
      </c>
      <c r="E59" s="4">
        <v>1</v>
      </c>
      <c r="G59" s="4" t="s">
        <v>26</v>
      </c>
      <c r="H59" s="4">
        <v>1318</v>
      </c>
      <c r="I59" s="4">
        <v>0</v>
      </c>
      <c r="J59" s="4">
        <v>0</v>
      </c>
      <c r="K59" s="4">
        <v>0</v>
      </c>
      <c r="L59" s="4" t="s">
        <v>27</v>
      </c>
      <c r="M59" s="4">
        <v>1</v>
      </c>
      <c r="N59" s="4" t="s">
        <v>28</v>
      </c>
      <c r="O59" s="4">
        <v>400</v>
      </c>
      <c r="P59" s="4">
        <v>70</v>
      </c>
      <c r="Q59" s="4">
        <v>15</v>
      </c>
    </row>
    <row r="60" spans="1:17" x14ac:dyDescent="0.2">
      <c r="A60" t="s">
        <v>17</v>
      </c>
      <c r="B60" t="s">
        <v>56</v>
      </c>
      <c r="C60" t="s">
        <v>50</v>
      </c>
      <c r="D60" s="2">
        <v>0</v>
      </c>
      <c r="E60">
        <v>1</v>
      </c>
      <c r="F60">
        <v>1</v>
      </c>
      <c r="G60" t="s">
        <v>25</v>
      </c>
      <c r="H60">
        <v>7.5</v>
      </c>
      <c r="I60">
        <v>0</v>
      </c>
      <c r="J60">
        <v>0</v>
      </c>
      <c r="K60">
        <v>0</v>
      </c>
      <c r="L60" t="s">
        <v>27</v>
      </c>
      <c r="M60">
        <v>1</v>
      </c>
      <c r="N60" t="s">
        <v>28</v>
      </c>
      <c r="O60">
        <v>400</v>
      </c>
      <c r="P60">
        <v>70</v>
      </c>
      <c r="Q60">
        <v>15</v>
      </c>
    </row>
    <row r="61" spans="1:17" x14ac:dyDescent="0.2">
      <c r="A61" t="s">
        <v>17</v>
      </c>
      <c r="B61" t="s">
        <v>56</v>
      </c>
      <c r="C61" t="s">
        <v>50</v>
      </c>
      <c r="D61" s="2">
        <v>14</v>
      </c>
      <c r="E61">
        <v>1</v>
      </c>
      <c r="F61">
        <v>1</v>
      </c>
      <c r="G61" t="s">
        <v>25</v>
      </c>
      <c r="H61">
        <v>10.3</v>
      </c>
      <c r="I61">
        <v>0</v>
      </c>
      <c r="J61">
        <v>0</v>
      </c>
      <c r="K61">
        <v>0</v>
      </c>
      <c r="L61" t="s">
        <v>12</v>
      </c>
      <c r="M61">
        <v>1</v>
      </c>
      <c r="N61" t="s">
        <v>28</v>
      </c>
      <c r="O61">
        <v>400</v>
      </c>
      <c r="P61">
        <v>70</v>
      </c>
      <c r="Q61">
        <v>15</v>
      </c>
    </row>
    <row r="62" spans="1:17" x14ac:dyDescent="0.2">
      <c r="A62" t="s">
        <v>17</v>
      </c>
      <c r="B62" t="s">
        <v>56</v>
      </c>
      <c r="C62" t="s">
        <v>50</v>
      </c>
      <c r="D62" s="2">
        <v>28</v>
      </c>
      <c r="E62">
        <v>1</v>
      </c>
      <c r="F62">
        <v>1</v>
      </c>
      <c r="G62" t="s">
        <v>25</v>
      </c>
      <c r="H62">
        <v>26.3</v>
      </c>
      <c r="I62">
        <v>0</v>
      </c>
      <c r="J62">
        <v>0</v>
      </c>
      <c r="K62">
        <v>0</v>
      </c>
      <c r="L62" t="s">
        <v>27</v>
      </c>
      <c r="M62">
        <v>1</v>
      </c>
      <c r="N62" t="s">
        <v>28</v>
      </c>
      <c r="O62">
        <v>400</v>
      </c>
      <c r="P62">
        <v>70</v>
      </c>
      <c r="Q62">
        <v>15</v>
      </c>
    </row>
    <row r="63" spans="1:17" x14ac:dyDescent="0.2">
      <c r="A63" t="s">
        <v>17</v>
      </c>
      <c r="B63" t="s">
        <v>56</v>
      </c>
      <c r="C63" t="s">
        <v>50</v>
      </c>
      <c r="D63" s="2">
        <v>42</v>
      </c>
      <c r="E63">
        <v>1</v>
      </c>
      <c r="F63">
        <v>1</v>
      </c>
      <c r="G63" t="s">
        <v>25</v>
      </c>
      <c r="H63">
        <v>31.5</v>
      </c>
      <c r="I63">
        <v>0</v>
      </c>
      <c r="J63">
        <v>0</v>
      </c>
      <c r="K63">
        <v>0</v>
      </c>
      <c r="L63" t="s">
        <v>12</v>
      </c>
      <c r="M63">
        <v>1</v>
      </c>
      <c r="N63" t="s">
        <v>28</v>
      </c>
      <c r="O63">
        <v>400</v>
      </c>
      <c r="P63">
        <v>70</v>
      </c>
      <c r="Q63">
        <v>15</v>
      </c>
    </row>
    <row r="64" spans="1:17" x14ac:dyDescent="0.2">
      <c r="A64" t="s">
        <v>17</v>
      </c>
      <c r="B64" t="s">
        <v>56</v>
      </c>
      <c r="C64" t="s">
        <v>50</v>
      </c>
      <c r="D64" s="2">
        <v>56</v>
      </c>
      <c r="E64">
        <v>1</v>
      </c>
      <c r="F64">
        <v>1</v>
      </c>
      <c r="G64" t="s">
        <v>25</v>
      </c>
      <c r="H64">
        <v>74.099999999999994</v>
      </c>
      <c r="I64">
        <v>0</v>
      </c>
      <c r="J64">
        <v>0</v>
      </c>
      <c r="K64">
        <v>0</v>
      </c>
      <c r="L64" t="s">
        <v>27</v>
      </c>
      <c r="M64">
        <v>1</v>
      </c>
      <c r="N64" t="s">
        <v>28</v>
      </c>
      <c r="O64">
        <v>400</v>
      </c>
      <c r="P64">
        <v>70</v>
      </c>
      <c r="Q64">
        <v>15</v>
      </c>
    </row>
    <row r="65" spans="1:17" x14ac:dyDescent="0.2">
      <c r="A65" t="s">
        <v>17</v>
      </c>
      <c r="B65" t="s">
        <v>56</v>
      </c>
      <c r="C65" t="s">
        <v>50</v>
      </c>
      <c r="D65" s="2">
        <v>70</v>
      </c>
      <c r="E65">
        <v>1</v>
      </c>
      <c r="F65">
        <v>1</v>
      </c>
      <c r="G65" t="s">
        <v>25</v>
      </c>
      <c r="H65">
        <v>162.30000000000001</v>
      </c>
      <c r="I65">
        <v>0</v>
      </c>
      <c r="J65">
        <v>0</v>
      </c>
      <c r="K65">
        <v>0</v>
      </c>
      <c r="L65" t="s">
        <v>12</v>
      </c>
      <c r="M65">
        <v>1</v>
      </c>
      <c r="N65" t="s">
        <v>28</v>
      </c>
      <c r="O65">
        <v>400</v>
      </c>
      <c r="P65">
        <v>70</v>
      </c>
      <c r="Q65">
        <v>15</v>
      </c>
    </row>
    <row r="66" spans="1:17" x14ac:dyDescent="0.2">
      <c r="A66" t="s">
        <v>17</v>
      </c>
      <c r="B66" t="s">
        <v>56</v>
      </c>
      <c r="C66" t="s">
        <v>50</v>
      </c>
      <c r="D66" s="2">
        <v>84</v>
      </c>
      <c r="E66">
        <v>1</v>
      </c>
      <c r="F66">
        <v>1</v>
      </c>
      <c r="G66" t="s">
        <v>25</v>
      </c>
      <c r="H66">
        <v>224.2</v>
      </c>
      <c r="I66">
        <v>0</v>
      </c>
      <c r="J66">
        <v>0</v>
      </c>
      <c r="K66">
        <v>0</v>
      </c>
      <c r="L66" t="s">
        <v>27</v>
      </c>
      <c r="M66">
        <v>1</v>
      </c>
      <c r="N66" t="s">
        <v>28</v>
      </c>
      <c r="O66">
        <v>400</v>
      </c>
      <c r="P66">
        <v>70</v>
      </c>
      <c r="Q66">
        <v>15</v>
      </c>
    </row>
    <row r="67" spans="1:17" x14ac:dyDescent="0.2">
      <c r="A67" t="s">
        <v>17</v>
      </c>
      <c r="B67" t="s">
        <v>56</v>
      </c>
      <c r="C67" t="s">
        <v>50</v>
      </c>
      <c r="D67" s="2">
        <v>98</v>
      </c>
      <c r="E67">
        <v>1</v>
      </c>
      <c r="F67">
        <v>1</v>
      </c>
      <c r="G67" t="s">
        <v>25</v>
      </c>
      <c r="H67">
        <v>411.6</v>
      </c>
      <c r="I67">
        <v>0</v>
      </c>
      <c r="J67">
        <v>0</v>
      </c>
      <c r="K67">
        <v>0</v>
      </c>
      <c r="L67" t="s">
        <v>12</v>
      </c>
      <c r="M67">
        <v>1</v>
      </c>
      <c r="N67" t="s">
        <v>28</v>
      </c>
      <c r="O67">
        <v>400</v>
      </c>
      <c r="P67">
        <v>70</v>
      </c>
      <c r="Q67">
        <v>15</v>
      </c>
    </row>
    <row r="68" spans="1:17" x14ac:dyDescent="0.2">
      <c r="A68" t="s">
        <v>17</v>
      </c>
      <c r="B68" t="s">
        <v>56</v>
      </c>
      <c r="C68" t="s">
        <v>50</v>
      </c>
      <c r="D68" s="2">
        <v>112</v>
      </c>
      <c r="E68">
        <v>1</v>
      </c>
      <c r="F68">
        <v>1</v>
      </c>
      <c r="G68" t="s">
        <v>25</v>
      </c>
      <c r="H68">
        <v>619</v>
      </c>
      <c r="I68">
        <v>0</v>
      </c>
      <c r="J68">
        <v>0</v>
      </c>
      <c r="K68">
        <v>0</v>
      </c>
      <c r="L68" t="s">
        <v>27</v>
      </c>
      <c r="M68">
        <v>1</v>
      </c>
      <c r="N68" t="s">
        <v>28</v>
      </c>
      <c r="O68">
        <v>400</v>
      </c>
      <c r="P68">
        <v>70</v>
      </c>
      <c r="Q68">
        <v>15</v>
      </c>
    </row>
    <row r="69" spans="1:17" s="4" customFormat="1" x14ac:dyDescent="0.2">
      <c r="A69" s="4" t="s">
        <v>17</v>
      </c>
      <c r="B69" s="4" t="s">
        <v>56</v>
      </c>
      <c r="C69" s="4" t="s">
        <v>50</v>
      </c>
      <c r="D69" s="5">
        <v>126</v>
      </c>
      <c r="E69" s="4">
        <v>1</v>
      </c>
      <c r="F69" s="4">
        <v>2</v>
      </c>
      <c r="G69" s="4" t="s">
        <v>26</v>
      </c>
      <c r="H69" s="4">
        <v>604.5</v>
      </c>
      <c r="I69" s="4">
        <v>0</v>
      </c>
      <c r="J69" s="4">
        <v>0</v>
      </c>
      <c r="K69" s="4">
        <v>0</v>
      </c>
      <c r="L69" s="4" t="s">
        <v>12</v>
      </c>
      <c r="M69" s="4">
        <v>1</v>
      </c>
      <c r="N69" s="4" t="s">
        <v>28</v>
      </c>
      <c r="O69" s="4">
        <v>400</v>
      </c>
      <c r="P69" s="4">
        <v>70</v>
      </c>
      <c r="Q69" s="4">
        <v>15</v>
      </c>
    </row>
    <row r="70" spans="1:17" x14ac:dyDescent="0.2">
      <c r="A70" t="s">
        <v>17</v>
      </c>
      <c r="B70" t="s">
        <v>56</v>
      </c>
      <c r="C70" t="s">
        <v>51</v>
      </c>
      <c r="D70" s="2">
        <v>0</v>
      </c>
      <c r="E70">
        <v>1</v>
      </c>
      <c r="F70">
        <v>1</v>
      </c>
      <c r="G70" t="s">
        <v>25</v>
      </c>
      <c r="H70">
        <v>13.2</v>
      </c>
      <c r="I70">
        <v>0</v>
      </c>
      <c r="J70">
        <v>0</v>
      </c>
      <c r="K70">
        <v>0</v>
      </c>
      <c r="L70" t="s">
        <v>27</v>
      </c>
      <c r="M70">
        <v>1</v>
      </c>
      <c r="N70" t="s">
        <v>28</v>
      </c>
      <c r="O70">
        <v>400</v>
      </c>
      <c r="P70">
        <v>70</v>
      </c>
      <c r="Q70">
        <v>15</v>
      </c>
    </row>
    <row r="71" spans="1:17" x14ac:dyDescent="0.2">
      <c r="A71" t="s">
        <v>17</v>
      </c>
      <c r="B71" t="s">
        <v>56</v>
      </c>
      <c r="C71" t="s">
        <v>51</v>
      </c>
      <c r="D71" s="2">
        <v>14</v>
      </c>
      <c r="E71">
        <v>1</v>
      </c>
      <c r="F71">
        <v>1</v>
      </c>
      <c r="G71" t="s">
        <v>25</v>
      </c>
      <c r="H71">
        <v>21.4</v>
      </c>
      <c r="I71">
        <v>0</v>
      </c>
      <c r="J71">
        <v>0</v>
      </c>
      <c r="K71">
        <v>0</v>
      </c>
      <c r="L71" t="s">
        <v>12</v>
      </c>
      <c r="M71">
        <v>1</v>
      </c>
      <c r="N71" t="s">
        <v>28</v>
      </c>
      <c r="O71">
        <v>400</v>
      </c>
      <c r="P71">
        <v>70</v>
      </c>
      <c r="Q71">
        <v>15</v>
      </c>
    </row>
    <row r="72" spans="1:17" x14ac:dyDescent="0.2">
      <c r="A72" t="s">
        <v>17</v>
      </c>
      <c r="B72" t="s">
        <v>56</v>
      </c>
      <c r="C72" t="s">
        <v>51</v>
      </c>
      <c r="D72" s="2">
        <v>28</v>
      </c>
      <c r="E72">
        <v>1</v>
      </c>
      <c r="F72">
        <v>1</v>
      </c>
      <c r="G72" t="s">
        <v>25</v>
      </c>
      <c r="H72">
        <v>46.7</v>
      </c>
      <c r="I72">
        <v>0</v>
      </c>
      <c r="J72">
        <v>0</v>
      </c>
      <c r="K72">
        <v>0</v>
      </c>
      <c r="L72" t="s">
        <v>27</v>
      </c>
      <c r="M72">
        <v>1</v>
      </c>
      <c r="N72" t="s">
        <v>28</v>
      </c>
      <c r="O72">
        <v>400</v>
      </c>
      <c r="P72">
        <v>70</v>
      </c>
      <c r="Q72">
        <v>15</v>
      </c>
    </row>
    <row r="73" spans="1:17" x14ac:dyDescent="0.2">
      <c r="A73" t="s">
        <v>17</v>
      </c>
      <c r="B73" t="s">
        <v>56</v>
      </c>
      <c r="C73" t="s">
        <v>51</v>
      </c>
      <c r="D73" s="2">
        <v>42</v>
      </c>
      <c r="E73">
        <v>1</v>
      </c>
      <c r="F73">
        <v>1</v>
      </c>
      <c r="G73" t="s">
        <v>25</v>
      </c>
      <c r="H73">
        <v>68.900000000000006</v>
      </c>
      <c r="I73">
        <v>0</v>
      </c>
      <c r="J73">
        <v>0</v>
      </c>
      <c r="K73">
        <v>0</v>
      </c>
      <c r="L73" t="s">
        <v>12</v>
      </c>
      <c r="M73">
        <v>1</v>
      </c>
      <c r="N73" t="s">
        <v>28</v>
      </c>
      <c r="O73">
        <v>400</v>
      </c>
      <c r="P73">
        <v>70</v>
      </c>
      <c r="Q73">
        <v>15</v>
      </c>
    </row>
    <row r="74" spans="1:17" x14ac:dyDescent="0.2">
      <c r="A74" t="s">
        <v>17</v>
      </c>
      <c r="B74" t="s">
        <v>56</v>
      </c>
      <c r="C74" t="s">
        <v>51</v>
      </c>
      <c r="D74" s="2">
        <v>56</v>
      </c>
      <c r="E74">
        <v>1</v>
      </c>
      <c r="F74">
        <v>1</v>
      </c>
      <c r="G74" t="s">
        <v>25</v>
      </c>
      <c r="H74">
        <v>118.5</v>
      </c>
      <c r="I74">
        <v>0</v>
      </c>
      <c r="J74">
        <v>0</v>
      </c>
      <c r="K74">
        <v>0</v>
      </c>
      <c r="L74" t="s">
        <v>27</v>
      </c>
      <c r="M74">
        <v>1</v>
      </c>
      <c r="N74" t="s">
        <v>28</v>
      </c>
      <c r="O74">
        <v>400</v>
      </c>
      <c r="P74">
        <v>70</v>
      </c>
      <c r="Q74">
        <v>15</v>
      </c>
    </row>
    <row r="75" spans="1:17" x14ac:dyDescent="0.2">
      <c r="A75" t="s">
        <v>17</v>
      </c>
      <c r="B75" t="s">
        <v>56</v>
      </c>
      <c r="C75" t="s">
        <v>51</v>
      </c>
      <c r="D75" s="2">
        <v>70</v>
      </c>
      <c r="E75">
        <v>1</v>
      </c>
      <c r="F75">
        <v>1</v>
      </c>
      <c r="G75" t="s">
        <v>25</v>
      </c>
      <c r="H75">
        <v>235</v>
      </c>
      <c r="I75">
        <v>0</v>
      </c>
      <c r="J75">
        <v>0</v>
      </c>
      <c r="K75">
        <v>0</v>
      </c>
      <c r="L75" t="s">
        <v>12</v>
      </c>
      <c r="M75">
        <v>1</v>
      </c>
      <c r="N75" t="s">
        <v>28</v>
      </c>
      <c r="O75">
        <v>400</v>
      </c>
      <c r="P75">
        <v>70</v>
      </c>
      <c r="Q75">
        <v>15</v>
      </c>
    </row>
    <row r="76" spans="1:17" x14ac:dyDescent="0.2">
      <c r="A76" t="s">
        <v>17</v>
      </c>
      <c r="B76" t="s">
        <v>56</v>
      </c>
      <c r="C76" t="s">
        <v>51</v>
      </c>
      <c r="D76" s="2">
        <v>84</v>
      </c>
      <c r="E76">
        <v>1</v>
      </c>
      <c r="F76">
        <v>1</v>
      </c>
      <c r="G76" t="s">
        <v>25</v>
      </c>
      <c r="H76">
        <v>307.5</v>
      </c>
      <c r="I76">
        <v>0</v>
      </c>
      <c r="J76">
        <v>0</v>
      </c>
      <c r="K76">
        <v>0</v>
      </c>
      <c r="L76" t="s">
        <v>27</v>
      </c>
      <c r="M76">
        <v>1</v>
      </c>
      <c r="N76" t="s">
        <v>28</v>
      </c>
      <c r="O76">
        <v>400</v>
      </c>
      <c r="P76">
        <v>70</v>
      </c>
      <c r="Q76">
        <v>15</v>
      </c>
    </row>
    <row r="77" spans="1:17" x14ac:dyDescent="0.2">
      <c r="A77" t="s">
        <v>17</v>
      </c>
      <c r="B77" t="s">
        <v>56</v>
      </c>
      <c r="C77" t="s">
        <v>51</v>
      </c>
      <c r="D77" s="2">
        <v>98</v>
      </c>
      <c r="E77">
        <v>1</v>
      </c>
      <c r="F77">
        <v>1</v>
      </c>
      <c r="G77" t="s">
        <v>25</v>
      </c>
      <c r="H77">
        <v>417.3</v>
      </c>
      <c r="I77">
        <v>0</v>
      </c>
      <c r="J77">
        <v>0</v>
      </c>
      <c r="K77">
        <v>0</v>
      </c>
      <c r="L77" t="s">
        <v>12</v>
      </c>
      <c r="M77">
        <v>1</v>
      </c>
      <c r="N77" t="s">
        <v>28</v>
      </c>
      <c r="O77">
        <v>400</v>
      </c>
      <c r="P77">
        <v>70</v>
      </c>
      <c r="Q77">
        <v>15</v>
      </c>
    </row>
    <row r="78" spans="1:17" x14ac:dyDescent="0.2">
      <c r="A78" t="s">
        <v>17</v>
      </c>
      <c r="B78" t="s">
        <v>56</v>
      </c>
      <c r="C78" t="s">
        <v>51</v>
      </c>
      <c r="D78" s="2">
        <v>112</v>
      </c>
      <c r="E78">
        <v>1</v>
      </c>
      <c r="F78">
        <v>1</v>
      </c>
      <c r="G78" t="s">
        <v>25</v>
      </c>
      <c r="H78">
        <v>588</v>
      </c>
      <c r="I78">
        <v>0</v>
      </c>
      <c r="J78">
        <v>0</v>
      </c>
      <c r="K78">
        <v>0</v>
      </c>
      <c r="L78" t="s">
        <v>27</v>
      </c>
      <c r="M78">
        <v>1</v>
      </c>
      <c r="N78" t="s">
        <v>28</v>
      </c>
      <c r="O78">
        <v>400</v>
      </c>
      <c r="P78">
        <v>70</v>
      </c>
      <c r="Q78">
        <v>15</v>
      </c>
    </row>
    <row r="79" spans="1:17" s="4" customFormat="1" x14ac:dyDescent="0.2">
      <c r="A79" s="4" t="s">
        <v>17</v>
      </c>
      <c r="B79" s="4" t="s">
        <v>56</v>
      </c>
      <c r="C79" s="4" t="s">
        <v>51</v>
      </c>
      <c r="D79" s="5">
        <v>126</v>
      </c>
      <c r="E79" s="4">
        <v>1</v>
      </c>
      <c r="F79" s="4">
        <v>2</v>
      </c>
      <c r="G79" s="4" t="s">
        <v>26</v>
      </c>
      <c r="H79" s="4">
        <v>589.4</v>
      </c>
      <c r="I79" s="4">
        <v>0</v>
      </c>
      <c r="J79" s="4">
        <v>0</v>
      </c>
      <c r="K79" s="4">
        <v>0</v>
      </c>
      <c r="L79" s="4" t="s">
        <v>12</v>
      </c>
      <c r="M79" s="4">
        <v>1</v>
      </c>
      <c r="N79" s="4" t="s">
        <v>28</v>
      </c>
      <c r="O79" s="4">
        <v>400</v>
      </c>
      <c r="P79" s="4">
        <v>70</v>
      </c>
      <c r="Q79" s="4">
        <v>15</v>
      </c>
    </row>
    <row r="80" spans="1:17" x14ac:dyDescent="0.2">
      <c r="A80" t="s">
        <v>17</v>
      </c>
      <c r="B80" t="s">
        <v>56</v>
      </c>
      <c r="C80" t="s">
        <v>52</v>
      </c>
      <c r="D80" s="2">
        <v>0</v>
      </c>
      <c r="E80">
        <v>1</v>
      </c>
      <c r="F80">
        <v>1</v>
      </c>
      <c r="G80" t="s">
        <v>25</v>
      </c>
      <c r="H80">
        <v>13</v>
      </c>
      <c r="I80">
        <v>0</v>
      </c>
      <c r="J80">
        <v>0</v>
      </c>
      <c r="K80">
        <v>0</v>
      </c>
      <c r="L80" t="s">
        <v>27</v>
      </c>
      <c r="M80">
        <v>1</v>
      </c>
      <c r="N80" t="s">
        <v>28</v>
      </c>
      <c r="O80">
        <v>400</v>
      </c>
      <c r="P80">
        <v>70</v>
      </c>
      <c r="Q80">
        <v>15</v>
      </c>
    </row>
    <row r="81" spans="1:17" x14ac:dyDescent="0.2">
      <c r="A81" t="s">
        <v>17</v>
      </c>
      <c r="B81" t="s">
        <v>56</v>
      </c>
      <c r="C81" t="s">
        <v>52</v>
      </c>
      <c r="D81" s="2">
        <v>14</v>
      </c>
      <c r="E81">
        <v>1</v>
      </c>
      <c r="F81">
        <v>1</v>
      </c>
      <c r="G81" t="s">
        <v>25</v>
      </c>
      <c r="H81">
        <v>26</v>
      </c>
      <c r="I81">
        <v>0</v>
      </c>
      <c r="J81">
        <v>0</v>
      </c>
      <c r="K81">
        <v>0</v>
      </c>
      <c r="L81" t="s">
        <v>12</v>
      </c>
      <c r="M81">
        <v>1</v>
      </c>
      <c r="N81" t="s">
        <v>28</v>
      </c>
      <c r="O81">
        <v>400</v>
      </c>
      <c r="P81">
        <v>70</v>
      </c>
      <c r="Q81">
        <v>15</v>
      </c>
    </row>
    <row r="82" spans="1:17" x14ac:dyDescent="0.2">
      <c r="A82" t="s">
        <v>17</v>
      </c>
      <c r="B82" t="s">
        <v>56</v>
      </c>
      <c r="C82" t="s">
        <v>52</v>
      </c>
      <c r="D82" s="2">
        <v>28</v>
      </c>
      <c r="E82">
        <v>1</v>
      </c>
      <c r="F82">
        <v>1</v>
      </c>
      <c r="G82" t="s">
        <v>25</v>
      </c>
      <c r="H82">
        <v>42.8</v>
      </c>
      <c r="I82">
        <v>0</v>
      </c>
      <c r="J82">
        <v>0</v>
      </c>
      <c r="K82">
        <v>0</v>
      </c>
      <c r="L82" t="s">
        <v>27</v>
      </c>
      <c r="M82">
        <v>1</v>
      </c>
      <c r="N82" t="s">
        <v>28</v>
      </c>
      <c r="O82">
        <v>400</v>
      </c>
      <c r="P82">
        <v>70</v>
      </c>
      <c r="Q82">
        <v>15</v>
      </c>
    </row>
    <row r="83" spans="1:17" x14ac:dyDescent="0.2">
      <c r="A83" t="s">
        <v>17</v>
      </c>
      <c r="B83" t="s">
        <v>56</v>
      </c>
      <c r="C83" t="s">
        <v>52</v>
      </c>
      <c r="D83" s="2">
        <v>42</v>
      </c>
      <c r="E83">
        <v>1</v>
      </c>
      <c r="F83">
        <v>1</v>
      </c>
      <c r="G83" t="s">
        <v>25</v>
      </c>
      <c r="H83">
        <v>57.1</v>
      </c>
      <c r="I83">
        <v>0</v>
      </c>
      <c r="J83">
        <v>0</v>
      </c>
      <c r="K83">
        <v>0</v>
      </c>
      <c r="L83" t="s">
        <v>12</v>
      </c>
      <c r="M83">
        <v>1</v>
      </c>
      <c r="N83" t="s">
        <v>28</v>
      </c>
      <c r="O83">
        <v>400</v>
      </c>
      <c r="P83">
        <v>70</v>
      </c>
      <c r="Q83">
        <v>15</v>
      </c>
    </row>
    <row r="84" spans="1:17" x14ac:dyDescent="0.2">
      <c r="A84" t="s">
        <v>17</v>
      </c>
      <c r="B84" t="s">
        <v>56</v>
      </c>
      <c r="C84" t="s">
        <v>52</v>
      </c>
      <c r="D84" s="2">
        <v>56</v>
      </c>
      <c r="E84">
        <v>1</v>
      </c>
      <c r="F84">
        <v>1</v>
      </c>
      <c r="G84" t="s">
        <v>25</v>
      </c>
      <c r="H84">
        <v>97.4</v>
      </c>
      <c r="I84">
        <v>0</v>
      </c>
      <c r="J84">
        <v>0</v>
      </c>
      <c r="K84">
        <v>0</v>
      </c>
      <c r="L84" t="s">
        <v>27</v>
      </c>
      <c r="M84">
        <v>1</v>
      </c>
      <c r="N84" t="s">
        <v>28</v>
      </c>
      <c r="O84">
        <v>400</v>
      </c>
      <c r="P84">
        <v>70</v>
      </c>
      <c r="Q84">
        <v>15</v>
      </c>
    </row>
    <row r="85" spans="1:17" x14ac:dyDescent="0.2">
      <c r="A85" t="s">
        <v>17</v>
      </c>
      <c r="B85" t="s">
        <v>56</v>
      </c>
      <c r="C85" t="s">
        <v>52</v>
      </c>
      <c r="D85" s="2">
        <v>70</v>
      </c>
      <c r="E85">
        <v>1</v>
      </c>
      <c r="F85">
        <v>1</v>
      </c>
      <c r="G85" t="s">
        <v>25</v>
      </c>
      <c r="H85">
        <v>219.3</v>
      </c>
      <c r="I85">
        <v>0</v>
      </c>
      <c r="J85">
        <v>0</v>
      </c>
      <c r="K85">
        <v>0</v>
      </c>
      <c r="L85" t="s">
        <v>12</v>
      </c>
      <c r="M85">
        <v>1</v>
      </c>
      <c r="N85" t="s">
        <v>28</v>
      </c>
      <c r="O85">
        <v>400</v>
      </c>
      <c r="P85">
        <v>70</v>
      </c>
      <c r="Q85">
        <v>15</v>
      </c>
    </row>
    <row r="86" spans="1:17" x14ac:dyDescent="0.2">
      <c r="A86" t="s">
        <v>17</v>
      </c>
      <c r="B86" t="s">
        <v>56</v>
      </c>
      <c r="C86" t="s">
        <v>52</v>
      </c>
      <c r="D86" s="2">
        <v>84</v>
      </c>
      <c r="E86">
        <v>1</v>
      </c>
      <c r="F86">
        <v>1</v>
      </c>
      <c r="G86" t="s">
        <v>25</v>
      </c>
      <c r="H86">
        <v>319.3</v>
      </c>
      <c r="I86">
        <v>0</v>
      </c>
      <c r="J86">
        <v>0</v>
      </c>
      <c r="K86">
        <v>0</v>
      </c>
      <c r="L86" t="s">
        <v>27</v>
      </c>
      <c r="M86">
        <v>1</v>
      </c>
      <c r="N86" t="s">
        <v>28</v>
      </c>
      <c r="O86">
        <v>400</v>
      </c>
      <c r="P86">
        <v>70</v>
      </c>
      <c r="Q86">
        <v>15</v>
      </c>
    </row>
    <row r="87" spans="1:17" x14ac:dyDescent="0.2">
      <c r="A87" t="s">
        <v>17</v>
      </c>
      <c r="B87" t="s">
        <v>56</v>
      </c>
      <c r="C87" t="s">
        <v>52</v>
      </c>
      <c r="D87" s="2">
        <v>98</v>
      </c>
      <c r="E87">
        <v>1</v>
      </c>
      <c r="F87">
        <v>1</v>
      </c>
      <c r="G87" t="s">
        <v>25</v>
      </c>
      <c r="H87">
        <v>487</v>
      </c>
      <c r="I87">
        <v>0</v>
      </c>
      <c r="J87">
        <v>0</v>
      </c>
      <c r="K87">
        <v>0</v>
      </c>
      <c r="L87" t="s">
        <v>12</v>
      </c>
      <c r="M87">
        <v>1</v>
      </c>
      <c r="N87" t="s">
        <v>28</v>
      </c>
      <c r="O87">
        <v>400</v>
      </c>
      <c r="P87">
        <v>70</v>
      </c>
      <c r="Q87">
        <v>15</v>
      </c>
    </row>
    <row r="88" spans="1:17" x14ac:dyDescent="0.2">
      <c r="A88" t="s">
        <v>17</v>
      </c>
      <c r="B88" t="s">
        <v>56</v>
      </c>
      <c r="C88" t="s">
        <v>52</v>
      </c>
      <c r="D88" s="2">
        <v>112</v>
      </c>
      <c r="E88">
        <v>1</v>
      </c>
      <c r="F88">
        <v>1</v>
      </c>
      <c r="G88" t="s">
        <v>26</v>
      </c>
      <c r="H88">
        <v>643</v>
      </c>
      <c r="I88">
        <v>0</v>
      </c>
      <c r="J88">
        <v>0</v>
      </c>
      <c r="K88">
        <v>0</v>
      </c>
      <c r="L88" t="s">
        <v>27</v>
      </c>
      <c r="M88">
        <v>1</v>
      </c>
      <c r="N88" t="s">
        <v>28</v>
      </c>
      <c r="O88">
        <v>400</v>
      </c>
      <c r="P88">
        <v>70</v>
      </c>
      <c r="Q88">
        <v>15</v>
      </c>
    </row>
    <row r="89" spans="1:17" s="4" customFormat="1" x14ac:dyDescent="0.2">
      <c r="A89" s="4" t="s">
        <v>17</v>
      </c>
      <c r="B89" s="4" t="s">
        <v>56</v>
      </c>
      <c r="C89" s="4" t="s">
        <v>52</v>
      </c>
      <c r="D89" s="5">
        <v>126</v>
      </c>
      <c r="E89" s="4">
        <v>1</v>
      </c>
      <c r="F89" s="4">
        <v>2</v>
      </c>
      <c r="G89" s="4" t="s">
        <v>26</v>
      </c>
      <c r="H89" s="4">
        <v>692.7</v>
      </c>
      <c r="I89" s="4">
        <v>0</v>
      </c>
      <c r="J89" s="4">
        <v>0</v>
      </c>
      <c r="K89" s="4">
        <v>0</v>
      </c>
      <c r="L89" s="4" t="s">
        <v>12</v>
      </c>
      <c r="M89" s="4">
        <v>1</v>
      </c>
      <c r="N89" s="4" t="s">
        <v>28</v>
      </c>
      <c r="O89" s="4">
        <v>400</v>
      </c>
      <c r="P89" s="4">
        <v>70</v>
      </c>
      <c r="Q89" s="4">
        <v>15</v>
      </c>
    </row>
    <row r="90" spans="1:17" x14ac:dyDescent="0.2">
      <c r="A90" t="s">
        <v>17</v>
      </c>
      <c r="B90" t="s">
        <v>56</v>
      </c>
      <c r="C90" t="s">
        <v>53</v>
      </c>
      <c r="D90" s="2">
        <v>0</v>
      </c>
      <c r="E90">
        <v>1</v>
      </c>
      <c r="F90">
        <v>1</v>
      </c>
      <c r="G90" t="s">
        <v>25</v>
      </c>
      <c r="H90">
        <v>11.2</v>
      </c>
      <c r="I90">
        <v>0</v>
      </c>
      <c r="J90">
        <v>0</v>
      </c>
      <c r="K90">
        <v>0</v>
      </c>
      <c r="L90" t="s">
        <v>27</v>
      </c>
      <c r="M90">
        <v>1</v>
      </c>
      <c r="N90" t="s">
        <v>28</v>
      </c>
      <c r="O90">
        <v>400</v>
      </c>
      <c r="P90">
        <v>70</v>
      </c>
      <c r="Q90">
        <v>15</v>
      </c>
    </row>
    <row r="91" spans="1:17" x14ac:dyDescent="0.2">
      <c r="A91" t="s">
        <v>17</v>
      </c>
      <c r="B91" t="s">
        <v>56</v>
      </c>
      <c r="C91" t="s">
        <v>53</v>
      </c>
      <c r="D91" s="2">
        <v>14</v>
      </c>
      <c r="E91">
        <v>1</v>
      </c>
      <c r="F91">
        <v>1</v>
      </c>
      <c r="G91" t="s">
        <v>25</v>
      </c>
      <c r="H91">
        <v>25.2</v>
      </c>
      <c r="I91">
        <v>0</v>
      </c>
      <c r="J91">
        <v>0</v>
      </c>
      <c r="K91">
        <v>0</v>
      </c>
      <c r="L91" t="s">
        <v>12</v>
      </c>
      <c r="M91">
        <v>1</v>
      </c>
      <c r="N91" t="s">
        <v>28</v>
      </c>
      <c r="O91">
        <v>400</v>
      </c>
      <c r="P91">
        <v>70</v>
      </c>
      <c r="Q91">
        <v>15</v>
      </c>
    </row>
    <row r="92" spans="1:17" x14ac:dyDescent="0.2">
      <c r="A92" t="s">
        <v>17</v>
      </c>
      <c r="B92" t="s">
        <v>56</v>
      </c>
      <c r="C92" t="s">
        <v>53</v>
      </c>
      <c r="D92" s="2">
        <v>28</v>
      </c>
      <c r="E92">
        <v>1</v>
      </c>
      <c r="F92">
        <v>1</v>
      </c>
      <c r="G92" t="s">
        <v>25</v>
      </c>
      <c r="H92">
        <v>44.2</v>
      </c>
      <c r="I92">
        <v>0</v>
      </c>
      <c r="J92">
        <v>0</v>
      </c>
      <c r="K92">
        <v>0</v>
      </c>
      <c r="L92" t="s">
        <v>27</v>
      </c>
      <c r="M92">
        <v>1</v>
      </c>
      <c r="N92" t="s">
        <v>28</v>
      </c>
      <c r="O92">
        <v>400</v>
      </c>
      <c r="P92">
        <v>70</v>
      </c>
      <c r="Q92">
        <v>15</v>
      </c>
    </row>
    <row r="93" spans="1:17" x14ac:dyDescent="0.2">
      <c r="A93" t="s">
        <v>17</v>
      </c>
      <c r="B93" t="s">
        <v>56</v>
      </c>
      <c r="C93" t="s">
        <v>53</v>
      </c>
      <c r="D93" s="2">
        <v>42</v>
      </c>
      <c r="E93">
        <v>1</v>
      </c>
      <c r="F93">
        <v>1</v>
      </c>
      <c r="G93" t="s">
        <v>25</v>
      </c>
      <c r="H93">
        <v>72.2</v>
      </c>
      <c r="I93">
        <v>0</v>
      </c>
      <c r="J93">
        <v>0</v>
      </c>
      <c r="K93">
        <v>0</v>
      </c>
      <c r="L93" t="s">
        <v>12</v>
      </c>
      <c r="M93">
        <v>1</v>
      </c>
      <c r="N93" t="s">
        <v>28</v>
      </c>
      <c r="O93">
        <v>400</v>
      </c>
      <c r="P93">
        <v>70</v>
      </c>
      <c r="Q93">
        <v>15</v>
      </c>
    </row>
    <row r="94" spans="1:17" x14ac:dyDescent="0.2">
      <c r="A94" t="s">
        <v>17</v>
      </c>
      <c r="B94" t="s">
        <v>56</v>
      </c>
      <c r="C94" t="s">
        <v>53</v>
      </c>
      <c r="D94" s="2">
        <v>56</v>
      </c>
      <c r="E94">
        <v>1</v>
      </c>
      <c r="F94">
        <v>1</v>
      </c>
      <c r="G94" t="s">
        <v>25</v>
      </c>
      <c r="H94">
        <v>102</v>
      </c>
      <c r="I94">
        <v>0</v>
      </c>
      <c r="J94">
        <v>0</v>
      </c>
      <c r="K94">
        <v>0</v>
      </c>
      <c r="L94" t="s">
        <v>27</v>
      </c>
      <c r="M94">
        <v>1</v>
      </c>
      <c r="N94" t="s">
        <v>28</v>
      </c>
      <c r="O94">
        <v>400</v>
      </c>
      <c r="P94">
        <v>70</v>
      </c>
      <c r="Q94">
        <v>15</v>
      </c>
    </row>
    <row r="95" spans="1:17" x14ac:dyDescent="0.2">
      <c r="A95" t="s">
        <v>17</v>
      </c>
      <c r="B95" t="s">
        <v>56</v>
      </c>
      <c r="C95" t="s">
        <v>53</v>
      </c>
      <c r="D95" s="2">
        <v>70</v>
      </c>
      <c r="E95">
        <v>1</v>
      </c>
      <c r="F95">
        <v>1</v>
      </c>
      <c r="G95" t="s">
        <v>25</v>
      </c>
      <c r="H95">
        <v>247.4</v>
      </c>
      <c r="I95">
        <v>0</v>
      </c>
      <c r="J95">
        <v>0</v>
      </c>
      <c r="K95">
        <v>0</v>
      </c>
      <c r="L95" t="s">
        <v>12</v>
      </c>
      <c r="M95">
        <v>1</v>
      </c>
      <c r="N95" t="s">
        <v>28</v>
      </c>
      <c r="O95">
        <v>400</v>
      </c>
      <c r="P95">
        <v>70</v>
      </c>
      <c r="Q95">
        <v>15</v>
      </c>
    </row>
    <row r="96" spans="1:17" x14ac:dyDescent="0.2">
      <c r="A96" t="s">
        <v>17</v>
      </c>
      <c r="B96" t="s">
        <v>56</v>
      </c>
      <c r="C96" t="s">
        <v>53</v>
      </c>
      <c r="D96" s="2">
        <v>84</v>
      </c>
      <c r="E96">
        <v>1</v>
      </c>
      <c r="F96">
        <v>1</v>
      </c>
      <c r="G96" t="s">
        <v>25</v>
      </c>
      <c r="H96">
        <v>367.8</v>
      </c>
      <c r="I96">
        <v>0</v>
      </c>
      <c r="J96">
        <v>0</v>
      </c>
      <c r="K96">
        <v>0</v>
      </c>
      <c r="L96" t="s">
        <v>27</v>
      </c>
      <c r="M96">
        <v>1</v>
      </c>
      <c r="N96" t="s">
        <v>28</v>
      </c>
      <c r="O96">
        <v>400</v>
      </c>
      <c r="P96">
        <v>70</v>
      </c>
      <c r="Q96">
        <v>15</v>
      </c>
    </row>
    <row r="97" spans="1:17" x14ac:dyDescent="0.2">
      <c r="A97" t="s">
        <v>17</v>
      </c>
      <c r="B97" t="s">
        <v>56</v>
      </c>
      <c r="C97" t="s">
        <v>53</v>
      </c>
      <c r="D97" s="2">
        <v>98</v>
      </c>
      <c r="E97">
        <v>1</v>
      </c>
      <c r="F97">
        <v>1</v>
      </c>
      <c r="G97" t="s">
        <v>25</v>
      </c>
      <c r="H97">
        <v>435</v>
      </c>
      <c r="I97">
        <v>0</v>
      </c>
      <c r="J97">
        <v>0</v>
      </c>
      <c r="K97">
        <v>0</v>
      </c>
      <c r="L97" t="s">
        <v>12</v>
      </c>
      <c r="M97">
        <v>1</v>
      </c>
      <c r="N97" t="s">
        <v>28</v>
      </c>
      <c r="O97">
        <v>400</v>
      </c>
      <c r="P97">
        <v>70</v>
      </c>
      <c r="Q97">
        <v>15</v>
      </c>
    </row>
    <row r="98" spans="1:17" s="4" customFormat="1" x14ac:dyDescent="0.2">
      <c r="A98" s="4" t="s">
        <v>17</v>
      </c>
      <c r="B98" s="4" t="s">
        <v>56</v>
      </c>
      <c r="C98" s="4" t="s">
        <v>53</v>
      </c>
      <c r="D98" s="5">
        <v>112</v>
      </c>
      <c r="E98" s="4">
        <v>1</v>
      </c>
      <c r="F98" s="4">
        <v>1</v>
      </c>
      <c r="G98" s="4" t="s">
        <v>26</v>
      </c>
      <c r="H98" s="4">
        <v>598</v>
      </c>
      <c r="I98" s="4">
        <v>0</v>
      </c>
      <c r="J98" s="4">
        <v>0</v>
      </c>
      <c r="K98" s="4">
        <v>0</v>
      </c>
      <c r="L98" s="4" t="s">
        <v>27</v>
      </c>
      <c r="M98" s="4">
        <v>1</v>
      </c>
      <c r="N98" s="4" t="s">
        <v>28</v>
      </c>
      <c r="O98" s="4">
        <v>400</v>
      </c>
      <c r="P98" s="4">
        <v>70</v>
      </c>
      <c r="Q98" s="4">
        <v>15</v>
      </c>
    </row>
    <row r="99" spans="1:17" x14ac:dyDescent="0.2">
      <c r="A99" t="s">
        <v>17</v>
      </c>
      <c r="B99" t="s">
        <v>56</v>
      </c>
      <c r="C99" t="s">
        <v>54</v>
      </c>
      <c r="D99" s="2">
        <v>0</v>
      </c>
      <c r="E99">
        <v>1</v>
      </c>
      <c r="F99">
        <v>1</v>
      </c>
      <c r="G99" t="s">
        <v>25</v>
      </c>
      <c r="H99">
        <v>8.9</v>
      </c>
      <c r="I99">
        <v>0</v>
      </c>
      <c r="J99">
        <v>0</v>
      </c>
      <c r="K99">
        <v>0</v>
      </c>
      <c r="L99" t="s">
        <v>27</v>
      </c>
      <c r="M99">
        <v>1</v>
      </c>
      <c r="N99" t="s">
        <v>28</v>
      </c>
      <c r="O99">
        <v>400</v>
      </c>
      <c r="P99">
        <v>70</v>
      </c>
      <c r="Q99">
        <v>15</v>
      </c>
    </row>
    <row r="100" spans="1:17" x14ac:dyDescent="0.2">
      <c r="A100" t="s">
        <v>17</v>
      </c>
      <c r="B100" t="s">
        <v>56</v>
      </c>
      <c r="C100" t="s">
        <v>54</v>
      </c>
      <c r="D100" s="2">
        <v>14</v>
      </c>
      <c r="E100">
        <v>1</v>
      </c>
      <c r="F100">
        <v>1</v>
      </c>
      <c r="G100" t="s">
        <v>25</v>
      </c>
      <c r="H100">
        <v>22</v>
      </c>
      <c r="I100">
        <v>0</v>
      </c>
      <c r="J100">
        <v>0</v>
      </c>
      <c r="K100">
        <v>0</v>
      </c>
      <c r="L100" t="s">
        <v>12</v>
      </c>
      <c r="M100">
        <v>1</v>
      </c>
      <c r="N100" t="s">
        <v>28</v>
      </c>
      <c r="O100">
        <v>400</v>
      </c>
      <c r="P100">
        <v>70</v>
      </c>
      <c r="Q100">
        <v>15</v>
      </c>
    </row>
    <row r="101" spans="1:17" x14ac:dyDescent="0.2">
      <c r="A101" t="s">
        <v>17</v>
      </c>
      <c r="B101" t="s">
        <v>56</v>
      </c>
      <c r="C101" t="s">
        <v>54</v>
      </c>
      <c r="D101" s="2">
        <v>28</v>
      </c>
      <c r="E101">
        <v>1</v>
      </c>
      <c r="F101">
        <v>1</v>
      </c>
      <c r="G101" t="s">
        <v>25</v>
      </c>
      <c r="H101">
        <v>35.1</v>
      </c>
      <c r="I101">
        <v>0</v>
      </c>
      <c r="J101">
        <v>0</v>
      </c>
      <c r="K101">
        <v>0</v>
      </c>
      <c r="L101" t="s">
        <v>27</v>
      </c>
      <c r="M101">
        <v>1</v>
      </c>
      <c r="N101" t="s">
        <v>28</v>
      </c>
      <c r="O101">
        <v>400</v>
      </c>
      <c r="P101">
        <v>70</v>
      </c>
      <c r="Q101">
        <v>15</v>
      </c>
    </row>
    <row r="102" spans="1:17" x14ac:dyDescent="0.2">
      <c r="A102" t="s">
        <v>17</v>
      </c>
      <c r="B102" t="s">
        <v>56</v>
      </c>
      <c r="C102" t="s">
        <v>54</v>
      </c>
      <c r="D102" s="2">
        <v>42</v>
      </c>
      <c r="E102">
        <v>1</v>
      </c>
      <c r="F102">
        <v>1</v>
      </c>
      <c r="G102" t="s">
        <v>25</v>
      </c>
      <c r="H102">
        <v>58.9</v>
      </c>
      <c r="I102">
        <v>0</v>
      </c>
      <c r="J102">
        <v>0</v>
      </c>
      <c r="K102">
        <v>0</v>
      </c>
      <c r="L102" t="s">
        <v>12</v>
      </c>
      <c r="M102">
        <v>1</v>
      </c>
      <c r="N102" t="s">
        <v>28</v>
      </c>
      <c r="O102">
        <v>400</v>
      </c>
      <c r="P102">
        <v>70</v>
      </c>
      <c r="Q102">
        <v>15</v>
      </c>
    </row>
    <row r="103" spans="1:17" x14ac:dyDescent="0.2">
      <c r="A103" t="s">
        <v>17</v>
      </c>
      <c r="B103" t="s">
        <v>56</v>
      </c>
      <c r="C103" t="s">
        <v>54</v>
      </c>
      <c r="D103" s="2">
        <v>56</v>
      </c>
      <c r="E103">
        <v>1</v>
      </c>
      <c r="F103">
        <v>1</v>
      </c>
      <c r="G103" t="s">
        <v>25</v>
      </c>
      <c r="H103">
        <v>107.1</v>
      </c>
      <c r="I103">
        <v>0</v>
      </c>
      <c r="J103">
        <v>0</v>
      </c>
      <c r="K103">
        <v>0</v>
      </c>
      <c r="L103" t="s">
        <v>27</v>
      </c>
      <c r="M103">
        <v>1</v>
      </c>
      <c r="N103" t="s">
        <v>28</v>
      </c>
      <c r="O103">
        <v>400</v>
      </c>
      <c r="P103">
        <v>70</v>
      </c>
      <c r="Q103">
        <v>15</v>
      </c>
    </row>
    <row r="104" spans="1:17" x14ac:dyDescent="0.2">
      <c r="A104" t="s">
        <v>17</v>
      </c>
      <c r="B104" t="s">
        <v>56</v>
      </c>
      <c r="C104" t="s">
        <v>54</v>
      </c>
      <c r="D104" s="2">
        <v>70</v>
      </c>
      <c r="E104">
        <v>1</v>
      </c>
      <c r="F104">
        <v>1</v>
      </c>
      <c r="G104" t="s">
        <v>25</v>
      </c>
      <c r="H104">
        <v>256</v>
      </c>
      <c r="I104">
        <v>0</v>
      </c>
      <c r="J104">
        <v>0</v>
      </c>
      <c r="K104">
        <v>0</v>
      </c>
      <c r="L104" t="s">
        <v>12</v>
      </c>
      <c r="M104">
        <v>1</v>
      </c>
      <c r="N104" t="s">
        <v>28</v>
      </c>
      <c r="O104">
        <v>400</v>
      </c>
      <c r="P104">
        <v>70</v>
      </c>
      <c r="Q104">
        <v>15</v>
      </c>
    </row>
    <row r="105" spans="1:17" x14ac:dyDescent="0.2">
      <c r="A105" t="s">
        <v>17</v>
      </c>
      <c r="B105" t="s">
        <v>56</v>
      </c>
      <c r="C105" t="s">
        <v>54</v>
      </c>
      <c r="D105" s="2">
        <v>84</v>
      </c>
      <c r="E105">
        <v>1</v>
      </c>
      <c r="F105">
        <v>1</v>
      </c>
      <c r="G105" t="s">
        <v>25</v>
      </c>
      <c r="H105">
        <v>313.39999999999998</v>
      </c>
      <c r="I105">
        <v>0</v>
      </c>
      <c r="J105">
        <v>0</v>
      </c>
      <c r="K105">
        <v>0</v>
      </c>
      <c r="L105" t="s">
        <v>27</v>
      </c>
      <c r="M105">
        <v>1</v>
      </c>
      <c r="N105" t="s">
        <v>28</v>
      </c>
      <c r="O105">
        <v>400</v>
      </c>
      <c r="P105">
        <v>70</v>
      </c>
      <c r="Q105">
        <v>15</v>
      </c>
    </row>
    <row r="106" spans="1:17" x14ac:dyDescent="0.2">
      <c r="A106" t="s">
        <v>17</v>
      </c>
      <c r="B106" t="s">
        <v>56</v>
      </c>
      <c r="C106" t="s">
        <v>54</v>
      </c>
      <c r="D106" s="2">
        <v>98</v>
      </c>
      <c r="E106">
        <v>1</v>
      </c>
      <c r="F106">
        <v>1</v>
      </c>
      <c r="G106" t="s">
        <v>25</v>
      </c>
      <c r="H106">
        <v>431</v>
      </c>
      <c r="I106">
        <v>0</v>
      </c>
      <c r="J106">
        <v>0</v>
      </c>
      <c r="K106">
        <v>0</v>
      </c>
      <c r="L106" t="s">
        <v>12</v>
      </c>
      <c r="M106">
        <v>1</v>
      </c>
      <c r="N106" t="s">
        <v>28</v>
      </c>
      <c r="O106">
        <v>400</v>
      </c>
      <c r="P106">
        <v>70</v>
      </c>
      <c r="Q106">
        <v>15</v>
      </c>
    </row>
    <row r="107" spans="1:17" s="4" customFormat="1" x14ac:dyDescent="0.2">
      <c r="A107" s="4" t="s">
        <v>17</v>
      </c>
      <c r="B107" s="4" t="s">
        <v>56</v>
      </c>
      <c r="C107" s="4" t="s">
        <v>54</v>
      </c>
      <c r="D107" s="5">
        <v>112</v>
      </c>
      <c r="E107" s="4">
        <v>1</v>
      </c>
      <c r="F107" s="4">
        <v>1</v>
      </c>
      <c r="G107" s="4" t="s">
        <v>26</v>
      </c>
      <c r="H107" s="4">
        <v>609.6</v>
      </c>
      <c r="I107" s="4">
        <v>0</v>
      </c>
      <c r="J107" s="4">
        <v>0</v>
      </c>
      <c r="K107" s="4">
        <v>0</v>
      </c>
      <c r="L107" s="4" t="s">
        <v>27</v>
      </c>
      <c r="M107" s="4">
        <v>1</v>
      </c>
      <c r="N107" s="4" t="s">
        <v>28</v>
      </c>
      <c r="O107" s="4">
        <v>400</v>
      </c>
      <c r="P107" s="4">
        <v>70</v>
      </c>
      <c r="Q107" s="4">
        <v>15</v>
      </c>
    </row>
    <row r="108" spans="1:17" x14ac:dyDescent="0.2">
      <c r="A108" t="s">
        <v>17</v>
      </c>
      <c r="B108" t="s">
        <v>56</v>
      </c>
      <c r="C108" t="s">
        <v>55</v>
      </c>
      <c r="D108" s="2">
        <v>0</v>
      </c>
      <c r="E108">
        <v>1</v>
      </c>
      <c r="F108">
        <v>1</v>
      </c>
      <c r="G108" t="s">
        <v>25</v>
      </c>
      <c r="H108">
        <v>10.5</v>
      </c>
      <c r="I108">
        <v>0</v>
      </c>
      <c r="J108">
        <v>0</v>
      </c>
      <c r="K108">
        <v>0</v>
      </c>
      <c r="L108" t="s">
        <v>27</v>
      </c>
      <c r="M108">
        <v>1</v>
      </c>
      <c r="N108" t="s">
        <v>28</v>
      </c>
      <c r="O108">
        <v>400</v>
      </c>
      <c r="P108">
        <v>70</v>
      </c>
      <c r="Q108">
        <v>15</v>
      </c>
    </row>
    <row r="109" spans="1:17" x14ac:dyDescent="0.2">
      <c r="A109" t="s">
        <v>17</v>
      </c>
      <c r="B109" t="s">
        <v>56</v>
      </c>
      <c r="C109" t="s">
        <v>55</v>
      </c>
      <c r="D109" s="2">
        <v>14</v>
      </c>
      <c r="E109">
        <v>1</v>
      </c>
      <c r="F109">
        <v>1</v>
      </c>
      <c r="G109" t="s">
        <v>25</v>
      </c>
      <c r="H109">
        <v>15.9</v>
      </c>
      <c r="I109">
        <v>0</v>
      </c>
      <c r="J109">
        <v>0</v>
      </c>
      <c r="K109">
        <v>0</v>
      </c>
      <c r="L109" t="s">
        <v>12</v>
      </c>
      <c r="M109">
        <v>1</v>
      </c>
      <c r="N109" t="s">
        <v>28</v>
      </c>
      <c r="O109">
        <v>400</v>
      </c>
      <c r="P109">
        <v>70</v>
      </c>
      <c r="Q109">
        <v>15</v>
      </c>
    </row>
    <row r="110" spans="1:17" x14ac:dyDescent="0.2">
      <c r="A110" t="s">
        <v>17</v>
      </c>
      <c r="B110" t="s">
        <v>56</v>
      </c>
      <c r="C110" t="s">
        <v>55</v>
      </c>
      <c r="D110" s="2">
        <v>28</v>
      </c>
      <c r="E110">
        <v>1</v>
      </c>
      <c r="F110">
        <v>1</v>
      </c>
      <c r="G110" t="s">
        <v>25</v>
      </c>
      <c r="H110">
        <v>38.6</v>
      </c>
      <c r="I110">
        <v>0</v>
      </c>
      <c r="J110">
        <v>0</v>
      </c>
      <c r="K110">
        <v>0</v>
      </c>
      <c r="L110" t="s">
        <v>27</v>
      </c>
      <c r="M110">
        <v>1</v>
      </c>
      <c r="N110" t="s">
        <v>28</v>
      </c>
      <c r="O110">
        <v>400</v>
      </c>
      <c r="P110">
        <v>70</v>
      </c>
      <c r="Q110">
        <v>15</v>
      </c>
    </row>
    <row r="111" spans="1:17" x14ac:dyDescent="0.2">
      <c r="A111" t="s">
        <v>17</v>
      </c>
      <c r="B111" t="s">
        <v>56</v>
      </c>
      <c r="C111" t="s">
        <v>55</v>
      </c>
      <c r="D111" s="2">
        <v>42</v>
      </c>
      <c r="E111">
        <v>1</v>
      </c>
      <c r="F111">
        <v>1</v>
      </c>
      <c r="G111" t="s">
        <v>25</v>
      </c>
      <c r="H111">
        <v>48.4</v>
      </c>
      <c r="I111">
        <v>0</v>
      </c>
      <c r="J111">
        <v>0</v>
      </c>
      <c r="K111">
        <v>0</v>
      </c>
      <c r="L111" t="s">
        <v>12</v>
      </c>
      <c r="M111">
        <v>1</v>
      </c>
      <c r="N111" t="s">
        <v>28</v>
      </c>
      <c r="O111">
        <v>400</v>
      </c>
      <c r="P111">
        <v>70</v>
      </c>
      <c r="Q111">
        <v>15</v>
      </c>
    </row>
    <row r="112" spans="1:17" x14ac:dyDescent="0.2">
      <c r="A112" t="s">
        <v>17</v>
      </c>
      <c r="B112" t="s">
        <v>56</v>
      </c>
      <c r="C112" t="s">
        <v>55</v>
      </c>
      <c r="D112" s="2">
        <v>56</v>
      </c>
      <c r="E112">
        <v>1</v>
      </c>
      <c r="F112">
        <v>1</v>
      </c>
      <c r="G112" t="s">
        <v>25</v>
      </c>
      <c r="H112">
        <v>90.9</v>
      </c>
      <c r="I112">
        <v>0</v>
      </c>
      <c r="J112">
        <v>0</v>
      </c>
      <c r="K112">
        <v>0</v>
      </c>
      <c r="L112" t="s">
        <v>27</v>
      </c>
      <c r="M112">
        <v>1</v>
      </c>
      <c r="N112" t="s">
        <v>28</v>
      </c>
      <c r="O112">
        <v>400</v>
      </c>
      <c r="P112">
        <v>70</v>
      </c>
      <c r="Q112">
        <v>15</v>
      </c>
    </row>
    <row r="113" spans="1:17" x14ac:dyDescent="0.2">
      <c r="A113" t="s">
        <v>17</v>
      </c>
      <c r="B113" t="s">
        <v>56</v>
      </c>
      <c r="C113" t="s">
        <v>55</v>
      </c>
      <c r="D113" s="2">
        <v>70</v>
      </c>
      <c r="E113">
        <v>1</v>
      </c>
      <c r="F113">
        <v>1</v>
      </c>
      <c r="G113" t="s">
        <v>25</v>
      </c>
      <c r="H113">
        <v>193.8</v>
      </c>
      <c r="I113">
        <v>0</v>
      </c>
      <c r="J113">
        <v>0</v>
      </c>
      <c r="K113">
        <v>0</v>
      </c>
      <c r="L113" t="s">
        <v>12</v>
      </c>
      <c r="M113">
        <v>1</v>
      </c>
      <c r="N113" t="s">
        <v>28</v>
      </c>
      <c r="O113">
        <v>400</v>
      </c>
      <c r="P113">
        <v>70</v>
      </c>
      <c r="Q113">
        <v>15</v>
      </c>
    </row>
    <row r="114" spans="1:17" x14ac:dyDescent="0.2">
      <c r="A114" t="s">
        <v>17</v>
      </c>
      <c r="B114" t="s">
        <v>56</v>
      </c>
      <c r="C114" t="s">
        <v>55</v>
      </c>
      <c r="D114" s="2">
        <v>84</v>
      </c>
      <c r="E114">
        <v>1</v>
      </c>
      <c r="F114">
        <v>1</v>
      </c>
      <c r="G114" t="s">
        <v>25</v>
      </c>
      <c r="H114">
        <v>279.2</v>
      </c>
      <c r="I114">
        <v>0</v>
      </c>
      <c r="J114">
        <v>0</v>
      </c>
      <c r="K114">
        <v>0</v>
      </c>
      <c r="L114" t="s">
        <v>27</v>
      </c>
      <c r="M114">
        <v>1</v>
      </c>
      <c r="N114" t="s">
        <v>28</v>
      </c>
      <c r="O114">
        <v>400</v>
      </c>
      <c r="P114">
        <v>70</v>
      </c>
      <c r="Q114">
        <v>15</v>
      </c>
    </row>
    <row r="115" spans="1:17" x14ac:dyDescent="0.2">
      <c r="A115" t="s">
        <v>17</v>
      </c>
      <c r="B115" t="s">
        <v>56</v>
      </c>
      <c r="C115" t="s">
        <v>55</v>
      </c>
      <c r="D115" s="2">
        <v>98</v>
      </c>
      <c r="E115">
        <v>1</v>
      </c>
      <c r="F115">
        <v>1</v>
      </c>
      <c r="G115" t="s">
        <v>25</v>
      </c>
      <c r="H115">
        <v>460.1</v>
      </c>
      <c r="I115">
        <v>0</v>
      </c>
      <c r="J115">
        <v>0</v>
      </c>
      <c r="K115">
        <v>0</v>
      </c>
      <c r="L115" t="s">
        <v>12</v>
      </c>
      <c r="M115">
        <v>1</v>
      </c>
      <c r="N115" t="s">
        <v>28</v>
      </c>
      <c r="O115">
        <v>400</v>
      </c>
      <c r="P115">
        <v>70</v>
      </c>
      <c r="Q115">
        <v>15</v>
      </c>
    </row>
    <row r="116" spans="1:17" x14ac:dyDescent="0.2">
      <c r="A116" t="s">
        <v>17</v>
      </c>
      <c r="B116" t="s">
        <v>56</v>
      </c>
      <c r="C116" t="s">
        <v>55</v>
      </c>
      <c r="D116" s="2">
        <v>112</v>
      </c>
      <c r="E116">
        <v>1</v>
      </c>
      <c r="F116">
        <v>1</v>
      </c>
      <c r="G116" t="s">
        <v>25</v>
      </c>
      <c r="H116">
        <v>584</v>
      </c>
      <c r="I116">
        <v>0</v>
      </c>
      <c r="J116">
        <v>0</v>
      </c>
      <c r="K116">
        <v>0</v>
      </c>
      <c r="L116" t="s">
        <v>27</v>
      </c>
      <c r="M116">
        <v>1</v>
      </c>
      <c r="N116" t="s">
        <v>28</v>
      </c>
      <c r="O116">
        <v>400</v>
      </c>
      <c r="P116">
        <v>70</v>
      </c>
      <c r="Q116">
        <v>15</v>
      </c>
    </row>
    <row r="117" spans="1:17" s="4" customFormat="1" x14ac:dyDescent="0.2">
      <c r="A117" s="4" t="s">
        <v>17</v>
      </c>
      <c r="B117" s="4" t="s">
        <v>56</v>
      </c>
      <c r="C117" s="4" t="s">
        <v>55</v>
      </c>
      <c r="D117" s="5">
        <v>126</v>
      </c>
      <c r="E117" s="4">
        <v>1</v>
      </c>
      <c r="F117" s="4">
        <v>2</v>
      </c>
      <c r="G117" s="4" t="s">
        <v>26</v>
      </c>
      <c r="H117" s="4">
        <v>671.5</v>
      </c>
      <c r="I117" s="4">
        <v>0</v>
      </c>
      <c r="J117" s="4">
        <v>0</v>
      </c>
      <c r="K117" s="4">
        <v>0</v>
      </c>
      <c r="L117" s="4" t="s">
        <v>12</v>
      </c>
      <c r="M117" s="4">
        <v>1</v>
      </c>
      <c r="N117" s="4" t="s">
        <v>28</v>
      </c>
      <c r="O117" s="4">
        <v>400</v>
      </c>
      <c r="P117" s="4">
        <v>70</v>
      </c>
      <c r="Q117" s="4">
        <v>15</v>
      </c>
    </row>
    <row r="118" spans="1:17" x14ac:dyDescent="0.2">
      <c r="A118" t="s">
        <v>17</v>
      </c>
      <c r="B118" t="s">
        <v>56</v>
      </c>
      <c r="C118" t="s">
        <v>31</v>
      </c>
      <c r="D118" s="10">
        <v>140</v>
      </c>
      <c r="E118">
        <v>2</v>
      </c>
      <c r="F118">
        <v>2</v>
      </c>
      <c r="G118" t="s">
        <v>26</v>
      </c>
      <c r="H118">
        <f>653.5*2</f>
        <v>1307</v>
      </c>
      <c r="I118">
        <v>5.6</v>
      </c>
      <c r="J118">
        <v>2.8</v>
      </c>
      <c r="K118">
        <v>2.8</v>
      </c>
      <c r="L118" t="s">
        <v>27</v>
      </c>
      <c r="M118">
        <v>1</v>
      </c>
      <c r="N118" t="s">
        <v>28</v>
      </c>
      <c r="O118">
        <v>400</v>
      </c>
      <c r="P118">
        <v>70</v>
      </c>
      <c r="Q118">
        <v>15</v>
      </c>
    </row>
    <row r="119" spans="1:17" x14ac:dyDescent="0.2">
      <c r="A119" t="s">
        <v>17</v>
      </c>
      <c r="B119" t="s">
        <v>56</v>
      </c>
      <c r="C119" t="s">
        <v>31</v>
      </c>
      <c r="D119" s="10">
        <v>154</v>
      </c>
      <c r="E119">
        <v>2</v>
      </c>
      <c r="F119">
        <v>2</v>
      </c>
      <c r="G119" t="s">
        <v>26</v>
      </c>
      <c r="H119">
        <f>652.36*2</f>
        <v>1304.72</v>
      </c>
      <c r="J119">
        <v>0</v>
      </c>
      <c r="L119" t="s">
        <v>12</v>
      </c>
      <c r="M119">
        <v>1</v>
      </c>
      <c r="N119" t="s">
        <v>28</v>
      </c>
      <c r="O119">
        <v>400</v>
      </c>
      <c r="P119">
        <v>70</v>
      </c>
      <c r="Q119">
        <v>15</v>
      </c>
    </row>
    <row r="120" spans="1:17" x14ac:dyDescent="0.2">
      <c r="A120" t="s">
        <v>17</v>
      </c>
      <c r="B120" t="s">
        <v>56</v>
      </c>
      <c r="C120" t="s">
        <v>31</v>
      </c>
      <c r="D120" s="10">
        <v>168</v>
      </c>
      <c r="E120">
        <v>2</v>
      </c>
      <c r="F120">
        <v>2</v>
      </c>
      <c r="G120" t="s">
        <v>26</v>
      </c>
      <c r="H120">
        <f>734.3*2</f>
        <v>1468.6</v>
      </c>
      <c r="I120">
        <v>12.32</v>
      </c>
      <c r="J120">
        <v>6.16</v>
      </c>
      <c r="K120">
        <v>8.9600000000000009</v>
      </c>
      <c r="L120" t="s">
        <v>27</v>
      </c>
      <c r="M120">
        <v>1</v>
      </c>
      <c r="N120" t="s">
        <v>28</v>
      </c>
      <c r="O120">
        <v>400</v>
      </c>
      <c r="P120">
        <v>70</v>
      </c>
      <c r="Q120">
        <v>15</v>
      </c>
    </row>
    <row r="121" spans="1:17" x14ac:dyDescent="0.2">
      <c r="A121" t="s">
        <v>17</v>
      </c>
      <c r="B121" t="s">
        <v>56</v>
      </c>
      <c r="C121" t="s">
        <v>31</v>
      </c>
      <c r="D121" s="10">
        <v>182</v>
      </c>
      <c r="E121">
        <v>2</v>
      </c>
      <c r="F121">
        <v>2</v>
      </c>
      <c r="G121" t="s">
        <v>26</v>
      </c>
      <c r="H121">
        <f>695.8*2</f>
        <v>1391.6</v>
      </c>
      <c r="J121">
        <v>0</v>
      </c>
      <c r="L121" t="s">
        <v>12</v>
      </c>
      <c r="M121">
        <v>1</v>
      </c>
      <c r="N121" t="s">
        <v>28</v>
      </c>
      <c r="O121">
        <v>400</v>
      </c>
      <c r="P121">
        <v>70</v>
      </c>
      <c r="Q121">
        <v>15</v>
      </c>
    </row>
    <row r="122" spans="1:17" x14ac:dyDescent="0.2">
      <c r="A122" t="s">
        <v>17</v>
      </c>
      <c r="B122" t="s">
        <v>56</v>
      </c>
      <c r="C122" t="s">
        <v>31</v>
      </c>
      <c r="D122" s="2">
        <v>196</v>
      </c>
      <c r="E122">
        <v>2</v>
      </c>
      <c r="F122">
        <v>2</v>
      </c>
      <c r="G122" t="s">
        <v>26</v>
      </c>
      <c r="H122">
        <f>686.5*2</f>
        <v>1373</v>
      </c>
      <c r="I122">
        <v>13.334</v>
      </c>
      <c r="J122">
        <v>6.6669999999999998</v>
      </c>
      <c r="K122">
        <v>15.627000000000001</v>
      </c>
      <c r="L122" t="s">
        <v>27</v>
      </c>
      <c r="M122">
        <v>1</v>
      </c>
      <c r="N122" t="s">
        <v>28</v>
      </c>
      <c r="O122">
        <v>400</v>
      </c>
      <c r="P122">
        <v>70</v>
      </c>
      <c r="Q122">
        <v>15</v>
      </c>
    </row>
    <row r="123" spans="1:17" x14ac:dyDescent="0.2">
      <c r="A123" t="s">
        <v>17</v>
      </c>
      <c r="B123" t="s">
        <v>56</v>
      </c>
      <c r="C123" t="s">
        <v>31</v>
      </c>
      <c r="D123" s="2">
        <v>210</v>
      </c>
      <c r="E123">
        <v>2</v>
      </c>
      <c r="F123">
        <v>2</v>
      </c>
      <c r="G123" t="s">
        <v>26</v>
      </c>
      <c r="H123">
        <f>713.26*2</f>
        <v>1426.52</v>
      </c>
      <c r="J123">
        <v>0</v>
      </c>
      <c r="L123" t="s">
        <v>12</v>
      </c>
      <c r="M123">
        <v>1</v>
      </c>
      <c r="N123" t="s">
        <v>28</v>
      </c>
      <c r="O123">
        <v>400</v>
      </c>
      <c r="P123">
        <v>70</v>
      </c>
      <c r="Q123">
        <v>15</v>
      </c>
    </row>
    <row r="124" spans="1:17" x14ac:dyDescent="0.2">
      <c r="A124" t="s">
        <v>17</v>
      </c>
      <c r="B124" t="s">
        <v>56</v>
      </c>
      <c r="C124" t="s">
        <v>31</v>
      </c>
      <c r="D124" s="2">
        <v>224</v>
      </c>
      <c r="E124">
        <v>2</v>
      </c>
      <c r="F124">
        <v>3</v>
      </c>
      <c r="G124" t="s">
        <v>26</v>
      </c>
      <c r="H124">
        <f>661.4*2</f>
        <v>1322.8</v>
      </c>
      <c r="I124">
        <v>15.66</v>
      </c>
      <c r="J124">
        <v>7.83</v>
      </c>
      <c r="K124">
        <v>23.457000000000001</v>
      </c>
      <c r="L124" t="s">
        <v>27</v>
      </c>
      <c r="M124">
        <v>1</v>
      </c>
      <c r="N124" t="s">
        <v>28</v>
      </c>
      <c r="O124">
        <v>400</v>
      </c>
      <c r="P124">
        <v>70</v>
      </c>
      <c r="Q124">
        <v>15</v>
      </c>
    </row>
    <row r="125" spans="1:17" x14ac:dyDescent="0.2">
      <c r="A125" t="s">
        <v>17</v>
      </c>
      <c r="B125" t="s">
        <v>56</v>
      </c>
      <c r="C125" t="s">
        <v>31</v>
      </c>
      <c r="D125" s="2">
        <v>238</v>
      </c>
      <c r="E125">
        <v>3</v>
      </c>
      <c r="F125">
        <v>3</v>
      </c>
      <c r="G125" t="s">
        <v>26</v>
      </c>
      <c r="H125">
        <f>689.3*3</f>
        <v>2067.8999999999996</v>
      </c>
      <c r="J125">
        <v>0</v>
      </c>
      <c r="L125" t="s">
        <v>12</v>
      </c>
      <c r="M125">
        <v>1</v>
      </c>
      <c r="N125" t="s">
        <v>28</v>
      </c>
      <c r="O125">
        <v>400</v>
      </c>
      <c r="P125">
        <v>70</v>
      </c>
      <c r="Q125">
        <v>15</v>
      </c>
    </row>
    <row r="126" spans="1:17" x14ac:dyDescent="0.2">
      <c r="A126" t="s">
        <v>17</v>
      </c>
      <c r="B126" t="s">
        <v>56</v>
      </c>
      <c r="C126" t="s">
        <v>31</v>
      </c>
      <c r="D126" s="2">
        <v>252</v>
      </c>
      <c r="E126">
        <v>3</v>
      </c>
      <c r="F126">
        <v>3</v>
      </c>
      <c r="G126" t="s">
        <v>26</v>
      </c>
      <c r="H126">
        <f>793.3*3</f>
        <v>2379.8999999999996</v>
      </c>
      <c r="I126">
        <v>23.000999999999998</v>
      </c>
      <c r="J126">
        <v>7.6669999999999989</v>
      </c>
      <c r="K126">
        <v>31.123999999999999</v>
      </c>
      <c r="L126" t="s">
        <v>27</v>
      </c>
      <c r="M126">
        <v>1</v>
      </c>
      <c r="N126" t="s">
        <v>28</v>
      </c>
      <c r="O126">
        <v>400</v>
      </c>
      <c r="P126">
        <v>70</v>
      </c>
      <c r="Q126">
        <v>15</v>
      </c>
    </row>
    <row r="127" spans="1:17" x14ac:dyDescent="0.2">
      <c r="A127" t="s">
        <v>17</v>
      </c>
      <c r="B127" t="s">
        <v>56</v>
      </c>
      <c r="C127" t="s">
        <v>31</v>
      </c>
      <c r="D127" s="2">
        <v>266</v>
      </c>
      <c r="E127">
        <v>3</v>
      </c>
      <c r="F127">
        <v>3</v>
      </c>
      <c r="G127" t="s">
        <v>26</v>
      </c>
      <c r="H127">
        <f>726.6*3</f>
        <v>2179.8000000000002</v>
      </c>
      <c r="J127">
        <v>0</v>
      </c>
      <c r="L127" t="s">
        <v>12</v>
      </c>
      <c r="M127">
        <v>1</v>
      </c>
      <c r="N127" t="s">
        <v>28</v>
      </c>
      <c r="O127">
        <v>400</v>
      </c>
      <c r="P127">
        <v>70</v>
      </c>
      <c r="Q127">
        <v>15</v>
      </c>
    </row>
    <row r="128" spans="1:17" x14ac:dyDescent="0.2">
      <c r="A128" t="s">
        <v>17</v>
      </c>
      <c r="B128" t="s">
        <v>56</v>
      </c>
      <c r="C128" t="s">
        <v>31</v>
      </c>
      <c r="D128" s="2">
        <v>280</v>
      </c>
      <c r="E128">
        <v>3</v>
      </c>
      <c r="F128">
        <v>3</v>
      </c>
      <c r="G128" t="s">
        <v>26</v>
      </c>
      <c r="H128">
        <f>839.95*3</f>
        <v>2519.8500000000004</v>
      </c>
      <c r="I128">
        <v>24.500100000000003</v>
      </c>
      <c r="J128">
        <v>8.1667000000000005</v>
      </c>
      <c r="K128">
        <v>39.290700000000001</v>
      </c>
      <c r="L128" t="s">
        <v>27</v>
      </c>
      <c r="M128">
        <v>1</v>
      </c>
      <c r="N128" t="s">
        <v>28</v>
      </c>
      <c r="O128">
        <v>400</v>
      </c>
      <c r="P128">
        <v>70</v>
      </c>
      <c r="Q128">
        <v>15</v>
      </c>
    </row>
    <row r="129" spans="1:17" x14ac:dyDescent="0.2">
      <c r="A129" t="s">
        <v>17</v>
      </c>
      <c r="B129" t="s">
        <v>56</v>
      </c>
      <c r="C129" t="s">
        <v>31</v>
      </c>
      <c r="D129" s="2">
        <v>294</v>
      </c>
      <c r="E129">
        <v>3</v>
      </c>
      <c r="F129">
        <v>3</v>
      </c>
      <c r="G129" t="s">
        <v>26</v>
      </c>
      <c r="H129">
        <f>745.5*3</f>
        <v>2236.5</v>
      </c>
      <c r="J129">
        <v>0</v>
      </c>
      <c r="L129" t="s">
        <v>12</v>
      </c>
      <c r="M129">
        <v>1</v>
      </c>
      <c r="N129" t="s">
        <v>28</v>
      </c>
      <c r="O129">
        <v>400</v>
      </c>
      <c r="P129">
        <v>70</v>
      </c>
      <c r="Q129">
        <v>15</v>
      </c>
    </row>
    <row r="130" spans="1:17" x14ac:dyDescent="0.2">
      <c r="A130" t="s">
        <v>17</v>
      </c>
      <c r="B130" t="s">
        <v>56</v>
      </c>
      <c r="C130" t="s">
        <v>31</v>
      </c>
      <c r="D130" s="2">
        <v>308</v>
      </c>
      <c r="E130">
        <v>3</v>
      </c>
      <c r="F130">
        <v>6</v>
      </c>
      <c r="G130" t="s">
        <v>26</v>
      </c>
      <c r="H130">
        <f>782*3</f>
        <v>2346</v>
      </c>
      <c r="I130">
        <v>25.5</v>
      </c>
      <c r="J130">
        <v>8.5</v>
      </c>
      <c r="K130">
        <v>47.790700000000001</v>
      </c>
      <c r="L130" t="s">
        <v>27</v>
      </c>
      <c r="M130">
        <v>1</v>
      </c>
      <c r="N130" t="s">
        <v>28</v>
      </c>
      <c r="O130">
        <v>400</v>
      </c>
      <c r="P130">
        <v>70</v>
      </c>
      <c r="Q130">
        <v>15</v>
      </c>
    </row>
    <row r="131" spans="1:17" x14ac:dyDescent="0.2">
      <c r="A131" t="s">
        <v>17</v>
      </c>
      <c r="B131" t="s">
        <v>56</v>
      </c>
      <c r="C131" t="s">
        <v>31</v>
      </c>
      <c r="D131" s="2">
        <v>322</v>
      </c>
      <c r="E131">
        <v>6</v>
      </c>
      <c r="F131">
        <v>6</v>
      </c>
      <c r="G131" t="s">
        <v>26</v>
      </c>
      <c r="H131">
        <f>647.4*6</f>
        <v>3884.3999999999996</v>
      </c>
      <c r="J131">
        <v>0</v>
      </c>
      <c r="L131" t="s">
        <v>12</v>
      </c>
      <c r="M131">
        <v>1</v>
      </c>
      <c r="N131" t="s">
        <v>28</v>
      </c>
      <c r="O131">
        <v>400</v>
      </c>
      <c r="P131">
        <v>70</v>
      </c>
      <c r="Q131">
        <v>15</v>
      </c>
    </row>
    <row r="132" spans="1:17" x14ac:dyDescent="0.2">
      <c r="A132" t="s">
        <v>17</v>
      </c>
      <c r="B132" t="s">
        <v>56</v>
      </c>
      <c r="C132" t="s">
        <v>31</v>
      </c>
      <c r="D132" s="2">
        <v>336</v>
      </c>
      <c r="E132">
        <v>6</v>
      </c>
      <c r="F132">
        <v>6</v>
      </c>
      <c r="G132" t="s">
        <v>26</v>
      </c>
      <c r="H132">
        <f>757.6*6</f>
        <v>4545.6000000000004</v>
      </c>
      <c r="I132">
        <v>24.96</v>
      </c>
      <c r="J132">
        <v>4.16</v>
      </c>
      <c r="K132">
        <v>51.950699999999998</v>
      </c>
      <c r="L132" t="s">
        <v>27</v>
      </c>
      <c r="M132">
        <v>1</v>
      </c>
      <c r="N132" t="s">
        <v>28</v>
      </c>
      <c r="O132">
        <v>400</v>
      </c>
      <c r="P132">
        <v>70</v>
      </c>
      <c r="Q132">
        <v>15</v>
      </c>
    </row>
    <row r="133" spans="1:17" x14ac:dyDescent="0.2">
      <c r="A133" t="s">
        <v>17</v>
      </c>
      <c r="B133" t="s">
        <v>56</v>
      </c>
      <c r="C133" t="s">
        <v>31</v>
      </c>
      <c r="D133" s="2">
        <v>350</v>
      </c>
      <c r="E133">
        <v>6</v>
      </c>
      <c r="F133">
        <v>6</v>
      </c>
      <c r="G133" t="s">
        <v>26</v>
      </c>
      <c r="H133">
        <f>762.25*6</f>
        <v>4573.5</v>
      </c>
      <c r="J133">
        <v>0</v>
      </c>
      <c r="L133" t="s">
        <v>12</v>
      </c>
      <c r="M133">
        <v>1</v>
      </c>
      <c r="N133" t="s">
        <v>28</v>
      </c>
      <c r="O133">
        <v>400</v>
      </c>
      <c r="P133">
        <v>70</v>
      </c>
      <c r="Q133">
        <v>15</v>
      </c>
    </row>
    <row r="134" spans="1:17" x14ac:dyDescent="0.2">
      <c r="A134" t="s">
        <v>17</v>
      </c>
      <c r="B134" t="s">
        <v>56</v>
      </c>
      <c r="C134" t="s">
        <v>31</v>
      </c>
      <c r="D134" s="2">
        <v>364</v>
      </c>
      <c r="E134">
        <v>6</v>
      </c>
      <c r="F134">
        <v>6</v>
      </c>
      <c r="G134" t="s">
        <v>26</v>
      </c>
      <c r="H134" s="9">
        <f>770.67*6</f>
        <v>4624.0199999999995</v>
      </c>
      <c r="I134">
        <v>22.799999999999997</v>
      </c>
      <c r="J134">
        <v>3.7999999999999994</v>
      </c>
      <c r="K134">
        <v>55.750699999999995</v>
      </c>
      <c r="L134" t="s">
        <v>27</v>
      </c>
      <c r="M134">
        <v>1</v>
      </c>
      <c r="N134" t="s">
        <v>28</v>
      </c>
      <c r="O134">
        <v>400</v>
      </c>
      <c r="P134">
        <v>70</v>
      </c>
      <c r="Q134">
        <v>15</v>
      </c>
    </row>
    <row r="135" spans="1:17" x14ac:dyDescent="0.2">
      <c r="A135" t="s">
        <v>17</v>
      </c>
      <c r="B135" t="s">
        <v>56</v>
      </c>
      <c r="C135" t="s">
        <v>31</v>
      </c>
      <c r="D135" s="2">
        <v>378</v>
      </c>
      <c r="E135">
        <v>6</v>
      </c>
      <c r="F135">
        <v>6</v>
      </c>
      <c r="G135" t="s">
        <v>26</v>
      </c>
      <c r="H135" s="9">
        <f>752.5*6</f>
        <v>4515</v>
      </c>
      <c r="J135">
        <v>0</v>
      </c>
      <c r="L135" t="s">
        <v>12</v>
      </c>
      <c r="M135">
        <v>1</v>
      </c>
      <c r="N135" t="s">
        <v>28</v>
      </c>
      <c r="O135">
        <v>400</v>
      </c>
      <c r="P135">
        <v>70</v>
      </c>
      <c r="Q135">
        <v>15</v>
      </c>
    </row>
    <row r="136" spans="1:17" x14ac:dyDescent="0.2">
      <c r="A136" t="s">
        <v>17</v>
      </c>
      <c r="B136" t="s">
        <v>56</v>
      </c>
      <c r="C136" t="s">
        <v>31</v>
      </c>
      <c r="D136" s="2">
        <v>392</v>
      </c>
      <c r="E136">
        <v>6</v>
      </c>
      <c r="F136">
        <v>6</v>
      </c>
      <c r="G136" t="s">
        <v>26</v>
      </c>
      <c r="H136" s="9">
        <f>766.3*6</f>
        <v>4597.7999999999993</v>
      </c>
      <c r="I136">
        <v>27</v>
      </c>
      <c r="J136">
        <v>4.5</v>
      </c>
      <c r="K136">
        <v>60.250699999999995</v>
      </c>
      <c r="L136" t="s">
        <v>27</v>
      </c>
      <c r="M136">
        <v>1</v>
      </c>
      <c r="N136" t="s">
        <v>28</v>
      </c>
      <c r="O136">
        <v>400</v>
      </c>
      <c r="P136">
        <v>70</v>
      </c>
      <c r="Q136">
        <v>15</v>
      </c>
    </row>
  </sheetData>
  <phoneticPr fontId="2" type="noConversion"/>
  <conditionalFormatting sqref="G1">
    <cfRule type="cellIs" dxfId="71" priority="7" operator="equal">
      <formula>"J"</formula>
    </cfRule>
    <cfRule type="cellIs" dxfId="70" priority="8" operator="equal">
      <formula>"A"</formula>
    </cfRule>
  </conditionalFormatting>
  <conditionalFormatting sqref="G1">
    <cfRule type="cellIs" dxfId="69" priority="5" operator="equal">
      <formula>"J"</formula>
    </cfRule>
    <cfRule type="cellIs" dxfId="68" priority="6" operator="equal">
      <formula>"A"</formula>
    </cfRule>
  </conditionalFormatting>
  <conditionalFormatting sqref="G1">
    <cfRule type="cellIs" dxfId="67" priority="3" operator="equal">
      <formula>"A"</formula>
    </cfRule>
    <cfRule type="cellIs" dxfId="66" priority="4" operator="equal">
      <formula>"J"</formula>
    </cfRule>
  </conditionalFormatting>
  <conditionalFormatting sqref="G1:G1048576">
    <cfRule type="cellIs" dxfId="65" priority="1" operator="equal">
      <formula>"J"</formula>
    </cfRule>
    <cfRule type="cellIs" dxfId="64" priority="2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26DC-A383-5945-A0CB-1D0A6D7DC0F0}">
  <dimension ref="A1:Q46"/>
  <sheetViews>
    <sheetView topLeftCell="A21" workbookViewId="0">
      <selection sqref="A1:XFD1"/>
    </sheetView>
  </sheetViews>
  <sheetFormatPr baseColWidth="10" defaultRowHeight="16" x14ac:dyDescent="0.2"/>
  <cols>
    <col min="1" max="1" width="14" customWidth="1"/>
  </cols>
  <sheetData>
    <row r="1" spans="1:17" s="11" customFormat="1" x14ac:dyDescent="0.2">
      <c r="A1" s="11" t="s">
        <v>0</v>
      </c>
      <c r="B1" s="11" t="s">
        <v>1</v>
      </c>
      <c r="C1" s="12" t="s">
        <v>3</v>
      </c>
      <c r="D1" s="13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9</v>
      </c>
      <c r="J1" s="11" t="s">
        <v>10</v>
      </c>
      <c r="K1" s="11" t="s">
        <v>8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">
      <c r="A2" t="s">
        <v>17</v>
      </c>
      <c r="B2" t="s">
        <v>41</v>
      </c>
      <c r="C2" t="s">
        <v>57</v>
      </c>
      <c r="D2">
        <v>0</v>
      </c>
      <c r="E2">
        <v>1</v>
      </c>
      <c r="F2">
        <v>1</v>
      </c>
      <c r="G2" t="s">
        <v>25</v>
      </c>
      <c r="H2" s="14">
        <v>8.6</v>
      </c>
      <c r="I2">
        <v>0</v>
      </c>
      <c r="J2">
        <v>0</v>
      </c>
      <c r="K2">
        <v>0</v>
      </c>
      <c r="L2" t="s">
        <v>27</v>
      </c>
      <c r="M2">
        <v>1.5</v>
      </c>
      <c r="N2" t="s">
        <v>28</v>
      </c>
      <c r="O2">
        <v>400</v>
      </c>
      <c r="P2">
        <v>70</v>
      </c>
      <c r="Q2">
        <v>15</v>
      </c>
    </row>
    <row r="3" spans="1:17" x14ac:dyDescent="0.2">
      <c r="A3" t="s">
        <v>17</v>
      </c>
      <c r="B3" t="s">
        <v>41</v>
      </c>
      <c r="C3" t="s">
        <v>57</v>
      </c>
      <c r="D3">
        <v>14</v>
      </c>
      <c r="E3">
        <v>1</v>
      </c>
      <c r="F3">
        <v>1</v>
      </c>
      <c r="G3" t="s">
        <v>25</v>
      </c>
      <c r="H3" s="14">
        <v>23.8</v>
      </c>
      <c r="I3">
        <v>0</v>
      </c>
      <c r="J3">
        <v>0</v>
      </c>
      <c r="K3">
        <v>0</v>
      </c>
      <c r="L3" t="s">
        <v>12</v>
      </c>
      <c r="M3">
        <v>1.5</v>
      </c>
      <c r="N3" t="s">
        <v>28</v>
      </c>
      <c r="O3">
        <v>400</v>
      </c>
      <c r="P3">
        <v>70</v>
      </c>
      <c r="Q3">
        <v>15</v>
      </c>
    </row>
    <row r="4" spans="1:17" x14ac:dyDescent="0.2">
      <c r="A4" t="s">
        <v>17</v>
      </c>
      <c r="B4" t="s">
        <v>41</v>
      </c>
      <c r="C4" t="s">
        <v>57</v>
      </c>
      <c r="D4">
        <v>28</v>
      </c>
      <c r="E4">
        <v>1</v>
      </c>
      <c r="F4">
        <v>1</v>
      </c>
      <c r="G4" t="s">
        <v>25</v>
      </c>
      <c r="H4" s="14">
        <v>64.3</v>
      </c>
      <c r="I4">
        <v>0</v>
      </c>
      <c r="J4">
        <v>0</v>
      </c>
      <c r="K4">
        <v>0</v>
      </c>
      <c r="L4" t="s">
        <v>27</v>
      </c>
      <c r="M4">
        <v>1.5</v>
      </c>
      <c r="N4" t="s">
        <v>28</v>
      </c>
      <c r="O4">
        <v>400</v>
      </c>
      <c r="P4">
        <v>70</v>
      </c>
      <c r="Q4">
        <v>15</v>
      </c>
    </row>
    <row r="5" spans="1:17" x14ac:dyDescent="0.2">
      <c r="A5" t="s">
        <v>17</v>
      </c>
      <c r="B5" t="s">
        <v>41</v>
      </c>
      <c r="C5" t="s">
        <v>57</v>
      </c>
      <c r="D5">
        <v>42</v>
      </c>
      <c r="E5">
        <v>1</v>
      </c>
      <c r="F5">
        <v>1</v>
      </c>
      <c r="G5" t="s">
        <v>25</v>
      </c>
      <c r="H5" s="14">
        <v>115</v>
      </c>
      <c r="I5">
        <v>0</v>
      </c>
      <c r="J5">
        <v>0</v>
      </c>
      <c r="K5">
        <v>0</v>
      </c>
      <c r="L5" t="s">
        <v>12</v>
      </c>
      <c r="M5">
        <v>1.5</v>
      </c>
      <c r="N5" t="s">
        <v>28</v>
      </c>
      <c r="O5">
        <v>400</v>
      </c>
      <c r="P5">
        <v>70</v>
      </c>
      <c r="Q5">
        <v>15</v>
      </c>
    </row>
    <row r="6" spans="1:17" x14ac:dyDescent="0.2">
      <c r="A6" t="s">
        <v>17</v>
      </c>
      <c r="B6" t="s">
        <v>41</v>
      </c>
      <c r="C6" t="s">
        <v>57</v>
      </c>
      <c r="D6">
        <v>56</v>
      </c>
      <c r="E6">
        <v>1</v>
      </c>
      <c r="F6">
        <v>1</v>
      </c>
      <c r="G6" t="s">
        <v>25</v>
      </c>
      <c r="H6" s="14">
        <v>239</v>
      </c>
      <c r="I6">
        <v>0</v>
      </c>
      <c r="J6">
        <v>0</v>
      </c>
      <c r="K6">
        <v>0</v>
      </c>
      <c r="L6" t="s">
        <v>27</v>
      </c>
      <c r="M6">
        <v>1.5</v>
      </c>
      <c r="N6" t="s">
        <v>28</v>
      </c>
      <c r="O6">
        <v>400</v>
      </c>
      <c r="P6">
        <v>70</v>
      </c>
      <c r="Q6">
        <v>15</v>
      </c>
    </row>
    <row r="7" spans="1:17" x14ac:dyDescent="0.2">
      <c r="A7" t="s">
        <v>17</v>
      </c>
      <c r="B7" t="s">
        <v>41</v>
      </c>
      <c r="C7" t="s">
        <v>57</v>
      </c>
      <c r="D7">
        <v>70</v>
      </c>
      <c r="E7">
        <v>1</v>
      </c>
      <c r="F7">
        <v>1</v>
      </c>
      <c r="G7" t="s">
        <v>25</v>
      </c>
      <c r="H7" s="14">
        <v>324</v>
      </c>
      <c r="I7">
        <v>0</v>
      </c>
      <c r="J7">
        <v>0</v>
      </c>
      <c r="K7">
        <v>0</v>
      </c>
      <c r="L7" t="s">
        <v>12</v>
      </c>
      <c r="M7">
        <v>1.5</v>
      </c>
      <c r="N7" t="s">
        <v>28</v>
      </c>
      <c r="O7">
        <v>400</v>
      </c>
      <c r="P7">
        <v>70</v>
      </c>
      <c r="Q7">
        <v>15</v>
      </c>
    </row>
    <row r="8" spans="1:17" x14ac:dyDescent="0.2">
      <c r="A8" t="s">
        <v>17</v>
      </c>
      <c r="B8" t="s">
        <v>41</v>
      </c>
      <c r="C8" t="s">
        <v>57</v>
      </c>
      <c r="D8">
        <v>84</v>
      </c>
      <c r="E8">
        <v>1</v>
      </c>
      <c r="F8">
        <v>1</v>
      </c>
      <c r="G8" t="s">
        <v>25</v>
      </c>
      <c r="H8" s="14">
        <v>485</v>
      </c>
      <c r="I8">
        <v>0</v>
      </c>
      <c r="J8">
        <v>0</v>
      </c>
      <c r="K8">
        <v>0</v>
      </c>
      <c r="L8" t="s">
        <v>27</v>
      </c>
      <c r="M8">
        <v>1.5</v>
      </c>
      <c r="N8" t="s">
        <v>28</v>
      </c>
      <c r="O8">
        <v>400</v>
      </c>
      <c r="P8">
        <v>70</v>
      </c>
      <c r="Q8">
        <v>15</v>
      </c>
    </row>
    <row r="9" spans="1:17" x14ac:dyDescent="0.2">
      <c r="A9" t="s">
        <v>17</v>
      </c>
      <c r="B9" t="s">
        <v>41</v>
      </c>
      <c r="C9" t="s">
        <v>57</v>
      </c>
      <c r="D9">
        <v>98</v>
      </c>
      <c r="E9">
        <v>1</v>
      </c>
      <c r="F9">
        <v>1</v>
      </c>
      <c r="G9" t="s">
        <v>25</v>
      </c>
      <c r="H9" s="14">
        <v>541</v>
      </c>
      <c r="I9">
        <v>0</v>
      </c>
      <c r="J9">
        <v>0</v>
      </c>
      <c r="K9">
        <v>0</v>
      </c>
      <c r="L9" t="s">
        <v>12</v>
      </c>
      <c r="M9">
        <v>1.5</v>
      </c>
      <c r="N9" t="s">
        <v>28</v>
      </c>
      <c r="O9">
        <v>400</v>
      </c>
      <c r="P9">
        <v>70</v>
      </c>
      <c r="Q9">
        <v>15</v>
      </c>
    </row>
    <row r="10" spans="1:17" s="4" customFormat="1" x14ac:dyDescent="0.2">
      <c r="A10" s="4" t="s">
        <v>17</v>
      </c>
      <c r="B10" s="4" t="s">
        <v>41</v>
      </c>
      <c r="C10" s="4" t="s">
        <v>57</v>
      </c>
      <c r="D10" s="4">
        <v>105</v>
      </c>
      <c r="E10" s="4">
        <v>1</v>
      </c>
      <c r="F10" s="4">
        <v>1</v>
      </c>
      <c r="G10" s="4" t="s">
        <v>26</v>
      </c>
      <c r="H10" s="15">
        <v>672</v>
      </c>
      <c r="I10" s="4">
        <v>0</v>
      </c>
      <c r="J10" s="4">
        <v>0</v>
      </c>
      <c r="K10" s="4">
        <v>0</v>
      </c>
      <c r="L10" s="4" t="s">
        <v>27</v>
      </c>
      <c r="M10" s="4">
        <v>1.5</v>
      </c>
      <c r="N10" s="4" t="s">
        <v>28</v>
      </c>
      <c r="O10" s="4">
        <v>400</v>
      </c>
      <c r="P10" s="4">
        <v>70</v>
      </c>
      <c r="Q10" s="4">
        <v>15</v>
      </c>
    </row>
    <row r="11" spans="1:17" x14ac:dyDescent="0.2">
      <c r="A11" t="s">
        <v>17</v>
      </c>
      <c r="B11" t="s">
        <v>41</v>
      </c>
      <c r="C11" t="s">
        <v>58</v>
      </c>
      <c r="D11">
        <v>0</v>
      </c>
      <c r="E11">
        <v>1</v>
      </c>
      <c r="F11">
        <v>1</v>
      </c>
      <c r="G11" t="s">
        <v>25</v>
      </c>
      <c r="H11">
        <v>16.3</v>
      </c>
      <c r="I11">
        <v>0</v>
      </c>
      <c r="J11">
        <v>0</v>
      </c>
      <c r="K11">
        <v>0</v>
      </c>
      <c r="L11" t="s">
        <v>27</v>
      </c>
      <c r="M11">
        <v>1.5</v>
      </c>
      <c r="N11" t="s">
        <v>28</v>
      </c>
      <c r="O11">
        <v>400</v>
      </c>
      <c r="P11">
        <v>70</v>
      </c>
      <c r="Q11">
        <v>15</v>
      </c>
    </row>
    <row r="12" spans="1:17" x14ac:dyDescent="0.2">
      <c r="A12" t="s">
        <v>17</v>
      </c>
      <c r="B12" t="s">
        <v>41</v>
      </c>
      <c r="C12" t="s">
        <v>58</v>
      </c>
      <c r="D12">
        <v>14</v>
      </c>
      <c r="E12">
        <v>1</v>
      </c>
      <c r="F12">
        <v>1</v>
      </c>
      <c r="G12" t="s">
        <v>25</v>
      </c>
      <c r="H12">
        <v>39</v>
      </c>
      <c r="I12">
        <v>0</v>
      </c>
      <c r="J12">
        <v>0</v>
      </c>
      <c r="K12">
        <v>0</v>
      </c>
      <c r="L12" t="s">
        <v>12</v>
      </c>
      <c r="M12">
        <v>1.5</v>
      </c>
      <c r="N12" t="s">
        <v>28</v>
      </c>
      <c r="O12">
        <v>400</v>
      </c>
      <c r="P12">
        <v>70</v>
      </c>
      <c r="Q12">
        <v>15</v>
      </c>
    </row>
    <row r="13" spans="1:17" x14ac:dyDescent="0.2">
      <c r="A13" t="s">
        <v>17</v>
      </c>
      <c r="B13" t="s">
        <v>41</v>
      </c>
      <c r="C13" t="s">
        <v>58</v>
      </c>
      <c r="D13">
        <v>28</v>
      </c>
      <c r="E13">
        <v>1</v>
      </c>
      <c r="F13">
        <v>1</v>
      </c>
      <c r="G13" t="s">
        <v>25</v>
      </c>
      <c r="H13">
        <v>99</v>
      </c>
      <c r="I13">
        <v>0</v>
      </c>
      <c r="J13">
        <v>0</v>
      </c>
      <c r="K13">
        <v>0</v>
      </c>
      <c r="L13" t="s">
        <v>27</v>
      </c>
      <c r="M13">
        <v>1.5</v>
      </c>
      <c r="N13" t="s">
        <v>28</v>
      </c>
      <c r="O13">
        <v>400</v>
      </c>
      <c r="P13">
        <v>70</v>
      </c>
      <c r="Q13">
        <v>15</v>
      </c>
    </row>
    <row r="14" spans="1:17" x14ac:dyDescent="0.2">
      <c r="A14" t="s">
        <v>17</v>
      </c>
      <c r="B14" t="s">
        <v>41</v>
      </c>
      <c r="C14" t="s">
        <v>58</v>
      </c>
      <c r="D14">
        <v>42</v>
      </c>
      <c r="E14">
        <v>1</v>
      </c>
      <c r="F14">
        <v>1</v>
      </c>
      <c r="G14" t="s">
        <v>25</v>
      </c>
      <c r="H14">
        <v>179</v>
      </c>
      <c r="I14">
        <v>0</v>
      </c>
      <c r="J14">
        <v>0</v>
      </c>
      <c r="K14">
        <v>0</v>
      </c>
      <c r="L14" t="s">
        <v>12</v>
      </c>
      <c r="M14">
        <v>1.5</v>
      </c>
      <c r="N14" t="s">
        <v>28</v>
      </c>
      <c r="O14">
        <v>400</v>
      </c>
      <c r="P14">
        <v>70</v>
      </c>
      <c r="Q14">
        <v>15</v>
      </c>
    </row>
    <row r="15" spans="1:17" x14ac:dyDescent="0.2">
      <c r="A15" t="s">
        <v>17</v>
      </c>
      <c r="B15" t="s">
        <v>41</v>
      </c>
      <c r="C15" t="s">
        <v>58</v>
      </c>
      <c r="D15">
        <v>56</v>
      </c>
      <c r="E15">
        <v>1</v>
      </c>
      <c r="F15">
        <v>1</v>
      </c>
      <c r="G15" t="s">
        <v>25</v>
      </c>
      <c r="H15">
        <v>343</v>
      </c>
      <c r="I15">
        <v>0</v>
      </c>
      <c r="J15">
        <v>0</v>
      </c>
      <c r="K15">
        <v>0</v>
      </c>
      <c r="L15" t="s">
        <v>27</v>
      </c>
      <c r="M15">
        <v>1.5</v>
      </c>
      <c r="N15" t="s">
        <v>28</v>
      </c>
      <c r="O15">
        <v>400</v>
      </c>
      <c r="P15">
        <v>70</v>
      </c>
      <c r="Q15">
        <v>15</v>
      </c>
    </row>
    <row r="16" spans="1:17" x14ac:dyDescent="0.2">
      <c r="A16" t="s">
        <v>17</v>
      </c>
      <c r="B16" t="s">
        <v>41</v>
      </c>
      <c r="C16" t="s">
        <v>58</v>
      </c>
      <c r="D16">
        <v>70</v>
      </c>
      <c r="E16">
        <v>1</v>
      </c>
      <c r="F16">
        <v>1</v>
      </c>
      <c r="G16" t="s">
        <v>25</v>
      </c>
      <c r="H16">
        <v>397</v>
      </c>
      <c r="I16">
        <v>0</v>
      </c>
      <c r="J16">
        <v>0</v>
      </c>
      <c r="K16">
        <v>0</v>
      </c>
      <c r="L16" t="s">
        <v>12</v>
      </c>
      <c r="M16">
        <v>1.5</v>
      </c>
      <c r="N16" t="s">
        <v>28</v>
      </c>
      <c r="O16">
        <v>400</v>
      </c>
      <c r="P16">
        <v>70</v>
      </c>
      <c r="Q16">
        <v>15</v>
      </c>
    </row>
    <row r="17" spans="1:17" x14ac:dyDescent="0.2">
      <c r="A17" t="s">
        <v>17</v>
      </c>
      <c r="B17" t="s">
        <v>41</v>
      </c>
      <c r="C17" t="s">
        <v>58</v>
      </c>
      <c r="D17">
        <v>84</v>
      </c>
      <c r="E17">
        <v>1</v>
      </c>
      <c r="F17">
        <v>1</v>
      </c>
      <c r="G17" t="s">
        <v>25</v>
      </c>
      <c r="H17">
        <v>555</v>
      </c>
      <c r="I17">
        <v>0</v>
      </c>
      <c r="J17">
        <v>0</v>
      </c>
      <c r="K17">
        <v>0</v>
      </c>
      <c r="L17" t="s">
        <v>27</v>
      </c>
      <c r="M17">
        <v>1.5</v>
      </c>
      <c r="N17" t="s">
        <v>28</v>
      </c>
      <c r="O17">
        <v>400</v>
      </c>
      <c r="P17">
        <v>70</v>
      </c>
      <c r="Q17">
        <v>15</v>
      </c>
    </row>
    <row r="18" spans="1:17" x14ac:dyDescent="0.2">
      <c r="A18" t="s">
        <v>17</v>
      </c>
      <c r="B18" t="s">
        <v>41</v>
      </c>
      <c r="C18" t="s">
        <v>58</v>
      </c>
      <c r="D18">
        <v>98</v>
      </c>
      <c r="E18">
        <v>1</v>
      </c>
      <c r="F18">
        <v>1</v>
      </c>
      <c r="G18" t="s">
        <v>25</v>
      </c>
      <c r="H18">
        <v>664</v>
      </c>
      <c r="I18">
        <v>0</v>
      </c>
      <c r="J18">
        <v>0</v>
      </c>
      <c r="K18">
        <v>0</v>
      </c>
      <c r="L18" t="s">
        <v>12</v>
      </c>
      <c r="M18">
        <v>1.5</v>
      </c>
      <c r="N18" t="s">
        <v>28</v>
      </c>
      <c r="O18">
        <v>400</v>
      </c>
      <c r="P18">
        <v>70</v>
      </c>
      <c r="Q18">
        <v>15</v>
      </c>
    </row>
    <row r="19" spans="1:17" s="4" customFormat="1" x14ac:dyDescent="0.2">
      <c r="A19" s="4" t="s">
        <v>17</v>
      </c>
      <c r="B19" s="4" t="s">
        <v>41</v>
      </c>
      <c r="C19" s="4" t="s">
        <v>58</v>
      </c>
      <c r="D19" s="4">
        <v>105</v>
      </c>
      <c r="E19" s="4">
        <v>1</v>
      </c>
      <c r="F19" s="4">
        <v>1</v>
      </c>
      <c r="G19" s="4" t="s">
        <v>26</v>
      </c>
      <c r="H19" s="4">
        <v>740</v>
      </c>
      <c r="I19" s="4">
        <v>0</v>
      </c>
      <c r="J19" s="4">
        <v>0</v>
      </c>
      <c r="K19" s="4">
        <v>0</v>
      </c>
      <c r="L19" s="4" t="s">
        <v>27</v>
      </c>
      <c r="M19" s="4">
        <v>1.5</v>
      </c>
      <c r="N19" s="4" t="s">
        <v>28</v>
      </c>
      <c r="O19" s="4">
        <v>400</v>
      </c>
      <c r="P19" s="4">
        <v>70</v>
      </c>
      <c r="Q19" s="4">
        <v>15</v>
      </c>
    </row>
    <row r="20" spans="1:17" x14ac:dyDescent="0.2">
      <c r="A20" t="s">
        <v>17</v>
      </c>
      <c r="B20" t="s">
        <v>41</v>
      </c>
      <c r="C20" t="s">
        <v>59</v>
      </c>
      <c r="D20">
        <v>0</v>
      </c>
      <c r="E20">
        <v>1</v>
      </c>
      <c r="F20">
        <v>1</v>
      </c>
      <c r="G20" t="s">
        <v>25</v>
      </c>
      <c r="H20">
        <v>10</v>
      </c>
      <c r="I20">
        <v>0</v>
      </c>
      <c r="J20">
        <v>0</v>
      </c>
      <c r="K20">
        <v>0</v>
      </c>
      <c r="L20" t="s">
        <v>27</v>
      </c>
      <c r="M20">
        <v>1.5</v>
      </c>
      <c r="N20" t="s">
        <v>28</v>
      </c>
      <c r="O20">
        <v>400</v>
      </c>
      <c r="P20">
        <v>70</v>
      </c>
      <c r="Q20">
        <v>15</v>
      </c>
    </row>
    <row r="21" spans="1:17" x14ac:dyDescent="0.2">
      <c r="A21" t="s">
        <v>17</v>
      </c>
      <c r="B21" t="s">
        <v>41</v>
      </c>
      <c r="C21" t="s">
        <v>59</v>
      </c>
      <c r="D21">
        <v>14</v>
      </c>
      <c r="E21">
        <v>1</v>
      </c>
      <c r="F21">
        <v>1</v>
      </c>
      <c r="G21" t="s">
        <v>25</v>
      </c>
      <c r="H21">
        <v>25.5</v>
      </c>
      <c r="I21">
        <v>0</v>
      </c>
      <c r="J21">
        <v>0</v>
      </c>
      <c r="K21">
        <v>0</v>
      </c>
      <c r="L21" t="s">
        <v>12</v>
      </c>
      <c r="M21">
        <v>1.5</v>
      </c>
      <c r="N21" t="s">
        <v>28</v>
      </c>
      <c r="O21">
        <v>400</v>
      </c>
      <c r="P21">
        <v>70</v>
      </c>
      <c r="Q21">
        <v>15</v>
      </c>
    </row>
    <row r="22" spans="1:17" x14ac:dyDescent="0.2">
      <c r="A22" t="s">
        <v>17</v>
      </c>
      <c r="B22" t="s">
        <v>41</v>
      </c>
      <c r="C22" t="s">
        <v>59</v>
      </c>
      <c r="D22">
        <v>28</v>
      </c>
      <c r="E22">
        <v>1</v>
      </c>
      <c r="F22">
        <v>1</v>
      </c>
      <c r="G22" t="s">
        <v>25</v>
      </c>
      <c r="H22">
        <v>77</v>
      </c>
      <c r="I22">
        <v>0</v>
      </c>
      <c r="J22">
        <v>0</v>
      </c>
      <c r="K22">
        <v>0</v>
      </c>
      <c r="L22" t="s">
        <v>27</v>
      </c>
      <c r="M22">
        <v>1.5</v>
      </c>
      <c r="N22" t="s">
        <v>28</v>
      </c>
      <c r="O22">
        <v>400</v>
      </c>
      <c r="P22">
        <v>70</v>
      </c>
      <c r="Q22">
        <v>15</v>
      </c>
    </row>
    <row r="23" spans="1:17" x14ac:dyDescent="0.2">
      <c r="A23" t="s">
        <v>17</v>
      </c>
      <c r="B23" t="s">
        <v>41</v>
      </c>
      <c r="C23" t="s">
        <v>59</v>
      </c>
      <c r="D23">
        <v>42</v>
      </c>
      <c r="E23">
        <v>1</v>
      </c>
      <c r="F23">
        <v>1</v>
      </c>
      <c r="G23" t="s">
        <v>25</v>
      </c>
      <c r="H23">
        <v>99</v>
      </c>
      <c r="I23">
        <v>0</v>
      </c>
      <c r="J23">
        <v>0</v>
      </c>
      <c r="K23">
        <v>0</v>
      </c>
      <c r="L23" t="s">
        <v>12</v>
      </c>
      <c r="M23">
        <v>1.5</v>
      </c>
      <c r="N23" t="s">
        <v>28</v>
      </c>
      <c r="O23">
        <v>400</v>
      </c>
      <c r="P23">
        <v>70</v>
      </c>
      <c r="Q23">
        <v>15</v>
      </c>
    </row>
    <row r="24" spans="1:17" x14ac:dyDescent="0.2">
      <c r="A24" t="s">
        <v>17</v>
      </c>
      <c r="B24" t="s">
        <v>41</v>
      </c>
      <c r="C24" t="s">
        <v>59</v>
      </c>
      <c r="D24">
        <v>56</v>
      </c>
      <c r="E24">
        <v>1</v>
      </c>
      <c r="F24">
        <v>1</v>
      </c>
      <c r="G24" t="s">
        <v>25</v>
      </c>
      <c r="H24">
        <v>244</v>
      </c>
      <c r="I24">
        <v>0</v>
      </c>
      <c r="J24">
        <v>0</v>
      </c>
      <c r="K24">
        <v>0</v>
      </c>
      <c r="L24" t="s">
        <v>27</v>
      </c>
      <c r="M24">
        <v>1.5</v>
      </c>
      <c r="N24" t="s">
        <v>28</v>
      </c>
      <c r="O24">
        <v>400</v>
      </c>
      <c r="P24">
        <v>70</v>
      </c>
      <c r="Q24">
        <v>15</v>
      </c>
    </row>
    <row r="25" spans="1:17" x14ac:dyDescent="0.2">
      <c r="A25" t="s">
        <v>17</v>
      </c>
      <c r="B25" t="s">
        <v>41</v>
      </c>
      <c r="C25" t="s">
        <v>59</v>
      </c>
      <c r="D25">
        <v>70</v>
      </c>
      <c r="E25">
        <v>1</v>
      </c>
      <c r="F25">
        <v>1</v>
      </c>
      <c r="G25" t="s">
        <v>25</v>
      </c>
      <c r="H25">
        <v>302.5</v>
      </c>
      <c r="I25">
        <v>0</v>
      </c>
      <c r="J25">
        <v>0</v>
      </c>
      <c r="K25">
        <v>0</v>
      </c>
      <c r="L25" t="s">
        <v>12</v>
      </c>
      <c r="M25">
        <v>1.5</v>
      </c>
      <c r="N25" t="s">
        <v>28</v>
      </c>
      <c r="O25">
        <v>400</v>
      </c>
      <c r="P25">
        <v>70</v>
      </c>
      <c r="Q25">
        <v>15</v>
      </c>
    </row>
    <row r="26" spans="1:17" x14ac:dyDescent="0.2">
      <c r="A26" t="s">
        <v>17</v>
      </c>
      <c r="B26" t="s">
        <v>41</v>
      </c>
      <c r="C26" t="s">
        <v>59</v>
      </c>
      <c r="D26">
        <v>84</v>
      </c>
      <c r="E26">
        <v>1</v>
      </c>
      <c r="F26">
        <v>1</v>
      </c>
      <c r="G26" t="s">
        <v>25</v>
      </c>
      <c r="H26">
        <v>413</v>
      </c>
      <c r="I26">
        <v>0</v>
      </c>
      <c r="J26">
        <v>0</v>
      </c>
      <c r="K26">
        <v>0</v>
      </c>
      <c r="L26" t="s">
        <v>27</v>
      </c>
      <c r="M26">
        <v>1.5</v>
      </c>
      <c r="N26" t="s">
        <v>28</v>
      </c>
      <c r="O26">
        <v>400</v>
      </c>
      <c r="P26">
        <v>70</v>
      </c>
      <c r="Q26">
        <v>15</v>
      </c>
    </row>
    <row r="27" spans="1:17" x14ac:dyDescent="0.2">
      <c r="A27" t="s">
        <v>17</v>
      </c>
      <c r="B27" t="s">
        <v>41</v>
      </c>
      <c r="C27" t="s">
        <v>59</v>
      </c>
      <c r="D27">
        <v>98</v>
      </c>
      <c r="E27">
        <v>1</v>
      </c>
      <c r="F27">
        <v>1</v>
      </c>
      <c r="G27" t="s">
        <v>25</v>
      </c>
      <c r="H27">
        <v>548</v>
      </c>
      <c r="I27">
        <v>0</v>
      </c>
      <c r="J27">
        <v>0</v>
      </c>
      <c r="K27">
        <v>0</v>
      </c>
      <c r="L27" t="s">
        <v>12</v>
      </c>
      <c r="M27">
        <v>1.5</v>
      </c>
      <c r="N27" t="s">
        <v>28</v>
      </c>
      <c r="O27">
        <v>400</v>
      </c>
      <c r="P27">
        <v>70</v>
      </c>
      <c r="Q27">
        <v>15</v>
      </c>
    </row>
    <row r="28" spans="1:17" s="4" customFormat="1" x14ac:dyDescent="0.2">
      <c r="A28" s="4" t="s">
        <v>17</v>
      </c>
      <c r="B28" s="4" t="s">
        <v>41</v>
      </c>
      <c r="C28" s="4" t="s">
        <v>59</v>
      </c>
      <c r="D28" s="4">
        <v>105</v>
      </c>
      <c r="E28" s="4">
        <v>1</v>
      </c>
      <c r="F28" s="4">
        <v>1</v>
      </c>
      <c r="G28" s="4" t="s">
        <v>26</v>
      </c>
      <c r="H28" s="4">
        <v>597</v>
      </c>
      <c r="I28" s="4">
        <v>0</v>
      </c>
      <c r="J28" s="4">
        <v>0</v>
      </c>
      <c r="K28" s="4">
        <v>0</v>
      </c>
      <c r="L28" s="4" t="s">
        <v>27</v>
      </c>
      <c r="M28" s="4">
        <v>1.5</v>
      </c>
      <c r="N28" s="4" t="s">
        <v>28</v>
      </c>
      <c r="O28" s="4">
        <v>400</v>
      </c>
      <c r="P28" s="4">
        <v>70</v>
      </c>
      <c r="Q28" s="4">
        <v>15</v>
      </c>
    </row>
    <row r="29" spans="1:17" x14ac:dyDescent="0.2">
      <c r="A29" t="s">
        <v>17</v>
      </c>
      <c r="B29" t="s">
        <v>41</v>
      </c>
      <c r="C29" t="s">
        <v>60</v>
      </c>
      <c r="D29">
        <v>0</v>
      </c>
      <c r="E29">
        <v>1</v>
      </c>
      <c r="F29">
        <v>1</v>
      </c>
      <c r="G29" t="s">
        <v>25</v>
      </c>
      <c r="H29">
        <v>12.3</v>
      </c>
      <c r="I29">
        <v>0</v>
      </c>
      <c r="J29">
        <v>0</v>
      </c>
      <c r="K29">
        <v>0</v>
      </c>
      <c r="L29" t="s">
        <v>27</v>
      </c>
      <c r="M29">
        <v>1.5</v>
      </c>
      <c r="N29" t="s">
        <v>28</v>
      </c>
      <c r="O29">
        <v>400</v>
      </c>
      <c r="P29">
        <v>70</v>
      </c>
      <c r="Q29">
        <v>15</v>
      </c>
    </row>
    <row r="30" spans="1:17" x14ac:dyDescent="0.2">
      <c r="A30" t="s">
        <v>17</v>
      </c>
      <c r="B30" t="s">
        <v>41</v>
      </c>
      <c r="C30" t="s">
        <v>60</v>
      </c>
      <c r="D30">
        <v>14</v>
      </c>
      <c r="E30">
        <v>1</v>
      </c>
      <c r="F30">
        <v>1</v>
      </c>
      <c r="G30" t="s">
        <v>25</v>
      </c>
      <c r="H30">
        <v>26.7</v>
      </c>
      <c r="I30">
        <v>0</v>
      </c>
      <c r="J30">
        <v>0</v>
      </c>
      <c r="K30">
        <v>0</v>
      </c>
      <c r="L30" t="s">
        <v>12</v>
      </c>
      <c r="M30">
        <v>1.5</v>
      </c>
      <c r="N30" t="s">
        <v>28</v>
      </c>
      <c r="O30">
        <v>400</v>
      </c>
      <c r="P30">
        <v>70</v>
      </c>
      <c r="Q30">
        <v>15</v>
      </c>
    </row>
    <row r="31" spans="1:17" x14ac:dyDescent="0.2">
      <c r="A31" t="s">
        <v>17</v>
      </c>
      <c r="B31" t="s">
        <v>41</v>
      </c>
      <c r="C31" t="s">
        <v>60</v>
      </c>
      <c r="D31">
        <v>28</v>
      </c>
      <c r="E31">
        <v>1</v>
      </c>
      <c r="F31">
        <v>1</v>
      </c>
      <c r="G31" t="s">
        <v>25</v>
      </c>
      <c r="H31">
        <v>62.5</v>
      </c>
      <c r="I31">
        <v>0</v>
      </c>
      <c r="J31">
        <v>0</v>
      </c>
      <c r="K31">
        <v>0</v>
      </c>
      <c r="L31" t="s">
        <v>27</v>
      </c>
      <c r="M31">
        <v>1.5</v>
      </c>
      <c r="N31" t="s">
        <v>28</v>
      </c>
      <c r="O31">
        <v>400</v>
      </c>
      <c r="P31">
        <v>70</v>
      </c>
      <c r="Q31">
        <v>15</v>
      </c>
    </row>
    <row r="32" spans="1:17" x14ac:dyDescent="0.2">
      <c r="A32" t="s">
        <v>17</v>
      </c>
      <c r="B32" t="s">
        <v>41</v>
      </c>
      <c r="C32" t="s">
        <v>60</v>
      </c>
      <c r="D32">
        <v>42</v>
      </c>
      <c r="E32">
        <v>1</v>
      </c>
      <c r="F32">
        <v>1</v>
      </c>
      <c r="G32" t="s">
        <v>25</v>
      </c>
      <c r="H32">
        <v>92</v>
      </c>
      <c r="I32">
        <v>0</v>
      </c>
      <c r="J32">
        <v>0</v>
      </c>
      <c r="K32">
        <v>0</v>
      </c>
      <c r="L32" t="s">
        <v>12</v>
      </c>
      <c r="M32">
        <v>1.5</v>
      </c>
      <c r="N32" t="s">
        <v>28</v>
      </c>
      <c r="O32">
        <v>400</v>
      </c>
      <c r="P32">
        <v>70</v>
      </c>
      <c r="Q32">
        <v>15</v>
      </c>
    </row>
    <row r="33" spans="1:17" x14ac:dyDescent="0.2">
      <c r="A33" t="s">
        <v>17</v>
      </c>
      <c r="B33" t="s">
        <v>41</v>
      </c>
      <c r="C33" t="s">
        <v>60</v>
      </c>
      <c r="D33">
        <v>56</v>
      </c>
      <c r="E33">
        <v>1</v>
      </c>
      <c r="F33">
        <v>1</v>
      </c>
      <c r="G33" t="s">
        <v>25</v>
      </c>
      <c r="H33">
        <v>214</v>
      </c>
      <c r="I33">
        <v>0</v>
      </c>
      <c r="J33">
        <v>0</v>
      </c>
      <c r="K33">
        <v>0</v>
      </c>
      <c r="L33" t="s">
        <v>27</v>
      </c>
      <c r="M33">
        <v>1.5</v>
      </c>
      <c r="N33" t="s">
        <v>28</v>
      </c>
      <c r="O33">
        <v>400</v>
      </c>
      <c r="P33">
        <v>70</v>
      </c>
      <c r="Q33">
        <v>15</v>
      </c>
    </row>
    <row r="34" spans="1:17" x14ac:dyDescent="0.2">
      <c r="A34" t="s">
        <v>17</v>
      </c>
      <c r="B34" t="s">
        <v>41</v>
      </c>
      <c r="C34" t="s">
        <v>60</v>
      </c>
      <c r="D34">
        <v>70</v>
      </c>
      <c r="E34">
        <v>1</v>
      </c>
      <c r="F34">
        <v>1</v>
      </c>
      <c r="G34" t="s">
        <v>25</v>
      </c>
      <c r="H34">
        <v>248</v>
      </c>
      <c r="I34">
        <v>0</v>
      </c>
      <c r="J34">
        <v>0</v>
      </c>
      <c r="K34">
        <v>0</v>
      </c>
      <c r="L34" t="s">
        <v>12</v>
      </c>
      <c r="M34">
        <v>1.5</v>
      </c>
      <c r="N34" t="s">
        <v>28</v>
      </c>
      <c r="O34">
        <v>400</v>
      </c>
      <c r="P34">
        <v>70</v>
      </c>
      <c r="Q34">
        <v>15</v>
      </c>
    </row>
    <row r="35" spans="1:17" x14ac:dyDescent="0.2">
      <c r="A35" t="s">
        <v>17</v>
      </c>
      <c r="B35" t="s">
        <v>41</v>
      </c>
      <c r="C35" t="s">
        <v>60</v>
      </c>
      <c r="D35">
        <v>84</v>
      </c>
      <c r="E35">
        <v>1</v>
      </c>
      <c r="F35">
        <v>1</v>
      </c>
      <c r="G35" t="s">
        <v>25</v>
      </c>
      <c r="H35">
        <v>388</v>
      </c>
      <c r="I35">
        <v>0</v>
      </c>
      <c r="J35">
        <v>0</v>
      </c>
      <c r="K35">
        <v>0</v>
      </c>
      <c r="L35" t="s">
        <v>27</v>
      </c>
      <c r="M35">
        <v>1.5</v>
      </c>
      <c r="N35" t="s">
        <v>28</v>
      </c>
      <c r="O35">
        <v>400</v>
      </c>
      <c r="P35">
        <v>70</v>
      </c>
      <c r="Q35">
        <v>15</v>
      </c>
    </row>
    <row r="36" spans="1:17" x14ac:dyDescent="0.2">
      <c r="A36" t="s">
        <v>17</v>
      </c>
      <c r="B36" t="s">
        <v>41</v>
      </c>
      <c r="C36" t="s">
        <v>60</v>
      </c>
      <c r="D36">
        <v>98</v>
      </c>
      <c r="E36">
        <v>1</v>
      </c>
      <c r="F36">
        <v>1</v>
      </c>
      <c r="G36" t="s">
        <v>25</v>
      </c>
      <c r="H36">
        <v>482</v>
      </c>
      <c r="I36">
        <v>0</v>
      </c>
      <c r="J36">
        <v>0</v>
      </c>
      <c r="K36">
        <v>0</v>
      </c>
      <c r="L36" t="s">
        <v>12</v>
      </c>
      <c r="M36">
        <v>1.5</v>
      </c>
      <c r="N36" t="s">
        <v>28</v>
      </c>
      <c r="O36">
        <v>400</v>
      </c>
      <c r="P36">
        <v>70</v>
      </c>
      <c r="Q36">
        <v>15</v>
      </c>
    </row>
    <row r="37" spans="1:17" s="4" customFormat="1" x14ac:dyDescent="0.2">
      <c r="A37" s="4" t="s">
        <v>17</v>
      </c>
      <c r="B37" s="4" t="s">
        <v>41</v>
      </c>
      <c r="C37" s="4" t="s">
        <v>60</v>
      </c>
      <c r="D37" s="4">
        <v>105</v>
      </c>
      <c r="E37" s="4">
        <v>1</v>
      </c>
      <c r="F37" s="4">
        <v>1</v>
      </c>
      <c r="G37" s="4" t="s">
        <v>25</v>
      </c>
      <c r="H37" s="4">
        <v>532</v>
      </c>
      <c r="I37" s="4">
        <v>0</v>
      </c>
      <c r="J37" s="4">
        <v>0</v>
      </c>
      <c r="K37" s="4">
        <v>0</v>
      </c>
      <c r="L37" s="4" t="s">
        <v>27</v>
      </c>
      <c r="M37" s="4">
        <v>1.5</v>
      </c>
      <c r="N37" s="4" t="s">
        <v>28</v>
      </c>
      <c r="O37" s="4">
        <v>400</v>
      </c>
      <c r="P37" s="4">
        <v>70</v>
      </c>
      <c r="Q37" s="4">
        <v>15</v>
      </c>
    </row>
    <row r="38" spans="1:17" x14ac:dyDescent="0.2">
      <c r="A38" t="s">
        <v>17</v>
      </c>
      <c r="B38" t="s">
        <v>41</v>
      </c>
      <c r="C38" t="s">
        <v>61</v>
      </c>
      <c r="D38">
        <v>0</v>
      </c>
      <c r="E38">
        <v>1</v>
      </c>
      <c r="F38">
        <v>1</v>
      </c>
      <c r="G38" t="s">
        <v>25</v>
      </c>
      <c r="H38">
        <v>8.3000000000000007</v>
      </c>
      <c r="I38">
        <v>0</v>
      </c>
      <c r="J38">
        <v>0</v>
      </c>
      <c r="K38">
        <v>0</v>
      </c>
      <c r="L38" t="s">
        <v>12</v>
      </c>
      <c r="M38">
        <v>1.5</v>
      </c>
      <c r="N38" t="s">
        <v>28</v>
      </c>
      <c r="O38">
        <v>400</v>
      </c>
      <c r="P38">
        <v>70</v>
      </c>
      <c r="Q38">
        <v>15</v>
      </c>
    </row>
    <row r="39" spans="1:17" x14ac:dyDescent="0.2">
      <c r="A39" t="s">
        <v>17</v>
      </c>
      <c r="B39" t="s">
        <v>41</v>
      </c>
      <c r="C39" t="s">
        <v>61</v>
      </c>
      <c r="D39">
        <v>14</v>
      </c>
      <c r="E39">
        <v>1</v>
      </c>
      <c r="F39">
        <v>1</v>
      </c>
      <c r="G39" t="s">
        <v>25</v>
      </c>
      <c r="H39">
        <v>20.8</v>
      </c>
      <c r="I39">
        <v>0</v>
      </c>
      <c r="J39">
        <v>0</v>
      </c>
      <c r="K39">
        <v>0</v>
      </c>
      <c r="L39" t="s">
        <v>27</v>
      </c>
      <c r="M39">
        <v>1.5</v>
      </c>
      <c r="N39" t="s">
        <v>28</v>
      </c>
      <c r="O39">
        <v>400</v>
      </c>
      <c r="P39">
        <v>70</v>
      </c>
      <c r="Q39">
        <v>15</v>
      </c>
    </row>
    <row r="40" spans="1:17" x14ac:dyDescent="0.2">
      <c r="A40" t="s">
        <v>17</v>
      </c>
      <c r="B40" t="s">
        <v>41</v>
      </c>
      <c r="C40" t="s">
        <v>61</v>
      </c>
      <c r="D40">
        <v>28</v>
      </c>
      <c r="E40">
        <v>1</v>
      </c>
      <c r="F40">
        <v>1</v>
      </c>
      <c r="G40" t="s">
        <v>25</v>
      </c>
      <c r="H40">
        <v>58</v>
      </c>
      <c r="I40">
        <v>0</v>
      </c>
      <c r="J40">
        <v>0</v>
      </c>
      <c r="K40">
        <v>0</v>
      </c>
      <c r="L40" t="s">
        <v>12</v>
      </c>
      <c r="M40">
        <v>1.5</v>
      </c>
      <c r="N40" t="s">
        <v>28</v>
      </c>
      <c r="O40">
        <v>400</v>
      </c>
      <c r="P40">
        <v>70</v>
      </c>
      <c r="Q40">
        <v>15</v>
      </c>
    </row>
    <row r="41" spans="1:17" x14ac:dyDescent="0.2">
      <c r="A41" t="s">
        <v>17</v>
      </c>
      <c r="B41" t="s">
        <v>41</v>
      </c>
      <c r="C41" t="s">
        <v>61</v>
      </c>
      <c r="D41">
        <v>42</v>
      </c>
      <c r="E41">
        <v>1</v>
      </c>
      <c r="F41">
        <v>1</v>
      </c>
      <c r="G41" t="s">
        <v>25</v>
      </c>
      <c r="H41">
        <v>102.6</v>
      </c>
      <c r="I41">
        <v>0</v>
      </c>
      <c r="J41">
        <v>0</v>
      </c>
      <c r="K41">
        <v>0</v>
      </c>
      <c r="L41" t="s">
        <v>27</v>
      </c>
      <c r="M41">
        <v>1.5</v>
      </c>
      <c r="N41" t="s">
        <v>28</v>
      </c>
      <c r="O41">
        <v>400</v>
      </c>
      <c r="P41">
        <v>70</v>
      </c>
      <c r="Q41">
        <v>15</v>
      </c>
    </row>
    <row r="42" spans="1:17" x14ac:dyDescent="0.2">
      <c r="A42" t="s">
        <v>17</v>
      </c>
      <c r="B42" t="s">
        <v>41</v>
      </c>
      <c r="C42" t="s">
        <v>61</v>
      </c>
      <c r="D42">
        <v>56</v>
      </c>
      <c r="E42">
        <v>1</v>
      </c>
      <c r="F42">
        <v>1</v>
      </c>
      <c r="G42" t="s">
        <v>25</v>
      </c>
      <c r="H42">
        <v>263</v>
      </c>
      <c r="I42">
        <v>0</v>
      </c>
      <c r="J42">
        <v>0</v>
      </c>
      <c r="K42">
        <v>0</v>
      </c>
      <c r="L42" t="s">
        <v>12</v>
      </c>
      <c r="M42">
        <v>1.5</v>
      </c>
      <c r="N42" t="s">
        <v>28</v>
      </c>
      <c r="O42">
        <v>400</v>
      </c>
      <c r="P42">
        <v>70</v>
      </c>
      <c r="Q42">
        <v>15</v>
      </c>
    </row>
    <row r="43" spans="1:17" x14ac:dyDescent="0.2">
      <c r="A43" t="s">
        <v>17</v>
      </c>
      <c r="B43" t="s">
        <v>41</v>
      </c>
      <c r="C43" t="s">
        <v>61</v>
      </c>
      <c r="D43">
        <v>70</v>
      </c>
      <c r="E43">
        <v>1</v>
      </c>
      <c r="F43">
        <v>1</v>
      </c>
      <c r="G43" t="s">
        <v>25</v>
      </c>
      <c r="H43">
        <v>324</v>
      </c>
      <c r="I43">
        <v>0</v>
      </c>
      <c r="J43">
        <v>0</v>
      </c>
      <c r="K43">
        <v>0</v>
      </c>
      <c r="L43" t="s">
        <v>27</v>
      </c>
      <c r="M43">
        <v>1.5</v>
      </c>
      <c r="N43" t="s">
        <v>28</v>
      </c>
      <c r="O43">
        <v>400</v>
      </c>
      <c r="P43">
        <v>70</v>
      </c>
      <c r="Q43">
        <v>15</v>
      </c>
    </row>
    <row r="44" spans="1:17" x14ac:dyDescent="0.2">
      <c r="A44" t="s">
        <v>17</v>
      </c>
      <c r="B44" t="s">
        <v>41</v>
      </c>
      <c r="C44" t="s">
        <v>61</v>
      </c>
      <c r="D44">
        <v>84</v>
      </c>
      <c r="E44">
        <v>1</v>
      </c>
      <c r="F44">
        <v>1</v>
      </c>
      <c r="G44" t="s">
        <v>25</v>
      </c>
      <c r="H44">
        <v>461</v>
      </c>
      <c r="I44">
        <v>0</v>
      </c>
      <c r="J44">
        <v>0</v>
      </c>
      <c r="K44">
        <v>0</v>
      </c>
      <c r="L44" t="s">
        <v>12</v>
      </c>
      <c r="M44">
        <v>1.5</v>
      </c>
      <c r="N44" t="s">
        <v>28</v>
      </c>
      <c r="O44">
        <v>400</v>
      </c>
      <c r="P44">
        <v>70</v>
      </c>
      <c r="Q44">
        <v>15</v>
      </c>
    </row>
    <row r="45" spans="1:17" x14ac:dyDescent="0.2">
      <c r="A45" t="s">
        <v>17</v>
      </c>
      <c r="B45" t="s">
        <v>41</v>
      </c>
      <c r="C45" t="s">
        <v>61</v>
      </c>
      <c r="D45">
        <v>98</v>
      </c>
      <c r="E45">
        <v>1</v>
      </c>
      <c r="F45">
        <v>1</v>
      </c>
      <c r="G45" t="s">
        <v>25</v>
      </c>
      <c r="H45">
        <v>508</v>
      </c>
      <c r="I45">
        <v>0</v>
      </c>
      <c r="J45">
        <v>0</v>
      </c>
      <c r="K45">
        <v>0</v>
      </c>
      <c r="L45" t="s">
        <v>27</v>
      </c>
      <c r="M45">
        <v>1.5</v>
      </c>
      <c r="N45" t="s">
        <v>28</v>
      </c>
      <c r="O45">
        <v>400</v>
      </c>
      <c r="P45">
        <v>70</v>
      </c>
      <c r="Q45">
        <v>15</v>
      </c>
    </row>
    <row r="46" spans="1:17" x14ac:dyDescent="0.2">
      <c r="A46" t="s">
        <v>17</v>
      </c>
      <c r="B46" t="s">
        <v>41</v>
      </c>
      <c r="C46" t="s">
        <v>61</v>
      </c>
      <c r="D46">
        <v>105</v>
      </c>
      <c r="E46">
        <v>1</v>
      </c>
      <c r="F46">
        <v>1</v>
      </c>
      <c r="G46" t="s">
        <v>26</v>
      </c>
      <c r="H46">
        <v>634</v>
      </c>
      <c r="I46">
        <v>0</v>
      </c>
      <c r="J46">
        <v>0</v>
      </c>
      <c r="K46">
        <v>0</v>
      </c>
      <c r="L46" t="s">
        <v>12</v>
      </c>
      <c r="M46">
        <v>1.5</v>
      </c>
      <c r="N46" t="s">
        <v>28</v>
      </c>
      <c r="O46">
        <v>400</v>
      </c>
      <c r="P46">
        <v>70</v>
      </c>
      <c r="Q46">
        <v>15</v>
      </c>
    </row>
  </sheetData>
  <phoneticPr fontId="2" type="noConversion"/>
  <conditionalFormatting sqref="G1">
    <cfRule type="cellIs" dxfId="63" priority="9" operator="equal">
      <formula>"J"</formula>
    </cfRule>
    <cfRule type="cellIs" dxfId="62" priority="10" operator="equal">
      <formula>"A"</formula>
    </cfRule>
  </conditionalFormatting>
  <conditionalFormatting sqref="G1">
    <cfRule type="cellIs" dxfId="61" priority="7" operator="equal">
      <formula>"J"</formula>
    </cfRule>
    <cfRule type="cellIs" dxfId="60" priority="8" operator="equal">
      <formula>"A"</formula>
    </cfRule>
  </conditionalFormatting>
  <conditionalFormatting sqref="G1">
    <cfRule type="cellIs" dxfId="59" priority="5" operator="equal">
      <formula>"A"</formula>
    </cfRule>
    <cfRule type="cellIs" dxfId="58" priority="6" operator="equal">
      <formula>"J"</formula>
    </cfRule>
  </conditionalFormatting>
  <conditionalFormatting sqref="G1">
    <cfRule type="cellIs" dxfId="57" priority="3" operator="equal">
      <formula>"J"</formula>
    </cfRule>
    <cfRule type="cellIs" dxfId="56" priority="4" operator="equal">
      <formula>"A"</formula>
    </cfRule>
  </conditionalFormatting>
  <conditionalFormatting sqref="G1:G1048576">
    <cfRule type="cellIs" dxfId="55" priority="1" operator="equal">
      <formula>"J"</formula>
    </cfRule>
    <cfRule type="cellIs" dxfId="54" priority="2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BC8A-6E62-324D-98FD-CEF8E6D4A18A}">
  <dimension ref="A1:Q316"/>
  <sheetViews>
    <sheetView workbookViewId="0">
      <pane ySplit="1" topLeftCell="A364" activePane="bottomLeft" state="frozen"/>
      <selection pane="bottomLeft" activeCell="L65" sqref="L65"/>
    </sheetView>
  </sheetViews>
  <sheetFormatPr baseColWidth="10" defaultRowHeight="16" x14ac:dyDescent="0.2"/>
  <cols>
    <col min="1" max="1" width="15.33203125" customWidth="1"/>
    <col min="2" max="2" width="12.5" customWidth="1"/>
  </cols>
  <sheetData>
    <row r="1" spans="1:17" s="11" customFormat="1" x14ac:dyDescent="0.2">
      <c r="A1" s="11" t="s">
        <v>0</v>
      </c>
      <c r="B1" s="11" t="s">
        <v>1</v>
      </c>
      <c r="C1" s="12" t="s">
        <v>3</v>
      </c>
      <c r="D1" s="13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9</v>
      </c>
      <c r="J1" s="11" t="s">
        <v>10</v>
      </c>
      <c r="K1" s="11" t="s">
        <v>8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">
      <c r="A2" t="s">
        <v>17</v>
      </c>
      <c r="B2" t="s">
        <v>62</v>
      </c>
      <c r="C2">
        <v>1</v>
      </c>
      <c r="D2">
        <v>0</v>
      </c>
      <c r="E2">
        <v>1</v>
      </c>
      <c r="F2">
        <v>1</v>
      </c>
      <c r="G2" t="s">
        <v>25</v>
      </c>
      <c r="H2" s="16">
        <v>15.8</v>
      </c>
      <c r="I2">
        <v>0</v>
      </c>
      <c r="J2">
        <v>0</v>
      </c>
      <c r="K2">
        <v>0</v>
      </c>
      <c r="L2" t="s">
        <v>27</v>
      </c>
      <c r="M2">
        <v>3</v>
      </c>
      <c r="N2" t="s">
        <v>28</v>
      </c>
      <c r="O2">
        <v>400</v>
      </c>
      <c r="P2">
        <v>70</v>
      </c>
      <c r="Q2">
        <v>15</v>
      </c>
    </row>
    <row r="3" spans="1:17" x14ac:dyDescent="0.2">
      <c r="A3" t="s">
        <v>17</v>
      </c>
      <c r="B3" t="s">
        <v>62</v>
      </c>
      <c r="C3">
        <v>1</v>
      </c>
      <c r="D3">
        <v>14</v>
      </c>
      <c r="E3">
        <v>1</v>
      </c>
      <c r="F3">
        <v>1</v>
      </c>
      <c r="G3" t="s">
        <v>25</v>
      </c>
      <c r="H3" s="16">
        <v>39.799999999999997</v>
      </c>
      <c r="I3">
        <v>0</v>
      </c>
      <c r="J3">
        <v>0</v>
      </c>
      <c r="K3">
        <v>0</v>
      </c>
      <c r="L3" t="s">
        <v>12</v>
      </c>
      <c r="M3">
        <v>3</v>
      </c>
      <c r="N3" t="s">
        <v>28</v>
      </c>
      <c r="O3">
        <v>400</v>
      </c>
      <c r="P3">
        <v>70</v>
      </c>
      <c r="Q3">
        <v>15</v>
      </c>
    </row>
    <row r="4" spans="1:17" x14ac:dyDescent="0.2">
      <c r="A4" t="s">
        <v>17</v>
      </c>
      <c r="B4" t="s">
        <v>62</v>
      </c>
      <c r="C4">
        <v>1</v>
      </c>
      <c r="D4">
        <v>28</v>
      </c>
      <c r="E4">
        <v>1</v>
      </c>
      <c r="F4">
        <v>1</v>
      </c>
      <c r="G4" t="s">
        <v>25</v>
      </c>
      <c r="H4" s="16">
        <v>113</v>
      </c>
      <c r="I4">
        <v>0</v>
      </c>
      <c r="J4">
        <v>0</v>
      </c>
      <c r="K4">
        <v>0</v>
      </c>
      <c r="L4" t="s">
        <v>27</v>
      </c>
      <c r="M4">
        <v>3</v>
      </c>
      <c r="N4" t="s">
        <v>28</v>
      </c>
      <c r="O4">
        <v>400</v>
      </c>
      <c r="P4">
        <v>70</v>
      </c>
      <c r="Q4">
        <v>15</v>
      </c>
    </row>
    <row r="5" spans="1:17" x14ac:dyDescent="0.2">
      <c r="A5" t="s">
        <v>17</v>
      </c>
      <c r="B5" t="s">
        <v>62</v>
      </c>
      <c r="C5">
        <v>1</v>
      </c>
      <c r="D5">
        <v>42</v>
      </c>
      <c r="E5">
        <v>1</v>
      </c>
      <c r="F5">
        <v>1</v>
      </c>
      <c r="G5" t="s">
        <v>25</v>
      </c>
      <c r="H5" s="16">
        <v>190.3</v>
      </c>
      <c r="I5">
        <v>0</v>
      </c>
      <c r="J5">
        <v>0</v>
      </c>
      <c r="K5">
        <v>0</v>
      </c>
      <c r="L5" t="s">
        <v>12</v>
      </c>
      <c r="M5">
        <v>3</v>
      </c>
      <c r="N5" t="s">
        <v>28</v>
      </c>
      <c r="O5">
        <v>400</v>
      </c>
      <c r="P5">
        <v>70</v>
      </c>
      <c r="Q5">
        <v>15</v>
      </c>
    </row>
    <row r="6" spans="1:17" x14ac:dyDescent="0.2">
      <c r="A6" t="s">
        <v>17</v>
      </c>
      <c r="B6" t="s">
        <v>62</v>
      </c>
      <c r="C6">
        <v>1</v>
      </c>
      <c r="D6">
        <v>56</v>
      </c>
      <c r="E6">
        <v>1</v>
      </c>
      <c r="F6">
        <v>1</v>
      </c>
      <c r="G6" t="s">
        <v>25</v>
      </c>
      <c r="H6" s="16">
        <v>361.2</v>
      </c>
      <c r="I6">
        <v>0</v>
      </c>
      <c r="J6">
        <v>0</v>
      </c>
      <c r="K6">
        <v>0</v>
      </c>
      <c r="L6" t="s">
        <v>27</v>
      </c>
      <c r="M6">
        <v>3</v>
      </c>
      <c r="N6" t="s">
        <v>28</v>
      </c>
      <c r="O6">
        <v>400</v>
      </c>
      <c r="P6">
        <v>70</v>
      </c>
      <c r="Q6">
        <v>15</v>
      </c>
    </row>
    <row r="7" spans="1:17" x14ac:dyDescent="0.2">
      <c r="A7" t="s">
        <v>17</v>
      </c>
      <c r="B7" t="s">
        <v>62</v>
      </c>
      <c r="C7">
        <v>1</v>
      </c>
      <c r="D7">
        <v>70</v>
      </c>
      <c r="E7">
        <v>1</v>
      </c>
      <c r="F7">
        <v>1</v>
      </c>
      <c r="G7" t="s">
        <v>25</v>
      </c>
      <c r="H7" s="16">
        <v>459.6</v>
      </c>
      <c r="I7">
        <v>0</v>
      </c>
      <c r="J7">
        <v>0</v>
      </c>
      <c r="K7">
        <v>0</v>
      </c>
      <c r="L7" t="s">
        <v>12</v>
      </c>
      <c r="M7">
        <v>3</v>
      </c>
      <c r="N7" t="s">
        <v>28</v>
      </c>
      <c r="O7">
        <v>400</v>
      </c>
      <c r="P7">
        <v>70</v>
      </c>
      <c r="Q7">
        <v>15</v>
      </c>
    </row>
    <row r="8" spans="1:17" x14ac:dyDescent="0.2">
      <c r="A8" t="s">
        <v>17</v>
      </c>
      <c r="B8" t="s">
        <v>62</v>
      </c>
      <c r="C8">
        <v>1</v>
      </c>
      <c r="D8">
        <v>77</v>
      </c>
      <c r="E8">
        <v>1</v>
      </c>
      <c r="F8">
        <v>1</v>
      </c>
      <c r="G8" t="s">
        <v>25</v>
      </c>
      <c r="H8" s="16">
        <v>650.5</v>
      </c>
      <c r="I8">
        <v>0</v>
      </c>
      <c r="J8">
        <v>0</v>
      </c>
      <c r="K8">
        <v>0</v>
      </c>
      <c r="L8" t="s">
        <v>80</v>
      </c>
      <c r="M8">
        <v>3</v>
      </c>
      <c r="N8" t="s">
        <v>28</v>
      </c>
      <c r="O8">
        <v>400</v>
      </c>
      <c r="P8">
        <v>70</v>
      </c>
      <c r="Q8">
        <v>15</v>
      </c>
    </row>
    <row r="9" spans="1:17" x14ac:dyDescent="0.2">
      <c r="A9" t="s">
        <v>17</v>
      </c>
      <c r="B9" t="s">
        <v>62</v>
      </c>
      <c r="C9">
        <v>1</v>
      </c>
      <c r="D9">
        <v>84</v>
      </c>
      <c r="E9">
        <v>1</v>
      </c>
      <c r="F9">
        <v>1</v>
      </c>
      <c r="G9" t="s">
        <v>25</v>
      </c>
      <c r="H9" s="16">
        <v>668</v>
      </c>
      <c r="I9">
        <v>0</v>
      </c>
      <c r="J9">
        <v>0</v>
      </c>
      <c r="K9">
        <v>0</v>
      </c>
      <c r="L9" t="s">
        <v>27</v>
      </c>
      <c r="M9">
        <v>3</v>
      </c>
      <c r="N9" t="s">
        <v>28</v>
      </c>
      <c r="O9">
        <v>400</v>
      </c>
      <c r="P9">
        <v>70</v>
      </c>
      <c r="Q9">
        <v>15</v>
      </c>
    </row>
    <row r="10" spans="1:17" s="4" customFormat="1" x14ac:dyDescent="0.2">
      <c r="A10" s="4" t="s">
        <v>17</v>
      </c>
      <c r="B10" s="4" t="s">
        <v>62</v>
      </c>
      <c r="C10" s="4">
        <v>1</v>
      </c>
      <c r="D10" s="4">
        <v>91</v>
      </c>
      <c r="E10" s="4">
        <v>1</v>
      </c>
      <c r="F10" s="4">
        <v>1</v>
      </c>
      <c r="G10" s="4" t="s">
        <v>26</v>
      </c>
      <c r="H10" s="17">
        <v>905</v>
      </c>
      <c r="I10" s="4">
        <v>0</v>
      </c>
      <c r="J10" s="4">
        <v>0</v>
      </c>
      <c r="K10" s="4">
        <v>0</v>
      </c>
      <c r="L10" s="4" t="s">
        <v>80</v>
      </c>
      <c r="M10" s="4">
        <v>3</v>
      </c>
      <c r="N10" s="4" t="s">
        <v>28</v>
      </c>
      <c r="O10" s="4">
        <v>400</v>
      </c>
      <c r="P10" s="4">
        <v>70</v>
      </c>
      <c r="Q10" s="4">
        <v>15</v>
      </c>
    </row>
    <row r="11" spans="1:17" x14ac:dyDescent="0.2">
      <c r="A11" t="s">
        <v>17</v>
      </c>
      <c r="B11" t="s">
        <v>62</v>
      </c>
      <c r="C11">
        <v>2</v>
      </c>
      <c r="D11">
        <v>0</v>
      </c>
      <c r="E11">
        <v>1</v>
      </c>
      <c r="F11">
        <v>1</v>
      </c>
      <c r="G11" t="s">
        <v>25</v>
      </c>
      <c r="H11" s="16">
        <v>13.18</v>
      </c>
      <c r="I11">
        <v>0</v>
      </c>
      <c r="J11">
        <v>0</v>
      </c>
      <c r="K11">
        <v>0</v>
      </c>
      <c r="L11" t="s">
        <v>27</v>
      </c>
      <c r="M11">
        <v>3</v>
      </c>
      <c r="N11" t="s">
        <v>28</v>
      </c>
      <c r="O11">
        <v>400</v>
      </c>
      <c r="P11">
        <v>70</v>
      </c>
      <c r="Q11">
        <v>15</v>
      </c>
    </row>
    <row r="12" spans="1:17" x14ac:dyDescent="0.2">
      <c r="A12" t="s">
        <v>17</v>
      </c>
      <c r="B12" t="s">
        <v>62</v>
      </c>
      <c r="C12">
        <v>2</v>
      </c>
      <c r="D12">
        <v>14</v>
      </c>
      <c r="E12">
        <v>1</v>
      </c>
      <c r="F12">
        <v>1</v>
      </c>
      <c r="G12" t="s">
        <v>25</v>
      </c>
      <c r="H12" s="16">
        <v>33</v>
      </c>
      <c r="I12">
        <v>0</v>
      </c>
      <c r="J12">
        <v>0</v>
      </c>
      <c r="K12">
        <v>0</v>
      </c>
      <c r="L12" t="s">
        <v>12</v>
      </c>
      <c r="M12">
        <v>3</v>
      </c>
      <c r="N12" t="s">
        <v>28</v>
      </c>
      <c r="O12">
        <v>400</v>
      </c>
      <c r="P12">
        <v>70</v>
      </c>
      <c r="Q12">
        <v>15</v>
      </c>
    </row>
    <row r="13" spans="1:17" x14ac:dyDescent="0.2">
      <c r="A13" t="s">
        <v>17</v>
      </c>
      <c r="B13" t="s">
        <v>62</v>
      </c>
      <c r="C13">
        <v>2</v>
      </c>
      <c r="D13">
        <v>28</v>
      </c>
      <c r="E13">
        <v>1</v>
      </c>
      <c r="F13">
        <v>1</v>
      </c>
      <c r="G13" t="s">
        <v>25</v>
      </c>
      <c r="H13" s="16">
        <v>106.5</v>
      </c>
      <c r="I13">
        <v>0</v>
      </c>
      <c r="J13">
        <v>0</v>
      </c>
      <c r="K13">
        <v>0</v>
      </c>
      <c r="L13" t="s">
        <v>27</v>
      </c>
      <c r="M13">
        <v>3</v>
      </c>
      <c r="N13" t="s">
        <v>28</v>
      </c>
      <c r="O13">
        <v>400</v>
      </c>
      <c r="P13">
        <v>70</v>
      </c>
      <c r="Q13">
        <v>15</v>
      </c>
    </row>
    <row r="14" spans="1:17" x14ac:dyDescent="0.2">
      <c r="A14" t="s">
        <v>17</v>
      </c>
      <c r="B14" t="s">
        <v>62</v>
      </c>
      <c r="C14">
        <v>2</v>
      </c>
      <c r="D14">
        <v>42</v>
      </c>
      <c r="E14">
        <v>1</v>
      </c>
      <c r="F14">
        <v>1</v>
      </c>
      <c r="G14" t="s">
        <v>25</v>
      </c>
      <c r="H14" s="16">
        <v>169.7</v>
      </c>
      <c r="I14">
        <v>0</v>
      </c>
      <c r="J14">
        <v>0</v>
      </c>
      <c r="K14">
        <v>0</v>
      </c>
      <c r="L14" t="s">
        <v>12</v>
      </c>
      <c r="M14">
        <v>3</v>
      </c>
      <c r="N14" t="s">
        <v>28</v>
      </c>
      <c r="O14">
        <v>400</v>
      </c>
      <c r="P14">
        <v>70</v>
      </c>
      <c r="Q14">
        <v>15</v>
      </c>
    </row>
    <row r="15" spans="1:17" x14ac:dyDescent="0.2">
      <c r="A15" t="s">
        <v>17</v>
      </c>
      <c r="B15" t="s">
        <v>62</v>
      </c>
      <c r="C15">
        <v>2</v>
      </c>
      <c r="D15">
        <v>56</v>
      </c>
      <c r="E15">
        <v>1</v>
      </c>
      <c r="F15">
        <v>1</v>
      </c>
      <c r="G15" t="s">
        <v>25</v>
      </c>
      <c r="H15" s="16">
        <v>332.6</v>
      </c>
      <c r="I15">
        <v>0</v>
      </c>
      <c r="J15">
        <v>0</v>
      </c>
      <c r="K15">
        <v>0</v>
      </c>
      <c r="L15" t="s">
        <v>27</v>
      </c>
      <c r="M15">
        <v>3</v>
      </c>
      <c r="N15" t="s">
        <v>28</v>
      </c>
      <c r="O15">
        <v>400</v>
      </c>
      <c r="P15">
        <v>70</v>
      </c>
      <c r="Q15">
        <v>15</v>
      </c>
    </row>
    <row r="16" spans="1:17" x14ac:dyDescent="0.2">
      <c r="A16" t="s">
        <v>17</v>
      </c>
      <c r="B16" t="s">
        <v>62</v>
      </c>
      <c r="C16">
        <v>2</v>
      </c>
      <c r="D16">
        <v>70</v>
      </c>
      <c r="E16">
        <v>1</v>
      </c>
      <c r="F16">
        <v>1</v>
      </c>
      <c r="G16" t="s">
        <v>25</v>
      </c>
      <c r="H16" s="16">
        <v>369.7</v>
      </c>
      <c r="I16">
        <v>0</v>
      </c>
      <c r="J16">
        <v>0</v>
      </c>
      <c r="K16">
        <v>0</v>
      </c>
      <c r="L16" t="s">
        <v>12</v>
      </c>
      <c r="M16">
        <v>3</v>
      </c>
      <c r="N16" t="s">
        <v>28</v>
      </c>
      <c r="O16">
        <v>400</v>
      </c>
      <c r="P16">
        <v>70</v>
      </c>
      <c r="Q16">
        <v>15</v>
      </c>
    </row>
    <row r="17" spans="1:17" x14ac:dyDescent="0.2">
      <c r="A17" t="s">
        <v>17</v>
      </c>
      <c r="B17" t="s">
        <v>62</v>
      </c>
      <c r="C17">
        <v>2</v>
      </c>
      <c r="D17">
        <v>77</v>
      </c>
      <c r="E17">
        <v>1</v>
      </c>
      <c r="F17">
        <v>1</v>
      </c>
      <c r="G17" t="s">
        <v>25</v>
      </c>
      <c r="H17" s="16">
        <v>579</v>
      </c>
      <c r="I17">
        <v>0</v>
      </c>
      <c r="J17">
        <v>0</v>
      </c>
      <c r="K17">
        <v>0</v>
      </c>
      <c r="L17" t="s">
        <v>80</v>
      </c>
      <c r="M17">
        <v>3</v>
      </c>
      <c r="N17" t="s">
        <v>28</v>
      </c>
      <c r="O17">
        <v>400</v>
      </c>
      <c r="P17">
        <v>70</v>
      </c>
      <c r="Q17">
        <v>15</v>
      </c>
    </row>
    <row r="18" spans="1:17" s="4" customFormat="1" x14ac:dyDescent="0.2">
      <c r="A18" s="4" t="s">
        <v>17</v>
      </c>
      <c r="B18" s="4" t="s">
        <v>62</v>
      </c>
      <c r="C18" s="4">
        <v>2</v>
      </c>
      <c r="D18" s="4">
        <v>84</v>
      </c>
      <c r="E18" s="4">
        <v>1</v>
      </c>
      <c r="F18" s="4">
        <v>1</v>
      </c>
      <c r="G18" s="4" t="s">
        <v>26</v>
      </c>
      <c r="H18" s="17">
        <v>674</v>
      </c>
      <c r="I18" s="4">
        <v>0</v>
      </c>
      <c r="J18" s="4">
        <v>0</v>
      </c>
      <c r="K18" s="4">
        <v>0</v>
      </c>
      <c r="L18" t="s">
        <v>27</v>
      </c>
      <c r="M18" s="4">
        <v>3</v>
      </c>
      <c r="N18" s="4" t="s">
        <v>28</v>
      </c>
      <c r="O18" s="4">
        <v>400</v>
      </c>
      <c r="P18" s="4">
        <v>70</v>
      </c>
      <c r="Q18" s="4">
        <v>15</v>
      </c>
    </row>
    <row r="19" spans="1:17" x14ac:dyDescent="0.2">
      <c r="A19" t="s">
        <v>17</v>
      </c>
      <c r="B19" t="s">
        <v>62</v>
      </c>
      <c r="C19">
        <v>3</v>
      </c>
      <c r="D19">
        <v>0</v>
      </c>
      <c r="E19">
        <v>1</v>
      </c>
      <c r="F19">
        <v>1</v>
      </c>
      <c r="G19" t="s">
        <v>25</v>
      </c>
      <c r="H19" s="16">
        <v>11.5</v>
      </c>
      <c r="I19">
        <v>0</v>
      </c>
      <c r="J19">
        <v>0</v>
      </c>
      <c r="K19">
        <v>0</v>
      </c>
      <c r="L19" t="s">
        <v>27</v>
      </c>
      <c r="M19">
        <v>3</v>
      </c>
      <c r="N19" t="s">
        <v>28</v>
      </c>
      <c r="O19">
        <v>400</v>
      </c>
      <c r="P19">
        <v>70</v>
      </c>
      <c r="Q19">
        <v>15</v>
      </c>
    </row>
    <row r="20" spans="1:17" x14ac:dyDescent="0.2">
      <c r="A20" t="s">
        <v>17</v>
      </c>
      <c r="B20" t="s">
        <v>62</v>
      </c>
      <c r="C20">
        <v>3</v>
      </c>
      <c r="D20">
        <v>14</v>
      </c>
      <c r="E20">
        <v>1</v>
      </c>
      <c r="F20">
        <v>1</v>
      </c>
      <c r="G20" t="s">
        <v>25</v>
      </c>
      <c r="H20" s="16">
        <v>23.8</v>
      </c>
      <c r="I20">
        <v>0</v>
      </c>
      <c r="J20">
        <v>0</v>
      </c>
      <c r="K20">
        <v>0</v>
      </c>
      <c r="L20" t="s">
        <v>12</v>
      </c>
      <c r="M20">
        <v>3</v>
      </c>
      <c r="N20" t="s">
        <v>28</v>
      </c>
      <c r="O20">
        <v>400</v>
      </c>
      <c r="P20">
        <v>70</v>
      </c>
      <c r="Q20">
        <v>15</v>
      </c>
    </row>
    <row r="21" spans="1:17" x14ac:dyDescent="0.2">
      <c r="A21" t="s">
        <v>17</v>
      </c>
      <c r="B21" t="s">
        <v>62</v>
      </c>
      <c r="C21">
        <v>3</v>
      </c>
      <c r="D21">
        <v>28</v>
      </c>
      <c r="E21">
        <v>1</v>
      </c>
      <c r="F21">
        <v>1</v>
      </c>
      <c r="G21" t="s">
        <v>25</v>
      </c>
      <c r="H21" s="16">
        <v>78</v>
      </c>
      <c r="I21">
        <v>0</v>
      </c>
      <c r="J21">
        <v>0</v>
      </c>
      <c r="K21">
        <v>0</v>
      </c>
      <c r="L21" t="s">
        <v>27</v>
      </c>
      <c r="M21">
        <v>3</v>
      </c>
      <c r="N21" t="s">
        <v>28</v>
      </c>
      <c r="O21">
        <v>400</v>
      </c>
      <c r="P21">
        <v>70</v>
      </c>
      <c r="Q21">
        <v>15</v>
      </c>
    </row>
    <row r="22" spans="1:17" x14ac:dyDescent="0.2">
      <c r="A22" t="s">
        <v>17</v>
      </c>
      <c r="B22" t="s">
        <v>62</v>
      </c>
      <c r="C22">
        <v>3</v>
      </c>
      <c r="D22">
        <v>42</v>
      </c>
      <c r="E22">
        <v>1</v>
      </c>
      <c r="F22">
        <v>1</v>
      </c>
      <c r="G22" t="s">
        <v>25</v>
      </c>
      <c r="H22" s="16">
        <v>141.30000000000001</v>
      </c>
      <c r="I22">
        <v>0</v>
      </c>
      <c r="J22">
        <v>0</v>
      </c>
      <c r="K22">
        <v>0</v>
      </c>
      <c r="L22" t="s">
        <v>12</v>
      </c>
      <c r="M22">
        <v>3</v>
      </c>
      <c r="N22" t="s">
        <v>28</v>
      </c>
      <c r="O22">
        <v>400</v>
      </c>
      <c r="P22">
        <v>70</v>
      </c>
      <c r="Q22">
        <v>15</v>
      </c>
    </row>
    <row r="23" spans="1:17" x14ac:dyDescent="0.2">
      <c r="A23" t="s">
        <v>17</v>
      </c>
      <c r="B23" t="s">
        <v>62</v>
      </c>
      <c r="C23">
        <v>3</v>
      </c>
      <c r="D23">
        <v>56</v>
      </c>
      <c r="E23">
        <v>1</v>
      </c>
      <c r="F23">
        <v>1</v>
      </c>
      <c r="G23" t="s">
        <v>25</v>
      </c>
      <c r="H23" s="16">
        <v>280.8</v>
      </c>
      <c r="I23">
        <v>0</v>
      </c>
      <c r="J23">
        <v>0</v>
      </c>
      <c r="K23">
        <v>0</v>
      </c>
      <c r="L23" t="s">
        <v>27</v>
      </c>
      <c r="M23">
        <v>3</v>
      </c>
      <c r="N23" t="s">
        <v>28</v>
      </c>
      <c r="O23">
        <v>400</v>
      </c>
      <c r="P23">
        <v>70</v>
      </c>
      <c r="Q23">
        <v>15</v>
      </c>
    </row>
    <row r="24" spans="1:17" x14ac:dyDescent="0.2">
      <c r="A24" t="s">
        <v>17</v>
      </c>
      <c r="B24" t="s">
        <v>62</v>
      </c>
      <c r="C24">
        <v>3</v>
      </c>
      <c r="D24">
        <v>70</v>
      </c>
      <c r="E24">
        <v>1</v>
      </c>
      <c r="F24">
        <v>1</v>
      </c>
      <c r="G24" t="s">
        <v>25</v>
      </c>
      <c r="H24" s="16">
        <v>399.1</v>
      </c>
      <c r="I24">
        <v>0</v>
      </c>
      <c r="J24">
        <v>0</v>
      </c>
      <c r="K24">
        <v>0</v>
      </c>
      <c r="L24" t="s">
        <v>12</v>
      </c>
      <c r="M24">
        <v>3</v>
      </c>
      <c r="N24" t="s">
        <v>28</v>
      </c>
      <c r="O24">
        <v>400</v>
      </c>
      <c r="P24">
        <v>70</v>
      </c>
      <c r="Q24">
        <v>15</v>
      </c>
    </row>
    <row r="25" spans="1:17" x14ac:dyDescent="0.2">
      <c r="A25" t="s">
        <v>17</v>
      </c>
      <c r="B25" t="s">
        <v>62</v>
      </c>
      <c r="C25">
        <v>3</v>
      </c>
      <c r="D25">
        <v>77</v>
      </c>
      <c r="E25">
        <v>1</v>
      </c>
      <c r="F25">
        <v>1</v>
      </c>
      <c r="G25" t="s">
        <v>25</v>
      </c>
      <c r="H25" s="16">
        <v>514</v>
      </c>
      <c r="I25">
        <v>0</v>
      </c>
      <c r="J25">
        <v>0</v>
      </c>
      <c r="K25">
        <v>0</v>
      </c>
      <c r="L25" s="9" t="s">
        <v>80</v>
      </c>
      <c r="M25">
        <v>3</v>
      </c>
      <c r="N25" t="s">
        <v>28</v>
      </c>
      <c r="O25">
        <v>400</v>
      </c>
      <c r="P25">
        <v>70</v>
      </c>
      <c r="Q25">
        <v>15</v>
      </c>
    </row>
    <row r="26" spans="1:17" x14ac:dyDescent="0.2">
      <c r="A26" t="s">
        <v>17</v>
      </c>
      <c r="B26" t="s">
        <v>62</v>
      </c>
      <c r="C26">
        <v>3</v>
      </c>
      <c r="D26">
        <v>84</v>
      </c>
      <c r="E26">
        <v>1</v>
      </c>
      <c r="F26">
        <v>1</v>
      </c>
      <c r="G26" t="s">
        <v>25</v>
      </c>
      <c r="H26" s="16">
        <v>610.79999999999995</v>
      </c>
      <c r="I26">
        <v>0</v>
      </c>
      <c r="J26">
        <v>0</v>
      </c>
      <c r="K26">
        <v>0</v>
      </c>
      <c r="L26" s="9" t="s">
        <v>27</v>
      </c>
      <c r="M26">
        <v>3</v>
      </c>
      <c r="N26" t="s">
        <v>28</v>
      </c>
      <c r="O26">
        <v>400</v>
      </c>
      <c r="P26">
        <v>70</v>
      </c>
      <c r="Q26">
        <v>15</v>
      </c>
    </row>
    <row r="27" spans="1:17" x14ac:dyDescent="0.2">
      <c r="A27" t="s">
        <v>17</v>
      </c>
      <c r="B27" t="s">
        <v>62</v>
      </c>
      <c r="C27">
        <v>3</v>
      </c>
      <c r="D27">
        <v>91</v>
      </c>
      <c r="E27">
        <v>1</v>
      </c>
      <c r="F27">
        <v>1</v>
      </c>
      <c r="G27" t="s">
        <v>26</v>
      </c>
      <c r="H27" s="16">
        <v>745</v>
      </c>
      <c r="I27">
        <v>0</v>
      </c>
      <c r="J27">
        <v>0</v>
      </c>
      <c r="K27">
        <v>0</v>
      </c>
      <c r="L27" t="s">
        <v>80</v>
      </c>
      <c r="M27">
        <v>3</v>
      </c>
      <c r="N27" t="s">
        <v>28</v>
      </c>
      <c r="O27">
        <v>400</v>
      </c>
      <c r="P27">
        <v>70</v>
      </c>
      <c r="Q27">
        <v>15</v>
      </c>
    </row>
    <row r="28" spans="1:17" s="4" customFormat="1" x14ac:dyDescent="0.2">
      <c r="A28" s="4" t="s">
        <v>17</v>
      </c>
      <c r="B28" s="4" t="s">
        <v>62</v>
      </c>
      <c r="C28" s="4">
        <v>3</v>
      </c>
      <c r="D28" s="4">
        <v>98</v>
      </c>
      <c r="E28" s="4">
        <v>1</v>
      </c>
      <c r="F28" s="4">
        <v>1</v>
      </c>
      <c r="G28" s="4" t="s">
        <v>26</v>
      </c>
      <c r="H28" s="17">
        <v>865</v>
      </c>
      <c r="I28" s="4">
        <v>0</v>
      </c>
      <c r="J28" s="4">
        <v>0</v>
      </c>
      <c r="K28" s="4">
        <v>0</v>
      </c>
      <c r="L28" s="4" t="s">
        <v>12</v>
      </c>
      <c r="M28" s="4">
        <v>3</v>
      </c>
      <c r="N28" s="4" t="s">
        <v>28</v>
      </c>
      <c r="O28" s="4">
        <v>400</v>
      </c>
      <c r="P28" s="4">
        <v>70</v>
      </c>
      <c r="Q28" s="4">
        <v>15</v>
      </c>
    </row>
    <row r="29" spans="1:17" x14ac:dyDescent="0.2">
      <c r="A29" t="s">
        <v>17</v>
      </c>
      <c r="B29" t="s">
        <v>62</v>
      </c>
      <c r="C29">
        <v>4</v>
      </c>
      <c r="D29">
        <v>0</v>
      </c>
      <c r="E29">
        <v>1</v>
      </c>
      <c r="F29">
        <v>1</v>
      </c>
      <c r="G29" t="s">
        <v>25</v>
      </c>
      <c r="H29" s="16">
        <v>11.2</v>
      </c>
      <c r="I29">
        <v>0</v>
      </c>
      <c r="J29">
        <v>0</v>
      </c>
      <c r="K29">
        <v>0</v>
      </c>
      <c r="L29" t="s">
        <v>27</v>
      </c>
      <c r="M29">
        <v>3</v>
      </c>
      <c r="N29" t="s">
        <v>28</v>
      </c>
      <c r="O29">
        <v>400</v>
      </c>
      <c r="P29">
        <v>70</v>
      </c>
      <c r="Q29">
        <v>15</v>
      </c>
    </row>
    <row r="30" spans="1:17" x14ac:dyDescent="0.2">
      <c r="A30" t="s">
        <v>17</v>
      </c>
      <c r="B30" t="s">
        <v>62</v>
      </c>
      <c r="C30">
        <v>4</v>
      </c>
      <c r="D30">
        <v>14</v>
      </c>
      <c r="E30">
        <v>1</v>
      </c>
      <c r="F30">
        <v>1</v>
      </c>
      <c r="G30" t="s">
        <v>25</v>
      </c>
      <c r="H30" s="16">
        <v>26.9</v>
      </c>
      <c r="I30">
        <v>0</v>
      </c>
      <c r="J30">
        <v>0</v>
      </c>
      <c r="K30">
        <v>0</v>
      </c>
      <c r="L30" t="s">
        <v>12</v>
      </c>
      <c r="M30">
        <v>3</v>
      </c>
      <c r="N30" t="s">
        <v>28</v>
      </c>
      <c r="O30">
        <v>400</v>
      </c>
      <c r="P30">
        <v>70</v>
      </c>
      <c r="Q30">
        <v>15</v>
      </c>
    </row>
    <row r="31" spans="1:17" x14ac:dyDescent="0.2">
      <c r="A31" t="s">
        <v>17</v>
      </c>
      <c r="B31" t="s">
        <v>62</v>
      </c>
      <c r="C31">
        <v>4</v>
      </c>
      <c r="D31">
        <v>28</v>
      </c>
      <c r="E31">
        <v>1</v>
      </c>
      <c r="F31">
        <v>1</v>
      </c>
      <c r="G31" t="s">
        <v>25</v>
      </c>
      <c r="H31" s="16">
        <v>96.3</v>
      </c>
      <c r="I31">
        <v>0</v>
      </c>
      <c r="J31">
        <v>0</v>
      </c>
      <c r="K31">
        <v>0</v>
      </c>
      <c r="L31" t="s">
        <v>27</v>
      </c>
      <c r="M31">
        <v>3</v>
      </c>
      <c r="N31" t="s">
        <v>28</v>
      </c>
      <c r="O31">
        <v>400</v>
      </c>
      <c r="P31">
        <v>70</v>
      </c>
      <c r="Q31">
        <v>15</v>
      </c>
    </row>
    <row r="32" spans="1:17" x14ac:dyDescent="0.2">
      <c r="A32" t="s">
        <v>17</v>
      </c>
      <c r="B32" t="s">
        <v>62</v>
      </c>
      <c r="C32">
        <v>4</v>
      </c>
      <c r="D32">
        <v>42</v>
      </c>
      <c r="E32">
        <v>1</v>
      </c>
      <c r="F32">
        <v>1</v>
      </c>
      <c r="G32" t="s">
        <v>25</v>
      </c>
      <c r="H32" s="16">
        <v>160.6</v>
      </c>
      <c r="I32">
        <v>0</v>
      </c>
      <c r="J32">
        <v>0</v>
      </c>
      <c r="K32">
        <v>0</v>
      </c>
      <c r="L32" t="s">
        <v>12</v>
      </c>
      <c r="M32">
        <v>3</v>
      </c>
      <c r="N32" t="s">
        <v>28</v>
      </c>
      <c r="O32">
        <v>400</v>
      </c>
      <c r="P32">
        <v>70</v>
      </c>
      <c r="Q32">
        <v>15</v>
      </c>
    </row>
    <row r="33" spans="1:17" x14ac:dyDescent="0.2">
      <c r="A33" t="s">
        <v>17</v>
      </c>
      <c r="B33" t="s">
        <v>62</v>
      </c>
      <c r="C33">
        <v>4</v>
      </c>
      <c r="D33">
        <v>56</v>
      </c>
      <c r="E33">
        <v>1</v>
      </c>
      <c r="F33">
        <v>1</v>
      </c>
      <c r="G33" t="s">
        <v>25</v>
      </c>
      <c r="H33" s="16">
        <v>375</v>
      </c>
      <c r="I33">
        <v>0</v>
      </c>
      <c r="J33">
        <v>0</v>
      </c>
      <c r="K33">
        <v>0</v>
      </c>
      <c r="L33" t="s">
        <v>27</v>
      </c>
      <c r="M33">
        <v>3</v>
      </c>
      <c r="N33" t="s">
        <v>28</v>
      </c>
      <c r="O33">
        <v>400</v>
      </c>
      <c r="P33">
        <v>70</v>
      </c>
      <c r="Q33">
        <v>15</v>
      </c>
    </row>
    <row r="34" spans="1:17" x14ac:dyDescent="0.2">
      <c r="A34" t="s">
        <v>17</v>
      </c>
      <c r="B34" t="s">
        <v>62</v>
      </c>
      <c r="C34">
        <v>4</v>
      </c>
      <c r="D34">
        <v>70</v>
      </c>
      <c r="E34">
        <v>1</v>
      </c>
      <c r="F34">
        <v>1</v>
      </c>
      <c r="G34" t="s">
        <v>25</v>
      </c>
      <c r="H34" s="16">
        <v>401.7</v>
      </c>
      <c r="I34">
        <v>0</v>
      </c>
      <c r="J34">
        <v>0</v>
      </c>
      <c r="K34">
        <v>0</v>
      </c>
      <c r="L34" t="s">
        <v>12</v>
      </c>
      <c r="M34">
        <v>3</v>
      </c>
      <c r="N34" t="s">
        <v>28</v>
      </c>
      <c r="O34">
        <v>400</v>
      </c>
      <c r="P34">
        <v>70</v>
      </c>
      <c r="Q34">
        <v>15</v>
      </c>
    </row>
    <row r="35" spans="1:17" x14ac:dyDescent="0.2">
      <c r="A35" t="s">
        <v>17</v>
      </c>
      <c r="B35" t="s">
        <v>62</v>
      </c>
      <c r="C35">
        <v>4</v>
      </c>
      <c r="D35">
        <v>77</v>
      </c>
      <c r="E35">
        <v>1</v>
      </c>
      <c r="F35">
        <v>1</v>
      </c>
      <c r="G35" t="s">
        <v>25</v>
      </c>
      <c r="H35" s="16">
        <v>629.6</v>
      </c>
      <c r="I35">
        <v>0</v>
      </c>
      <c r="J35">
        <v>0</v>
      </c>
      <c r="K35">
        <v>0</v>
      </c>
      <c r="L35" s="9" t="s">
        <v>80</v>
      </c>
      <c r="M35">
        <v>3</v>
      </c>
      <c r="N35" t="s">
        <v>28</v>
      </c>
      <c r="O35">
        <v>400</v>
      </c>
      <c r="P35">
        <v>70</v>
      </c>
      <c r="Q35">
        <v>15</v>
      </c>
    </row>
    <row r="36" spans="1:17" x14ac:dyDescent="0.2">
      <c r="A36" t="s">
        <v>17</v>
      </c>
      <c r="B36" t="s">
        <v>62</v>
      </c>
      <c r="C36">
        <v>4</v>
      </c>
      <c r="D36">
        <v>84</v>
      </c>
      <c r="E36">
        <v>1</v>
      </c>
      <c r="F36">
        <v>1</v>
      </c>
      <c r="G36" t="s">
        <v>25</v>
      </c>
      <c r="H36" s="16">
        <v>588.29999999999995</v>
      </c>
      <c r="I36">
        <v>0</v>
      </c>
      <c r="J36">
        <v>0</v>
      </c>
      <c r="K36">
        <v>0</v>
      </c>
      <c r="L36" s="9" t="s">
        <v>27</v>
      </c>
      <c r="M36">
        <v>3</v>
      </c>
      <c r="N36" t="s">
        <v>28</v>
      </c>
      <c r="O36">
        <v>400</v>
      </c>
      <c r="P36">
        <v>70</v>
      </c>
      <c r="Q36">
        <v>15</v>
      </c>
    </row>
    <row r="37" spans="1:17" s="4" customFormat="1" x14ac:dyDescent="0.2">
      <c r="A37" s="4" t="s">
        <v>17</v>
      </c>
      <c r="B37" s="4" t="s">
        <v>62</v>
      </c>
      <c r="C37" s="4">
        <v>4</v>
      </c>
      <c r="D37" s="4">
        <v>91</v>
      </c>
      <c r="E37" s="4">
        <v>1</v>
      </c>
      <c r="F37" s="4">
        <v>1</v>
      </c>
      <c r="G37" s="4" t="s">
        <v>26</v>
      </c>
      <c r="H37" s="17">
        <v>887</v>
      </c>
      <c r="I37" s="4">
        <v>0</v>
      </c>
      <c r="J37" s="4">
        <v>0</v>
      </c>
      <c r="K37" s="4">
        <v>0</v>
      </c>
      <c r="L37" s="4" t="s">
        <v>80</v>
      </c>
      <c r="M37" s="4">
        <v>3</v>
      </c>
      <c r="N37" s="4" t="s">
        <v>28</v>
      </c>
      <c r="O37" s="4">
        <v>400</v>
      </c>
      <c r="P37" s="4">
        <v>70</v>
      </c>
      <c r="Q37" s="4">
        <v>15</v>
      </c>
    </row>
    <row r="38" spans="1:17" x14ac:dyDescent="0.2">
      <c r="A38" t="s">
        <v>17</v>
      </c>
      <c r="B38" t="s">
        <v>62</v>
      </c>
      <c r="C38">
        <v>5</v>
      </c>
      <c r="D38">
        <v>0</v>
      </c>
      <c r="E38">
        <v>1</v>
      </c>
      <c r="F38">
        <v>1</v>
      </c>
      <c r="G38" t="s">
        <v>25</v>
      </c>
      <c r="H38" s="16">
        <v>15</v>
      </c>
      <c r="I38">
        <v>0</v>
      </c>
      <c r="J38">
        <v>0</v>
      </c>
      <c r="K38">
        <v>0</v>
      </c>
      <c r="L38" t="s">
        <v>27</v>
      </c>
      <c r="M38">
        <v>3</v>
      </c>
      <c r="N38" t="s">
        <v>28</v>
      </c>
      <c r="O38">
        <v>400</v>
      </c>
      <c r="P38">
        <v>70</v>
      </c>
      <c r="Q38">
        <v>15</v>
      </c>
    </row>
    <row r="39" spans="1:17" x14ac:dyDescent="0.2">
      <c r="A39" t="s">
        <v>17</v>
      </c>
      <c r="B39" t="s">
        <v>62</v>
      </c>
      <c r="C39">
        <v>5</v>
      </c>
      <c r="D39">
        <v>14</v>
      </c>
      <c r="E39">
        <v>1</v>
      </c>
      <c r="F39">
        <v>1</v>
      </c>
      <c r="G39" t="s">
        <v>25</v>
      </c>
      <c r="H39" s="16">
        <v>24.3</v>
      </c>
      <c r="I39">
        <v>0</v>
      </c>
      <c r="J39">
        <v>0</v>
      </c>
      <c r="K39">
        <v>0</v>
      </c>
      <c r="L39" t="s">
        <v>12</v>
      </c>
      <c r="M39">
        <v>3</v>
      </c>
      <c r="N39" t="s">
        <v>28</v>
      </c>
      <c r="O39">
        <v>400</v>
      </c>
      <c r="P39">
        <v>70</v>
      </c>
      <c r="Q39">
        <v>15</v>
      </c>
    </row>
    <row r="40" spans="1:17" x14ac:dyDescent="0.2">
      <c r="A40" t="s">
        <v>17</v>
      </c>
      <c r="B40" t="s">
        <v>62</v>
      </c>
      <c r="C40">
        <v>5</v>
      </c>
      <c r="D40">
        <v>28</v>
      </c>
      <c r="E40">
        <v>1</v>
      </c>
      <c r="F40">
        <v>1</v>
      </c>
      <c r="G40" t="s">
        <v>25</v>
      </c>
      <c r="H40" s="16">
        <v>83.8</v>
      </c>
      <c r="I40">
        <v>0</v>
      </c>
      <c r="J40">
        <v>0</v>
      </c>
      <c r="K40">
        <v>0</v>
      </c>
      <c r="L40" t="s">
        <v>27</v>
      </c>
      <c r="M40">
        <v>3</v>
      </c>
      <c r="N40" t="s">
        <v>28</v>
      </c>
      <c r="O40">
        <v>400</v>
      </c>
      <c r="P40">
        <v>70</v>
      </c>
      <c r="Q40">
        <v>15</v>
      </c>
    </row>
    <row r="41" spans="1:17" x14ac:dyDescent="0.2">
      <c r="A41" t="s">
        <v>17</v>
      </c>
      <c r="B41" t="s">
        <v>62</v>
      </c>
      <c r="C41">
        <v>5</v>
      </c>
      <c r="D41">
        <v>42</v>
      </c>
      <c r="E41">
        <v>1</v>
      </c>
      <c r="F41">
        <v>1</v>
      </c>
      <c r="G41" t="s">
        <v>25</v>
      </c>
      <c r="H41" s="16">
        <v>126.5</v>
      </c>
      <c r="I41">
        <v>0</v>
      </c>
      <c r="J41">
        <v>0</v>
      </c>
      <c r="K41">
        <v>0</v>
      </c>
      <c r="L41" t="s">
        <v>12</v>
      </c>
      <c r="M41">
        <v>3</v>
      </c>
      <c r="N41" t="s">
        <v>28</v>
      </c>
      <c r="O41">
        <v>400</v>
      </c>
      <c r="P41">
        <v>70</v>
      </c>
      <c r="Q41">
        <v>15</v>
      </c>
    </row>
    <row r="42" spans="1:17" x14ac:dyDescent="0.2">
      <c r="A42" t="s">
        <v>17</v>
      </c>
      <c r="B42" t="s">
        <v>62</v>
      </c>
      <c r="C42">
        <v>5</v>
      </c>
      <c r="D42">
        <v>56</v>
      </c>
      <c r="E42">
        <v>1</v>
      </c>
      <c r="F42">
        <v>1</v>
      </c>
      <c r="G42" t="s">
        <v>25</v>
      </c>
      <c r="H42" s="16">
        <v>291.2</v>
      </c>
      <c r="I42">
        <v>0</v>
      </c>
      <c r="J42">
        <v>0</v>
      </c>
      <c r="K42">
        <v>0</v>
      </c>
      <c r="L42" t="s">
        <v>27</v>
      </c>
      <c r="M42">
        <v>3</v>
      </c>
      <c r="N42" t="s">
        <v>28</v>
      </c>
      <c r="O42">
        <v>400</v>
      </c>
      <c r="P42">
        <v>70</v>
      </c>
      <c r="Q42">
        <v>15</v>
      </c>
    </row>
    <row r="43" spans="1:17" x14ac:dyDescent="0.2">
      <c r="A43" t="s">
        <v>17</v>
      </c>
      <c r="B43" t="s">
        <v>62</v>
      </c>
      <c r="C43">
        <v>5</v>
      </c>
      <c r="D43">
        <v>70</v>
      </c>
      <c r="E43">
        <v>1</v>
      </c>
      <c r="F43">
        <v>1</v>
      </c>
      <c r="G43" t="s">
        <v>25</v>
      </c>
      <c r="H43" s="16">
        <v>340.2</v>
      </c>
      <c r="I43">
        <v>0</v>
      </c>
      <c r="J43">
        <v>0</v>
      </c>
      <c r="K43">
        <v>0</v>
      </c>
      <c r="L43" t="s">
        <v>12</v>
      </c>
      <c r="M43">
        <v>3</v>
      </c>
      <c r="N43" t="s">
        <v>28</v>
      </c>
      <c r="O43">
        <v>400</v>
      </c>
      <c r="P43">
        <v>70</v>
      </c>
      <c r="Q43">
        <v>15</v>
      </c>
    </row>
    <row r="44" spans="1:17" x14ac:dyDescent="0.2">
      <c r="A44" t="s">
        <v>17</v>
      </c>
      <c r="B44" t="s">
        <v>62</v>
      </c>
      <c r="C44">
        <v>5</v>
      </c>
      <c r="D44">
        <v>77</v>
      </c>
      <c r="E44">
        <v>1</v>
      </c>
      <c r="F44">
        <v>1</v>
      </c>
      <c r="G44" t="s">
        <v>25</v>
      </c>
      <c r="H44" s="16">
        <v>514</v>
      </c>
      <c r="I44">
        <v>0</v>
      </c>
      <c r="J44">
        <v>0</v>
      </c>
      <c r="K44">
        <v>0</v>
      </c>
      <c r="L44" s="9" t="s">
        <v>80</v>
      </c>
      <c r="M44">
        <v>3</v>
      </c>
      <c r="N44" t="s">
        <v>28</v>
      </c>
      <c r="O44">
        <v>400</v>
      </c>
      <c r="P44">
        <v>70</v>
      </c>
      <c r="Q44">
        <v>15</v>
      </c>
    </row>
    <row r="45" spans="1:17" x14ac:dyDescent="0.2">
      <c r="A45" t="s">
        <v>17</v>
      </c>
      <c r="B45" t="s">
        <v>62</v>
      </c>
      <c r="C45">
        <v>5</v>
      </c>
      <c r="D45">
        <v>84</v>
      </c>
      <c r="E45">
        <v>1</v>
      </c>
      <c r="F45">
        <v>1</v>
      </c>
      <c r="G45" t="s">
        <v>25</v>
      </c>
      <c r="H45" s="16">
        <v>558</v>
      </c>
      <c r="I45">
        <v>0</v>
      </c>
      <c r="J45">
        <v>0</v>
      </c>
      <c r="K45">
        <v>0</v>
      </c>
      <c r="L45" s="9" t="s">
        <v>27</v>
      </c>
      <c r="M45">
        <v>3</v>
      </c>
      <c r="N45" t="s">
        <v>28</v>
      </c>
      <c r="O45">
        <v>400</v>
      </c>
      <c r="P45">
        <v>70</v>
      </c>
      <c r="Q45">
        <v>15</v>
      </c>
    </row>
    <row r="46" spans="1:17" s="4" customFormat="1" x14ac:dyDescent="0.2">
      <c r="A46" s="4" t="s">
        <v>17</v>
      </c>
      <c r="B46" s="4" t="s">
        <v>62</v>
      </c>
      <c r="C46" s="4">
        <v>5</v>
      </c>
      <c r="D46" s="4">
        <v>91</v>
      </c>
      <c r="E46" s="4">
        <v>1</v>
      </c>
      <c r="F46" s="4">
        <v>1</v>
      </c>
      <c r="G46" s="4" t="s">
        <v>26</v>
      </c>
      <c r="H46" s="17">
        <v>710</v>
      </c>
      <c r="I46" s="4">
        <v>0</v>
      </c>
      <c r="J46" s="4">
        <v>0</v>
      </c>
      <c r="K46" s="4">
        <v>0</v>
      </c>
      <c r="L46" s="4" t="s">
        <v>80</v>
      </c>
      <c r="M46" s="4">
        <v>3</v>
      </c>
      <c r="N46" s="4" t="s">
        <v>28</v>
      </c>
      <c r="O46" s="4">
        <v>400</v>
      </c>
      <c r="P46" s="4">
        <v>70</v>
      </c>
      <c r="Q46" s="4">
        <v>15</v>
      </c>
    </row>
    <row r="47" spans="1:17" x14ac:dyDescent="0.2">
      <c r="A47" t="s">
        <v>17</v>
      </c>
      <c r="B47" t="s">
        <v>62</v>
      </c>
      <c r="C47">
        <v>6</v>
      </c>
      <c r="D47">
        <v>0</v>
      </c>
      <c r="E47">
        <v>1</v>
      </c>
      <c r="F47">
        <v>1</v>
      </c>
      <c r="G47" t="s">
        <v>25</v>
      </c>
      <c r="H47" s="16">
        <v>11.16</v>
      </c>
      <c r="I47">
        <v>0</v>
      </c>
      <c r="J47">
        <v>0</v>
      </c>
      <c r="K47">
        <v>0</v>
      </c>
      <c r="L47" t="s">
        <v>27</v>
      </c>
      <c r="M47">
        <v>3</v>
      </c>
      <c r="N47" t="s">
        <v>28</v>
      </c>
      <c r="O47">
        <v>400</v>
      </c>
      <c r="P47">
        <v>70</v>
      </c>
      <c r="Q47">
        <v>15</v>
      </c>
    </row>
    <row r="48" spans="1:17" x14ac:dyDescent="0.2">
      <c r="A48" t="s">
        <v>17</v>
      </c>
      <c r="B48" t="s">
        <v>62</v>
      </c>
      <c r="C48">
        <v>6</v>
      </c>
      <c r="D48">
        <v>14</v>
      </c>
      <c r="E48">
        <v>1</v>
      </c>
      <c r="F48">
        <v>1</v>
      </c>
      <c r="G48" t="s">
        <v>25</v>
      </c>
      <c r="H48" s="16">
        <v>25.3</v>
      </c>
      <c r="I48">
        <v>0</v>
      </c>
      <c r="J48">
        <v>0</v>
      </c>
      <c r="K48">
        <v>0</v>
      </c>
      <c r="L48" t="s">
        <v>12</v>
      </c>
      <c r="M48">
        <v>3</v>
      </c>
      <c r="N48" t="s">
        <v>28</v>
      </c>
      <c r="O48">
        <v>400</v>
      </c>
      <c r="P48">
        <v>70</v>
      </c>
      <c r="Q48">
        <v>15</v>
      </c>
    </row>
    <row r="49" spans="1:17" x14ac:dyDescent="0.2">
      <c r="A49" t="s">
        <v>17</v>
      </c>
      <c r="B49" t="s">
        <v>62</v>
      </c>
      <c r="C49">
        <v>6</v>
      </c>
      <c r="D49">
        <v>28</v>
      </c>
      <c r="E49">
        <v>1</v>
      </c>
      <c r="F49">
        <v>1</v>
      </c>
      <c r="G49" t="s">
        <v>25</v>
      </c>
      <c r="H49" s="16">
        <v>90.1</v>
      </c>
      <c r="I49">
        <v>0</v>
      </c>
      <c r="J49">
        <v>0</v>
      </c>
      <c r="K49">
        <v>0</v>
      </c>
      <c r="L49" t="s">
        <v>27</v>
      </c>
      <c r="M49">
        <v>3</v>
      </c>
      <c r="N49" t="s">
        <v>28</v>
      </c>
      <c r="O49">
        <v>400</v>
      </c>
      <c r="P49">
        <v>70</v>
      </c>
      <c r="Q49">
        <v>15</v>
      </c>
    </row>
    <row r="50" spans="1:17" x14ac:dyDescent="0.2">
      <c r="A50" t="s">
        <v>17</v>
      </c>
      <c r="B50" t="s">
        <v>62</v>
      </c>
      <c r="C50">
        <v>6</v>
      </c>
      <c r="D50">
        <v>42</v>
      </c>
      <c r="E50">
        <v>1</v>
      </c>
      <c r="F50">
        <v>1</v>
      </c>
      <c r="G50" t="s">
        <v>25</v>
      </c>
      <c r="H50" s="16">
        <v>146</v>
      </c>
      <c r="I50">
        <v>0</v>
      </c>
      <c r="J50">
        <v>0</v>
      </c>
      <c r="K50">
        <v>0</v>
      </c>
      <c r="L50" t="s">
        <v>12</v>
      </c>
      <c r="M50">
        <v>3</v>
      </c>
      <c r="N50" t="s">
        <v>28</v>
      </c>
      <c r="O50">
        <v>400</v>
      </c>
      <c r="P50">
        <v>70</v>
      </c>
      <c r="Q50">
        <v>15</v>
      </c>
    </row>
    <row r="51" spans="1:17" x14ac:dyDescent="0.2">
      <c r="A51" t="s">
        <v>17</v>
      </c>
      <c r="B51" t="s">
        <v>62</v>
      </c>
      <c r="C51">
        <v>6</v>
      </c>
      <c r="D51">
        <v>56</v>
      </c>
      <c r="E51">
        <v>1</v>
      </c>
      <c r="F51">
        <v>1</v>
      </c>
      <c r="G51" t="s">
        <v>25</v>
      </c>
      <c r="H51" s="16">
        <v>321.5</v>
      </c>
      <c r="I51">
        <v>0</v>
      </c>
      <c r="J51">
        <v>0</v>
      </c>
      <c r="K51">
        <v>0</v>
      </c>
      <c r="L51" t="s">
        <v>27</v>
      </c>
      <c r="M51">
        <v>3</v>
      </c>
      <c r="N51" t="s">
        <v>28</v>
      </c>
      <c r="O51">
        <v>400</v>
      </c>
      <c r="P51">
        <v>70</v>
      </c>
      <c r="Q51">
        <v>15</v>
      </c>
    </row>
    <row r="52" spans="1:17" x14ac:dyDescent="0.2">
      <c r="A52" t="s">
        <v>17</v>
      </c>
      <c r="B52" t="s">
        <v>62</v>
      </c>
      <c r="C52">
        <v>6</v>
      </c>
      <c r="D52">
        <v>70</v>
      </c>
      <c r="E52">
        <v>1</v>
      </c>
      <c r="F52">
        <v>1</v>
      </c>
      <c r="G52" t="s">
        <v>25</v>
      </c>
      <c r="H52" s="16">
        <v>377</v>
      </c>
      <c r="I52">
        <v>0</v>
      </c>
      <c r="J52">
        <v>0</v>
      </c>
      <c r="K52">
        <v>0</v>
      </c>
      <c r="L52" t="s">
        <v>12</v>
      </c>
      <c r="M52">
        <v>3</v>
      </c>
      <c r="N52" t="s">
        <v>28</v>
      </c>
      <c r="O52">
        <v>400</v>
      </c>
      <c r="P52">
        <v>70</v>
      </c>
      <c r="Q52">
        <v>15</v>
      </c>
    </row>
    <row r="53" spans="1:17" x14ac:dyDescent="0.2">
      <c r="A53" t="s">
        <v>17</v>
      </c>
      <c r="B53" t="s">
        <v>62</v>
      </c>
      <c r="C53">
        <v>6</v>
      </c>
      <c r="D53">
        <v>77</v>
      </c>
      <c r="E53">
        <v>1</v>
      </c>
      <c r="F53">
        <v>1</v>
      </c>
      <c r="G53" t="s">
        <v>25</v>
      </c>
      <c r="H53" s="16">
        <v>562</v>
      </c>
      <c r="I53">
        <v>0</v>
      </c>
      <c r="J53">
        <v>0</v>
      </c>
      <c r="K53">
        <v>0</v>
      </c>
      <c r="L53" t="s">
        <v>80</v>
      </c>
      <c r="M53">
        <v>3</v>
      </c>
      <c r="N53" t="s">
        <v>28</v>
      </c>
      <c r="O53">
        <v>400</v>
      </c>
      <c r="P53">
        <v>70</v>
      </c>
      <c r="Q53">
        <v>15</v>
      </c>
    </row>
    <row r="54" spans="1:17" x14ac:dyDescent="0.2">
      <c r="A54" t="s">
        <v>17</v>
      </c>
      <c r="B54" t="s">
        <v>62</v>
      </c>
      <c r="C54">
        <v>6</v>
      </c>
      <c r="D54">
        <v>84</v>
      </c>
      <c r="E54">
        <v>1</v>
      </c>
      <c r="F54">
        <v>1</v>
      </c>
      <c r="G54" t="s">
        <v>25</v>
      </c>
      <c r="H54" s="16">
        <v>585</v>
      </c>
      <c r="I54">
        <v>0</v>
      </c>
      <c r="J54">
        <v>0</v>
      </c>
      <c r="K54">
        <v>0</v>
      </c>
      <c r="L54" t="s">
        <v>27</v>
      </c>
      <c r="M54">
        <v>3</v>
      </c>
      <c r="N54" t="s">
        <v>28</v>
      </c>
      <c r="O54">
        <v>400</v>
      </c>
      <c r="P54">
        <v>70</v>
      </c>
      <c r="Q54">
        <v>15</v>
      </c>
    </row>
    <row r="55" spans="1:17" s="4" customFormat="1" x14ac:dyDescent="0.2">
      <c r="A55" s="4" t="s">
        <v>17</v>
      </c>
      <c r="B55" s="4" t="s">
        <v>62</v>
      </c>
      <c r="C55" s="4">
        <v>6</v>
      </c>
      <c r="D55" s="4">
        <v>91</v>
      </c>
      <c r="E55" s="4">
        <v>1</v>
      </c>
      <c r="F55" s="4">
        <v>1</v>
      </c>
      <c r="G55" s="4" t="s">
        <v>26</v>
      </c>
      <c r="H55" s="17">
        <v>759</v>
      </c>
      <c r="I55" s="4">
        <v>0</v>
      </c>
      <c r="J55" s="4">
        <v>0</v>
      </c>
      <c r="K55" s="4">
        <v>0</v>
      </c>
      <c r="L55" s="4" t="s">
        <v>80</v>
      </c>
      <c r="M55" s="4">
        <v>3</v>
      </c>
      <c r="N55" s="4" t="s">
        <v>28</v>
      </c>
      <c r="O55" s="4">
        <v>400</v>
      </c>
      <c r="P55" s="4">
        <v>70</v>
      </c>
      <c r="Q55" s="4">
        <v>15</v>
      </c>
    </row>
    <row r="56" spans="1:17" x14ac:dyDescent="0.2">
      <c r="A56" t="s">
        <v>17</v>
      </c>
      <c r="B56" t="s">
        <v>62</v>
      </c>
      <c r="C56">
        <v>7</v>
      </c>
      <c r="D56">
        <v>0</v>
      </c>
      <c r="E56">
        <v>1</v>
      </c>
      <c r="F56">
        <v>1</v>
      </c>
      <c r="G56" t="s">
        <v>25</v>
      </c>
      <c r="H56" s="16">
        <v>10.3</v>
      </c>
      <c r="I56">
        <v>0</v>
      </c>
      <c r="J56">
        <v>0</v>
      </c>
      <c r="K56">
        <v>0</v>
      </c>
      <c r="L56" t="s">
        <v>27</v>
      </c>
      <c r="M56">
        <v>3</v>
      </c>
      <c r="N56" t="s">
        <v>28</v>
      </c>
      <c r="O56">
        <v>400</v>
      </c>
      <c r="P56">
        <v>70</v>
      </c>
      <c r="Q56">
        <v>15</v>
      </c>
    </row>
    <row r="57" spans="1:17" x14ac:dyDescent="0.2">
      <c r="A57" t="s">
        <v>17</v>
      </c>
      <c r="B57" t="s">
        <v>62</v>
      </c>
      <c r="C57">
        <v>7</v>
      </c>
      <c r="D57">
        <v>14</v>
      </c>
      <c r="E57">
        <v>1</v>
      </c>
      <c r="F57">
        <v>1</v>
      </c>
      <c r="G57" t="s">
        <v>25</v>
      </c>
      <c r="H57" s="16">
        <v>25.6</v>
      </c>
      <c r="I57">
        <v>0</v>
      </c>
      <c r="J57">
        <v>0</v>
      </c>
      <c r="K57">
        <v>0</v>
      </c>
      <c r="L57" t="s">
        <v>12</v>
      </c>
      <c r="M57">
        <v>3</v>
      </c>
      <c r="N57" t="s">
        <v>28</v>
      </c>
      <c r="O57">
        <v>400</v>
      </c>
      <c r="P57">
        <v>70</v>
      </c>
      <c r="Q57">
        <v>15</v>
      </c>
    </row>
    <row r="58" spans="1:17" x14ac:dyDescent="0.2">
      <c r="A58" t="s">
        <v>17</v>
      </c>
      <c r="B58" t="s">
        <v>62</v>
      </c>
      <c r="C58">
        <v>7</v>
      </c>
      <c r="D58">
        <v>28</v>
      </c>
      <c r="E58">
        <v>1</v>
      </c>
      <c r="F58">
        <v>1</v>
      </c>
      <c r="G58" t="s">
        <v>25</v>
      </c>
      <c r="H58" s="16">
        <v>83</v>
      </c>
      <c r="I58">
        <v>0</v>
      </c>
      <c r="J58">
        <v>0</v>
      </c>
      <c r="K58">
        <v>0</v>
      </c>
      <c r="L58" t="s">
        <v>27</v>
      </c>
      <c r="M58">
        <v>3</v>
      </c>
      <c r="N58" t="s">
        <v>28</v>
      </c>
      <c r="O58">
        <v>400</v>
      </c>
      <c r="P58">
        <v>70</v>
      </c>
      <c r="Q58">
        <v>15</v>
      </c>
    </row>
    <row r="59" spans="1:17" x14ac:dyDescent="0.2">
      <c r="A59" t="s">
        <v>17</v>
      </c>
      <c r="B59" t="s">
        <v>62</v>
      </c>
      <c r="C59">
        <v>7</v>
      </c>
      <c r="D59">
        <v>42</v>
      </c>
      <c r="E59">
        <v>1</v>
      </c>
      <c r="F59">
        <v>1</v>
      </c>
      <c r="G59" t="s">
        <v>25</v>
      </c>
      <c r="H59" s="16">
        <v>130</v>
      </c>
      <c r="I59">
        <v>0</v>
      </c>
      <c r="J59">
        <v>0</v>
      </c>
      <c r="K59">
        <v>0</v>
      </c>
      <c r="L59" t="s">
        <v>12</v>
      </c>
      <c r="M59">
        <v>3</v>
      </c>
      <c r="N59" t="s">
        <v>28</v>
      </c>
      <c r="O59">
        <v>400</v>
      </c>
      <c r="P59">
        <v>70</v>
      </c>
      <c r="Q59">
        <v>15</v>
      </c>
    </row>
    <row r="60" spans="1:17" x14ac:dyDescent="0.2">
      <c r="A60" t="s">
        <v>17</v>
      </c>
      <c r="B60" t="s">
        <v>62</v>
      </c>
      <c r="C60">
        <v>7</v>
      </c>
      <c r="D60">
        <v>56</v>
      </c>
      <c r="E60">
        <v>1</v>
      </c>
      <c r="F60">
        <v>1</v>
      </c>
      <c r="G60" t="s">
        <v>25</v>
      </c>
      <c r="H60" s="16">
        <v>274</v>
      </c>
      <c r="I60">
        <v>0</v>
      </c>
      <c r="J60">
        <v>0</v>
      </c>
      <c r="K60">
        <v>0</v>
      </c>
      <c r="L60" t="s">
        <v>27</v>
      </c>
      <c r="M60">
        <v>3</v>
      </c>
      <c r="N60" t="s">
        <v>28</v>
      </c>
      <c r="O60">
        <v>400</v>
      </c>
      <c r="P60">
        <v>70</v>
      </c>
      <c r="Q60">
        <v>15</v>
      </c>
    </row>
    <row r="61" spans="1:17" x14ac:dyDescent="0.2">
      <c r="A61" t="s">
        <v>17</v>
      </c>
      <c r="B61" t="s">
        <v>62</v>
      </c>
      <c r="C61">
        <v>7</v>
      </c>
      <c r="D61">
        <v>70</v>
      </c>
      <c r="E61">
        <v>1</v>
      </c>
      <c r="F61">
        <v>1</v>
      </c>
      <c r="G61" t="s">
        <v>25</v>
      </c>
      <c r="H61" s="16">
        <v>314.39999999999998</v>
      </c>
      <c r="I61">
        <v>0</v>
      </c>
      <c r="J61">
        <v>0</v>
      </c>
      <c r="K61">
        <v>0</v>
      </c>
      <c r="L61" t="s">
        <v>12</v>
      </c>
      <c r="M61">
        <v>3</v>
      </c>
      <c r="N61" t="s">
        <v>28</v>
      </c>
      <c r="O61">
        <v>400</v>
      </c>
      <c r="P61">
        <v>70</v>
      </c>
      <c r="Q61">
        <v>15</v>
      </c>
    </row>
    <row r="62" spans="1:17" x14ac:dyDescent="0.2">
      <c r="A62" t="s">
        <v>17</v>
      </c>
      <c r="B62" t="s">
        <v>62</v>
      </c>
      <c r="C62">
        <v>7</v>
      </c>
      <c r="D62">
        <v>77</v>
      </c>
      <c r="E62">
        <v>1</v>
      </c>
      <c r="F62">
        <v>1</v>
      </c>
      <c r="G62" t="s">
        <v>25</v>
      </c>
      <c r="H62" s="16">
        <v>503.5</v>
      </c>
      <c r="I62">
        <v>0</v>
      </c>
      <c r="J62">
        <v>0</v>
      </c>
      <c r="K62">
        <v>0</v>
      </c>
      <c r="L62" t="s">
        <v>80</v>
      </c>
      <c r="M62">
        <v>3</v>
      </c>
      <c r="N62" t="s">
        <v>28</v>
      </c>
      <c r="O62">
        <v>400</v>
      </c>
      <c r="P62">
        <v>70</v>
      </c>
      <c r="Q62">
        <v>15</v>
      </c>
    </row>
    <row r="63" spans="1:17" x14ac:dyDescent="0.2">
      <c r="A63" t="s">
        <v>17</v>
      </c>
      <c r="B63" t="s">
        <v>62</v>
      </c>
      <c r="C63">
        <v>7</v>
      </c>
      <c r="D63">
        <v>84</v>
      </c>
      <c r="E63">
        <v>1</v>
      </c>
      <c r="F63">
        <v>1</v>
      </c>
      <c r="G63" t="s">
        <v>25</v>
      </c>
      <c r="H63" s="16">
        <v>492</v>
      </c>
      <c r="I63">
        <v>0</v>
      </c>
      <c r="J63">
        <v>0</v>
      </c>
      <c r="K63">
        <v>0</v>
      </c>
      <c r="L63" t="s">
        <v>27</v>
      </c>
      <c r="M63">
        <v>3</v>
      </c>
      <c r="N63" t="s">
        <v>28</v>
      </c>
      <c r="O63">
        <v>400</v>
      </c>
      <c r="P63">
        <v>70</v>
      </c>
      <c r="Q63">
        <v>15</v>
      </c>
    </row>
    <row r="64" spans="1:17" x14ac:dyDescent="0.2">
      <c r="A64" t="s">
        <v>17</v>
      </c>
      <c r="B64" t="s">
        <v>62</v>
      </c>
      <c r="C64">
        <v>7</v>
      </c>
      <c r="D64">
        <v>91</v>
      </c>
      <c r="E64">
        <v>1</v>
      </c>
      <c r="F64">
        <v>1</v>
      </c>
      <c r="G64" t="s">
        <v>26</v>
      </c>
      <c r="H64" s="16">
        <v>652</v>
      </c>
      <c r="I64">
        <v>0</v>
      </c>
      <c r="J64">
        <v>0</v>
      </c>
      <c r="K64">
        <v>0</v>
      </c>
      <c r="L64" t="s">
        <v>80</v>
      </c>
      <c r="M64">
        <v>3</v>
      </c>
      <c r="N64" t="s">
        <v>28</v>
      </c>
      <c r="O64">
        <v>400</v>
      </c>
      <c r="P64">
        <v>70</v>
      </c>
      <c r="Q64">
        <v>15</v>
      </c>
    </row>
    <row r="65" spans="1:17" x14ac:dyDescent="0.2">
      <c r="A65" t="s">
        <v>17</v>
      </c>
      <c r="B65" t="s">
        <v>62</v>
      </c>
      <c r="C65">
        <v>8</v>
      </c>
      <c r="D65">
        <v>0</v>
      </c>
      <c r="E65">
        <v>1</v>
      </c>
      <c r="F65">
        <v>1</v>
      </c>
      <c r="G65" t="s">
        <v>25</v>
      </c>
      <c r="H65" s="16">
        <v>11.23</v>
      </c>
      <c r="I65">
        <v>0</v>
      </c>
      <c r="J65">
        <v>0</v>
      </c>
      <c r="K65">
        <v>0</v>
      </c>
      <c r="L65" t="s">
        <v>27</v>
      </c>
      <c r="M65">
        <v>3</v>
      </c>
      <c r="N65" t="s">
        <v>28</v>
      </c>
      <c r="O65">
        <v>400</v>
      </c>
      <c r="P65">
        <v>70</v>
      </c>
      <c r="Q65">
        <v>15</v>
      </c>
    </row>
    <row r="66" spans="1:17" x14ac:dyDescent="0.2">
      <c r="A66" t="s">
        <v>17</v>
      </c>
      <c r="B66" t="s">
        <v>62</v>
      </c>
      <c r="C66">
        <v>8</v>
      </c>
      <c r="D66">
        <v>14</v>
      </c>
      <c r="E66">
        <v>1</v>
      </c>
      <c r="F66">
        <v>1</v>
      </c>
      <c r="G66" t="s">
        <v>25</v>
      </c>
      <c r="H66" s="16">
        <v>26</v>
      </c>
      <c r="I66">
        <v>0</v>
      </c>
      <c r="J66">
        <v>0</v>
      </c>
      <c r="K66">
        <v>0</v>
      </c>
      <c r="L66" t="s">
        <v>12</v>
      </c>
      <c r="M66">
        <v>3</v>
      </c>
      <c r="N66" t="s">
        <v>28</v>
      </c>
      <c r="O66">
        <v>400</v>
      </c>
      <c r="P66">
        <v>70</v>
      </c>
      <c r="Q66">
        <v>15</v>
      </c>
    </row>
    <row r="67" spans="1:17" x14ac:dyDescent="0.2">
      <c r="A67" t="s">
        <v>17</v>
      </c>
      <c r="B67" t="s">
        <v>62</v>
      </c>
      <c r="C67">
        <v>9</v>
      </c>
      <c r="D67">
        <v>0</v>
      </c>
      <c r="E67">
        <v>1</v>
      </c>
      <c r="F67">
        <v>1</v>
      </c>
      <c r="G67" t="s">
        <v>25</v>
      </c>
      <c r="H67" s="16">
        <v>9.8000000000000007</v>
      </c>
      <c r="I67">
        <v>0</v>
      </c>
      <c r="J67">
        <v>0</v>
      </c>
      <c r="K67">
        <v>0</v>
      </c>
      <c r="L67" t="s">
        <v>27</v>
      </c>
      <c r="M67">
        <v>3</v>
      </c>
      <c r="N67" t="s">
        <v>28</v>
      </c>
      <c r="O67">
        <v>400</v>
      </c>
      <c r="P67">
        <v>70</v>
      </c>
      <c r="Q67">
        <v>15</v>
      </c>
    </row>
    <row r="68" spans="1:17" s="4" customFormat="1" x14ac:dyDescent="0.2">
      <c r="A68" s="4" t="s">
        <v>17</v>
      </c>
      <c r="B68" s="4" t="s">
        <v>62</v>
      </c>
      <c r="C68" s="4">
        <v>9</v>
      </c>
      <c r="D68" s="4">
        <v>14</v>
      </c>
      <c r="E68" s="4">
        <v>1</v>
      </c>
      <c r="F68" s="4">
        <v>1</v>
      </c>
      <c r="G68" s="4" t="s">
        <v>25</v>
      </c>
      <c r="H68" s="17">
        <v>23.5</v>
      </c>
      <c r="I68" s="4">
        <v>0</v>
      </c>
      <c r="J68" s="4">
        <v>0</v>
      </c>
      <c r="K68" s="4">
        <v>0</v>
      </c>
      <c r="L68" s="4" t="s">
        <v>12</v>
      </c>
      <c r="M68" s="4">
        <v>3</v>
      </c>
      <c r="N68" s="4" t="s">
        <v>28</v>
      </c>
      <c r="O68" s="4">
        <v>400</v>
      </c>
      <c r="P68" s="4">
        <v>70</v>
      </c>
      <c r="Q68" s="4">
        <v>15</v>
      </c>
    </row>
    <row r="69" spans="1:17" x14ac:dyDescent="0.2">
      <c r="A69" t="s">
        <v>17</v>
      </c>
      <c r="B69" t="s">
        <v>62</v>
      </c>
      <c r="C69">
        <v>10</v>
      </c>
      <c r="D69">
        <v>0</v>
      </c>
      <c r="E69">
        <v>1</v>
      </c>
      <c r="F69">
        <v>1</v>
      </c>
      <c r="G69" t="s">
        <v>25</v>
      </c>
      <c r="H69" s="16">
        <v>8.6</v>
      </c>
      <c r="I69">
        <v>0</v>
      </c>
      <c r="J69">
        <v>0</v>
      </c>
      <c r="K69">
        <v>0</v>
      </c>
      <c r="L69" t="s">
        <v>27</v>
      </c>
      <c r="M69">
        <v>3</v>
      </c>
      <c r="N69" t="s">
        <v>28</v>
      </c>
      <c r="O69">
        <v>400</v>
      </c>
      <c r="P69">
        <v>70</v>
      </c>
      <c r="Q69">
        <v>15</v>
      </c>
    </row>
    <row r="70" spans="1:17" s="4" customFormat="1" x14ac:dyDescent="0.2">
      <c r="A70" s="4" t="s">
        <v>17</v>
      </c>
      <c r="B70" s="4" t="s">
        <v>62</v>
      </c>
      <c r="C70" s="4">
        <v>10</v>
      </c>
      <c r="D70" s="4">
        <v>14</v>
      </c>
      <c r="E70" s="4">
        <v>1</v>
      </c>
      <c r="F70" s="4">
        <v>1</v>
      </c>
      <c r="G70" s="4" t="s">
        <v>25</v>
      </c>
      <c r="H70" s="17">
        <v>19</v>
      </c>
      <c r="I70" s="4">
        <v>0</v>
      </c>
      <c r="J70" s="4">
        <v>0</v>
      </c>
      <c r="K70" s="4">
        <v>0</v>
      </c>
      <c r="L70" s="4" t="s">
        <v>12</v>
      </c>
      <c r="M70" s="4">
        <v>3</v>
      </c>
      <c r="N70" s="4" t="s">
        <v>28</v>
      </c>
      <c r="O70" s="4">
        <v>400</v>
      </c>
      <c r="P70" s="4">
        <v>70</v>
      </c>
      <c r="Q70" s="4">
        <v>15</v>
      </c>
    </row>
    <row r="71" spans="1:17" x14ac:dyDescent="0.2">
      <c r="A71" t="s">
        <v>17</v>
      </c>
      <c r="B71" t="s">
        <v>62</v>
      </c>
      <c r="C71">
        <v>11</v>
      </c>
      <c r="D71">
        <v>0</v>
      </c>
      <c r="E71">
        <v>1</v>
      </c>
      <c r="F71">
        <v>1</v>
      </c>
      <c r="G71" t="s">
        <v>25</v>
      </c>
      <c r="H71" s="16">
        <v>12.8</v>
      </c>
      <c r="I71">
        <v>0</v>
      </c>
      <c r="J71">
        <v>0</v>
      </c>
      <c r="K71">
        <v>0</v>
      </c>
      <c r="L71" t="s">
        <v>27</v>
      </c>
      <c r="M71">
        <v>3</v>
      </c>
      <c r="N71" t="s">
        <v>28</v>
      </c>
      <c r="O71">
        <v>400</v>
      </c>
      <c r="P71">
        <v>70</v>
      </c>
      <c r="Q71">
        <v>15</v>
      </c>
    </row>
    <row r="72" spans="1:17" s="4" customFormat="1" x14ac:dyDescent="0.2">
      <c r="A72" s="4" t="s">
        <v>17</v>
      </c>
      <c r="B72" s="4" t="s">
        <v>62</v>
      </c>
      <c r="C72" s="4">
        <v>11</v>
      </c>
      <c r="D72" s="4">
        <v>14</v>
      </c>
      <c r="E72" s="4">
        <v>1</v>
      </c>
      <c r="F72" s="4">
        <v>1</v>
      </c>
      <c r="G72" s="4" t="s">
        <v>25</v>
      </c>
      <c r="H72" s="17">
        <v>32.700000000000003</v>
      </c>
      <c r="I72" s="4">
        <v>0</v>
      </c>
      <c r="J72" s="4">
        <v>0</v>
      </c>
      <c r="K72" s="4">
        <v>0</v>
      </c>
      <c r="L72" s="4" t="s">
        <v>12</v>
      </c>
      <c r="M72" s="4">
        <v>3</v>
      </c>
      <c r="N72" s="4" t="s">
        <v>28</v>
      </c>
      <c r="O72" s="4">
        <v>400</v>
      </c>
      <c r="P72" s="4">
        <v>70</v>
      </c>
      <c r="Q72" s="4">
        <v>15</v>
      </c>
    </row>
    <row r="73" spans="1:17" x14ac:dyDescent="0.2">
      <c r="A73" t="s">
        <v>17</v>
      </c>
      <c r="B73" t="s">
        <v>62</v>
      </c>
      <c r="C73">
        <v>12</v>
      </c>
      <c r="D73">
        <v>0</v>
      </c>
      <c r="E73">
        <v>1</v>
      </c>
      <c r="F73">
        <v>1</v>
      </c>
      <c r="G73" t="s">
        <v>25</v>
      </c>
      <c r="H73" s="16">
        <v>10.5</v>
      </c>
      <c r="I73">
        <v>0</v>
      </c>
      <c r="J73">
        <v>0</v>
      </c>
      <c r="K73">
        <v>0</v>
      </c>
      <c r="L73" t="s">
        <v>27</v>
      </c>
      <c r="M73">
        <v>3</v>
      </c>
      <c r="N73" t="s">
        <v>28</v>
      </c>
      <c r="O73">
        <v>400</v>
      </c>
      <c r="P73">
        <v>70</v>
      </c>
      <c r="Q73">
        <v>15</v>
      </c>
    </row>
    <row r="74" spans="1:17" s="4" customFormat="1" x14ac:dyDescent="0.2">
      <c r="A74" s="4" t="s">
        <v>17</v>
      </c>
      <c r="B74" s="4" t="s">
        <v>62</v>
      </c>
      <c r="C74" s="4">
        <v>12</v>
      </c>
      <c r="D74" s="4">
        <v>14</v>
      </c>
      <c r="E74" s="4">
        <v>1</v>
      </c>
      <c r="F74" s="4">
        <v>1</v>
      </c>
      <c r="G74" s="4" t="s">
        <v>25</v>
      </c>
      <c r="H74" s="17">
        <v>22.9</v>
      </c>
      <c r="I74" s="4">
        <v>0</v>
      </c>
      <c r="J74" s="4">
        <v>0</v>
      </c>
      <c r="K74" s="4">
        <v>0</v>
      </c>
      <c r="L74" s="4" t="s">
        <v>12</v>
      </c>
      <c r="M74" s="4">
        <v>3</v>
      </c>
      <c r="N74" s="4" t="s">
        <v>28</v>
      </c>
      <c r="O74" s="4">
        <v>400</v>
      </c>
      <c r="P74" s="4">
        <v>70</v>
      </c>
      <c r="Q74" s="4">
        <v>15</v>
      </c>
    </row>
    <row r="75" spans="1:17" x14ac:dyDescent="0.2">
      <c r="A75" t="s">
        <v>17</v>
      </c>
      <c r="B75" t="s">
        <v>62</v>
      </c>
      <c r="C75">
        <v>13</v>
      </c>
      <c r="D75">
        <v>0</v>
      </c>
      <c r="E75">
        <v>1</v>
      </c>
      <c r="F75">
        <v>1</v>
      </c>
      <c r="G75" t="s">
        <v>25</v>
      </c>
      <c r="H75" s="16">
        <v>10.1</v>
      </c>
      <c r="I75">
        <v>0</v>
      </c>
      <c r="J75">
        <v>0</v>
      </c>
      <c r="K75">
        <v>0</v>
      </c>
      <c r="L75" t="s">
        <v>27</v>
      </c>
      <c r="M75">
        <v>3</v>
      </c>
      <c r="N75" t="s">
        <v>28</v>
      </c>
      <c r="O75">
        <v>400</v>
      </c>
      <c r="P75">
        <v>70</v>
      </c>
      <c r="Q75">
        <v>15</v>
      </c>
    </row>
    <row r="76" spans="1:17" s="4" customFormat="1" x14ac:dyDescent="0.2">
      <c r="A76" s="4" t="s">
        <v>17</v>
      </c>
      <c r="B76" s="4" t="s">
        <v>62</v>
      </c>
      <c r="C76" s="4">
        <v>13</v>
      </c>
      <c r="D76" s="4">
        <v>14</v>
      </c>
      <c r="E76" s="4">
        <v>1</v>
      </c>
      <c r="F76" s="4">
        <v>1</v>
      </c>
      <c r="G76" s="4" t="s">
        <v>25</v>
      </c>
      <c r="H76" s="17">
        <v>23.6</v>
      </c>
      <c r="I76" s="4">
        <v>0</v>
      </c>
      <c r="J76" s="4">
        <v>0</v>
      </c>
      <c r="K76" s="4">
        <v>0</v>
      </c>
      <c r="L76" s="4" t="s">
        <v>12</v>
      </c>
      <c r="M76" s="4">
        <v>3</v>
      </c>
      <c r="N76" s="4" t="s">
        <v>28</v>
      </c>
      <c r="O76" s="4">
        <v>400</v>
      </c>
      <c r="P76" s="4">
        <v>70</v>
      </c>
      <c r="Q76" s="4">
        <v>15</v>
      </c>
    </row>
    <row r="77" spans="1:17" x14ac:dyDescent="0.2">
      <c r="A77" t="s">
        <v>17</v>
      </c>
      <c r="B77" t="s">
        <v>62</v>
      </c>
      <c r="C77">
        <v>14</v>
      </c>
      <c r="D77">
        <v>0</v>
      </c>
      <c r="E77">
        <v>1</v>
      </c>
      <c r="F77">
        <v>1</v>
      </c>
      <c r="G77" t="s">
        <v>25</v>
      </c>
      <c r="H77" s="16">
        <v>15.9</v>
      </c>
      <c r="I77">
        <v>0</v>
      </c>
      <c r="J77">
        <v>0</v>
      </c>
      <c r="K77">
        <v>0</v>
      </c>
      <c r="L77" t="s">
        <v>27</v>
      </c>
      <c r="M77">
        <v>3</v>
      </c>
      <c r="N77" t="s">
        <v>28</v>
      </c>
      <c r="O77">
        <v>400</v>
      </c>
      <c r="P77">
        <v>70</v>
      </c>
      <c r="Q77">
        <v>15</v>
      </c>
    </row>
    <row r="78" spans="1:17" s="4" customFormat="1" x14ac:dyDescent="0.2">
      <c r="A78" s="4" t="s">
        <v>17</v>
      </c>
      <c r="B78" s="4" t="s">
        <v>62</v>
      </c>
      <c r="C78" s="4">
        <v>14</v>
      </c>
      <c r="D78" s="4">
        <v>14</v>
      </c>
      <c r="E78" s="4">
        <v>1</v>
      </c>
      <c r="F78" s="4">
        <v>1</v>
      </c>
      <c r="G78" s="4" t="s">
        <v>25</v>
      </c>
      <c r="H78" s="17">
        <v>42.6</v>
      </c>
      <c r="I78" s="4">
        <v>0</v>
      </c>
      <c r="J78" s="4">
        <v>0</v>
      </c>
      <c r="K78" s="4">
        <v>0</v>
      </c>
      <c r="L78" s="4" t="s">
        <v>12</v>
      </c>
      <c r="M78" s="4">
        <v>3</v>
      </c>
      <c r="N78" s="4" t="s">
        <v>28</v>
      </c>
      <c r="O78" s="4">
        <v>400</v>
      </c>
      <c r="P78" s="4">
        <v>70</v>
      </c>
      <c r="Q78" s="4">
        <v>15</v>
      </c>
    </row>
    <row r="79" spans="1:17" x14ac:dyDescent="0.2">
      <c r="A79" t="s">
        <v>17</v>
      </c>
      <c r="B79" t="s">
        <v>62</v>
      </c>
      <c r="C79">
        <v>15</v>
      </c>
      <c r="D79">
        <v>0</v>
      </c>
      <c r="E79">
        <v>1</v>
      </c>
      <c r="F79">
        <v>1</v>
      </c>
      <c r="G79" t="s">
        <v>25</v>
      </c>
      <c r="H79" s="16">
        <v>10.6</v>
      </c>
      <c r="I79">
        <v>0</v>
      </c>
      <c r="J79">
        <v>0</v>
      </c>
      <c r="K79">
        <v>0</v>
      </c>
      <c r="L79" t="s">
        <v>27</v>
      </c>
      <c r="M79">
        <v>3</v>
      </c>
      <c r="N79" t="s">
        <v>28</v>
      </c>
      <c r="O79">
        <v>400</v>
      </c>
      <c r="P79">
        <v>70</v>
      </c>
      <c r="Q79">
        <v>15</v>
      </c>
    </row>
    <row r="80" spans="1:17" x14ac:dyDescent="0.2">
      <c r="A80" t="s">
        <v>17</v>
      </c>
      <c r="B80" t="s">
        <v>62</v>
      </c>
      <c r="C80">
        <v>15</v>
      </c>
      <c r="D80">
        <v>14</v>
      </c>
      <c r="E80">
        <v>1</v>
      </c>
      <c r="F80">
        <v>1</v>
      </c>
      <c r="G80" t="s">
        <v>25</v>
      </c>
      <c r="H80" s="16">
        <v>29</v>
      </c>
      <c r="I80">
        <v>0</v>
      </c>
      <c r="J80">
        <v>0</v>
      </c>
      <c r="K80">
        <v>0</v>
      </c>
      <c r="L80" t="s">
        <v>12</v>
      </c>
      <c r="M80">
        <v>3</v>
      </c>
      <c r="N80" t="s">
        <v>28</v>
      </c>
      <c r="O80">
        <v>400</v>
      </c>
      <c r="P80">
        <v>70</v>
      </c>
      <c r="Q80">
        <v>15</v>
      </c>
    </row>
    <row r="81" spans="1:17" x14ac:dyDescent="0.2">
      <c r="A81" t="s">
        <v>17</v>
      </c>
      <c r="B81" t="s">
        <v>62</v>
      </c>
      <c r="C81">
        <v>15</v>
      </c>
      <c r="D81">
        <v>28</v>
      </c>
      <c r="E81">
        <v>1</v>
      </c>
      <c r="F81">
        <v>1</v>
      </c>
      <c r="G81" t="s">
        <v>25</v>
      </c>
      <c r="H81" s="16">
        <v>89.2</v>
      </c>
      <c r="I81">
        <v>0</v>
      </c>
      <c r="J81">
        <v>0</v>
      </c>
      <c r="K81">
        <v>0</v>
      </c>
      <c r="L81" t="s">
        <v>27</v>
      </c>
      <c r="M81">
        <v>3</v>
      </c>
      <c r="N81" t="s">
        <v>28</v>
      </c>
      <c r="O81">
        <v>400</v>
      </c>
      <c r="P81">
        <v>70</v>
      </c>
      <c r="Q81">
        <v>15</v>
      </c>
    </row>
    <row r="82" spans="1:17" s="4" customFormat="1" x14ac:dyDescent="0.2">
      <c r="A82" s="4" t="s">
        <v>17</v>
      </c>
      <c r="B82" s="4" t="s">
        <v>62</v>
      </c>
      <c r="C82" s="4">
        <v>15</v>
      </c>
      <c r="D82" s="4">
        <v>42</v>
      </c>
      <c r="E82" s="4">
        <v>1</v>
      </c>
      <c r="F82" s="4">
        <v>1</v>
      </c>
      <c r="G82" s="4" t="s">
        <v>25</v>
      </c>
      <c r="H82" s="17">
        <v>117.7</v>
      </c>
      <c r="I82" s="4">
        <v>0</v>
      </c>
      <c r="J82" s="4">
        <v>0</v>
      </c>
      <c r="K82" s="4">
        <v>0</v>
      </c>
      <c r="L82" s="4" t="s">
        <v>12</v>
      </c>
      <c r="M82" s="4">
        <v>3</v>
      </c>
      <c r="N82" s="4" t="s">
        <v>28</v>
      </c>
      <c r="O82" s="4">
        <v>400</v>
      </c>
      <c r="P82" s="4">
        <v>70</v>
      </c>
      <c r="Q82" s="4">
        <v>15</v>
      </c>
    </row>
    <row r="83" spans="1:17" x14ac:dyDescent="0.2">
      <c r="A83" t="s">
        <v>17</v>
      </c>
      <c r="B83" t="s">
        <v>62</v>
      </c>
      <c r="C83">
        <v>16</v>
      </c>
      <c r="D83">
        <v>0</v>
      </c>
      <c r="E83">
        <v>1</v>
      </c>
      <c r="F83">
        <v>1</v>
      </c>
      <c r="G83" t="s">
        <v>25</v>
      </c>
      <c r="H83" s="16">
        <v>9.6</v>
      </c>
      <c r="I83">
        <v>0</v>
      </c>
      <c r="J83">
        <v>0</v>
      </c>
      <c r="K83">
        <v>0</v>
      </c>
      <c r="L83" t="s">
        <v>27</v>
      </c>
      <c r="M83">
        <v>3</v>
      </c>
      <c r="N83" t="s">
        <v>28</v>
      </c>
      <c r="O83">
        <v>400</v>
      </c>
      <c r="P83">
        <v>70</v>
      </c>
      <c r="Q83">
        <v>15</v>
      </c>
    </row>
    <row r="84" spans="1:17" x14ac:dyDescent="0.2">
      <c r="A84" t="s">
        <v>17</v>
      </c>
      <c r="B84" t="s">
        <v>62</v>
      </c>
      <c r="C84">
        <v>16</v>
      </c>
      <c r="D84">
        <v>14</v>
      </c>
      <c r="E84">
        <v>1</v>
      </c>
      <c r="F84">
        <v>1</v>
      </c>
      <c r="G84" t="s">
        <v>25</v>
      </c>
      <c r="H84" s="16">
        <v>34.299999999999997</v>
      </c>
      <c r="I84">
        <v>0</v>
      </c>
      <c r="J84">
        <v>0</v>
      </c>
      <c r="K84">
        <v>0</v>
      </c>
      <c r="L84" t="s">
        <v>12</v>
      </c>
      <c r="M84">
        <v>3</v>
      </c>
      <c r="N84" t="s">
        <v>28</v>
      </c>
      <c r="O84">
        <v>400</v>
      </c>
      <c r="P84">
        <v>70</v>
      </c>
      <c r="Q84">
        <v>15</v>
      </c>
    </row>
    <row r="85" spans="1:17" x14ac:dyDescent="0.2">
      <c r="A85" t="s">
        <v>17</v>
      </c>
      <c r="B85" t="s">
        <v>62</v>
      </c>
      <c r="C85">
        <v>16</v>
      </c>
      <c r="D85">
        <v>28</v>
      </c>
      <c r="E85">
        <v>1</v>
      </c>
      <c r="F85">
        <v>1</v>
      </c>
      <c r="G85" t="s">
        <v>25</v>
      </c>
      <c r="H85" s="16">
        <v>88.4</v>
      </c>
      <c r="I85">
        <v>0</v>
      </c>
      <c r="J85">
        <v>0</v>
      </c>
      <c r="K85">
        <v>0</v>
      </c>
      <c r="L85" t="s">
        <v>27</v>
      </c>
      <c r="M85">
        <v>3</v>
      </c>
      <c r="N85" t="s">
        <v>28</v>
      </c>
      <c r="O85">
        <v>400</v>
      </c>
      <c r="P85">
        <v>70</v>
      </c>
      <c r="Q85">
        <v>15</v>
      </c>
    </row>
    <row r="86" spans="1:17" s="4" customFormat="1" x14ac:dyDescent="0.2">
      <c r="A86" s="4" t="s">
        <v>17</v>
      </c>
      <c r="B86" s="4" t="s">
        <v>62</v>
      </c>
      <c r="C86" s="4">
        <v>16</v>
      </c>
      <c r="D86" s="4">
        <v>42</v>
      </c>
      <c r="E86" s="4">
        <v>1</v>
      </c>
      <c r="F86" s="4">
        <v>1</v>
      </c>
      <c r="G86" s="4" t="s">
        <v>25</v>
      </c>
      <c r="H86" s="17">
        <v>122.4</v>
      </c>
      <c r="I86" s="4">
        <v>0</v>
      </c>
      <c r="J86" s="4">
        <v>0</v>
      </c>
      <c r="K86" s="4">
        <v>0</v>
      </c>
      <c r="L86" s="4" t="s">
        <v>12</v>
      </c>
      <c r="M86" s="4">
        <v>3</v>
      </c>
      <c r="N86" s="4" t="s">
        <v>28</v>
      </c>
      <c r="O86" s="4">
        <v>400</v>
      </c>
      <c r="P86" s="4">
        <v>70</v>
      </c>
      <c r="Q86" s="4">
        <v>15</v>
      </c>
    </row>
    <row r="87" spans="1:17" x14ac:dyDescent="0.2">
      <c r="A87" t="s">
        <v>17</v>
      </c>
      <c r="B87" t="s">
        <v>62</v>
      </c>
      <c r="C87">
        <v>17</v>
      </c>
      <c r="D87">
        <v>0</v>
      </c>
      <c r="E87">
        <v>1</v>
      </c>
      <c r="F87">
        <v>1</v>
      </c>
      <c r="G87" t="s">
        <v>25</v>
      </c>
      <c r="H87" s="16">
        <v>9.9</v>
      </c>
      <c r="I87">
        <v>0</v>
      </c>
      <c r="J87">
        <v>0</v>
      </c>
      <c r="K87">
        <v>0</v>
      </c>
      <c r="L87" t="s">
        <v>27</v>
      </c>
      <c r="M87">
        <v>3</v>
      </c>
      <c r="N87" t="s">
        <v>28</v>
      </c>
      <c r="O87">
        <v>400</v>
      </c>
      <c r="P87">
        <v>70</v>
      </c>
      <c r="Q87">
        <v>15</v>
      </c>
    </row>
    <row r="88" spans="1:17" x14ac:dyDescent="0.2">
      <c r="A88" t="s">
        <v>17</v>
      </c>
      <c r="B88" t="s">
        <v>62</v>
      </c>
      <c r="C88">
        <v>17</v>
      </c>
      <c r="D88">
        <v>14</v>
      </c>
      <c r="E88">
        <v>1</v>
      </c>
      <c r="F88">
        <v>1</v>
      </c>
      <c r="G88" t="s">
        <v>25</v>
      </c>
      <c r="H88" s="16">
        <v>28.4</v>
      </c>
      <c r="I88">
        <v>0</v>
      </c>
      <c r="J88">
        <v>0</v>
      </c>
      <c r="K88">
        <v>0</v>
      </c>
      <c r="L88" t="s">
        <v>12</v>
      </c>
      <c r="M88">
        <v>3</v>
      </c>
      <c r="N88" t="s">
        <v>28</v>
      </c>
      <c r="O88">
        <v>400</v>
      </c>
      <c r="P88">
        <v>70</v>
      </c>
      <c r="Q88">
        <v>15</v>
      </c>
    </row>
    <row r="89" spans="1:17" x14ac:dyDescent="0.2">
      <c r="A89" t="s">
        <v>17</v>
      </c>
      <c r="B89" t="s">
        <v>62</v>
      </c>
      <c r="C89">
        <v>17</v>
      </c>
      <c r="D89">
        <v>28</v>
      </c>
      <c r="E89">
        <v>1</v>
      </c>
      <c r="F89">
        <v>1</v>
      </c>
      <c r="G89" t="s">
        <v>25</v>
      </c>
      <c r="H89" s="16">
        <v>97.7</v>
      </c>
      <c r="I89">
        <v>0</v>
      </c>
      <c r="J89">
        <v>0</v>
      </c>
      <c r="K89">
        <v>0</v>
      </c>
      <c r="L89" t="s">
        <v>27</v>
      </c>
      <c r="M89">
        <v>3</v>
      </c>
      <c r="N89" t="s">
        <v>28</v>
      </c>
      <c r="O89">
        <v>400</v>
      </c>
      <c r="P89">
        <v>70</v>
      </c>
      <c r="Q89">
        <v>15</v>
      </c>
    </row>
    <row r="90" spans="1:17" s="4" customFormat="1" x14ac:dyDescent="0.2">
      <c r="A90" s="4" t="s">
        <v>17</v>
      </c>
      <c r="B90" s="4" t="s">
        <v>62</v>
      </c>
      <c r="C90" s="4">
        <v>17</v>
      </c>
      <c r="D90" s="4">
        <v>42</v>
      </c>
      <c r="E90" s="4">
        <v>1</v>
      </c>
      <c r="F90" s="4">
        <v>1</v>
      </c>
      <c r="G90" s="4" t="s">
        <v>25</v>
      </c>
      <c r="H90" s="17">
        <v>120.3</v>
      </c>
      <c r="I90" s="4">
        <v>0</v>
      </c>
      <c r="J90" s="4">
        <v>0</v>
      </c>
      <c r="K90" s="4">
        <v>0</v>
      </c>
      <c r="L90" s="4" t="s">
        <v>12</v>
      </c>
      <c r="M90" s="4">
        <v>3</v>
      </c>
      <c r="N90" s="4" t="s">
        <v>28</v>
      </c>
      <c r="O90" s="4">
        <v>400</v>
      </c>
      <c r="P90" s="4">
        <v>70</v>
      </c>
      <c r="Q90" s="4">
        <v>15</v>
      </c>
    </row>
    <row r="91" spans="1:17" x14ac:dyDescent="0.2">
      <c r="A91" t="s">
        <v>17</v>
      </c>
      <c r="B91" t="s">
        <v>62</v>
      </c>
      <c r="C91">
        <v>18</v>
      </c>
      <c r="D91">
        <v>0</v>
      </c>
      <c r="E91">
        <v>1</v>
      </c>
      <c r="F91">
        <v>1</v>
      </c>
      <c r="G91" t="s">
        <v>25</v>
      </c>
      <c r="H91" s="16">
        <v>9.6</v>
      </c>
      <c r="I91">
        <v>0</v>
      </c>
      <c r="J91">
        <v>0</v>
      </c>
      <c r="K91">
        <v>0</v>
      </c>
      <c r="L91" t="s">
        <v>27</v>
      </c>
      <c r="M91">
        <v>3</v>
      </c>
      <c r="N91" t="s">
        <v>28</v>
      </c>
      <c r="O91">
        <v>400</v>
      </c>
      <c r="P91">
        <v>70</v>
      </c>
      <c r="Q91">
        <v>15</v>
      </c>
    </row>
    <row r="92" spans="1:17" x14ac:dyDescent="0.2">
      <c r="A92" t="s">
        <v>17</v>
      </c>
      <c r="B92" t="s">
        <v>62</v>
      </c>
      <c r="C92">
        <v>18</v>
      </c>
      <c r="D92">
        <v>14</v>
      </c>
      <c r="E92">
        <v>1</v>
      </c>
      <c r="F92">
        <v>1</v>
      </c>
      <c r="G92" t="s">
        <v>25</v>
      </c>
      <c r="H92" s="16">
        <v>23.7</v>
      </c>
      <c r="I92">
        <v>0</v>
      </c>
      <c r="J92">
        <v>0</v>
      </c>
      <c r="K92">
        <v>0</v>
      </c>
      <c r="L92" t="s">
        <v>12</v>
      </c>
      <c r="M92">
        <v>3</v>
      </c>
      <c r="N92" t="s">
        <v>28</v>
      </c>
      <c r="O92">
        <v>400</v>
      </c>
      <c r="P92">
        <v>70</v>
      </c>
      <c r="Q92">
        <v>15</v>
      </c>
    </row>
    <row r="93" spans="1:17" x14ac:dyDescent="0.2">
      <c r="A93" t="s">
        <v>17</v>
      </c>
      <c r="B93" t="s">
        <v>62</v>
      </c>
      <c r="C93">
        <v>18</v>
      </c>
      <c r="D93">
        <v>28</v>
      </c>
      <c r="E93">
        <v>1</v>
      </c>
      <c r="F93">
        <v>1</v>
      </c>
      <c r="G93" t="s">
        <v>25</v>
      </c>
      <c r="H93" s="16">
        <v>67.599999999999994</v>
      </c>
      <c r="I93">
        <v>0</v>
      </c>
      <c r="J93">
        <v>0</v>
      </c>
      <c r="K93">
        <v>0</v>
      </c>
      <c r="L93" t="s">
        <v>27</v>
      </c>
      <c r="M93">
        <v>3</v>
      </c>
      <c r="N93" t="s">
        <v>28</v>
      </c>
      <c r="O93">
        <v>400</v>
      </c>
      <c r="P93">
        <v>70</v>
      </c>
      <c r="Q93">
        <v>15</v>
      </c>
    </row>
    <row r="94" spans="1:17" s="4" customFormat="1" x14ac:dyDescent="0.2">
      <c r="A94" s="4" t="s">
        <v>17</v>
      </c>
      <c r="B94" s="4" t="s">
        <v>62</v>
      </c>
      <c r="C94" s="4">
        <v>18</v>
      </c>
      <c r="D94" s="4">
        <v>42</v>
      </c>
      <c r="E94" s="4">
        <v>1</v>
      </c>
      <c r="F94" s="4">
        <v>1</v>
      </c>
      <c r="G94" s="4" t="s">
        <v>25</v>
      </c>
      <c r="H94" s="17">
        <v>113.8</v>
      </c>
      <c r="I94" s="4">
        <v>0</v>
      </c>
      <c r="J94" s="4">
        <v>0</v>
      </c>
      <c r="K94" s="4">
        <v>0</v>
      </c>
      <c r="L94" s="4" t="s">
        <v>12</v>
      </c>
      <c r="M94" s="4">
        <v>3</v>
      </c>
      <c r="N94" s="4" t="s">
        <v>28</v>
      </c>
      <c r="O94" s="4">
        <v>400</v>
      </c>
      <c r="P94" s="4">
        <v>70</v>
      </c>
      <c r="Q94" s="4">
        <v>15</v>
      </c>
    </row>
    <row r="95" spans="1:17" x14ac:dyDescent="0.2">
      <c r="A95" t="s">
        <v>17</v>
      </c>
      <c r="B95" t="s">
        <v>62</v>
      </c>
      <c r="C95">
        <v>19</v>
      </c>
      <c r="D95">
        <v>0</v>
      </c>
      <c r="E95">
        <v>1</v>
      </c>
      <c r="F95">
        <v>1</v>
      </c>
      <c r="G95" t="s">
        <v>25</v>
      </c>
      <c r="H95" s="16">
        <v>15.9</v>
      </c>
      <c r="I95">
        <v>0</v>
      </c>
      <c r="J95">
        <v>0</v>
      </c>
      <c r="K95">
        <v>0</v>
      </c>
      <c r="L95" t="s">
        <v>27</v>
      </c>
      <c r="M95">
        <v>3</v>
      </c>
      <c r="N95" t="s">
        <v>28</v>
      </c>
      <c r="O95">
        <v>400</v>
      </c>
      <c r="P95">
        <v>70</v>
      </c>
      <c r="Q95">
        <v>15</v>
      </c>
    </row>
    <row r="96" spans="1:17" x14ac:dyDescent="0.2">
      <c r="A96" t="s">
        <v>17</v>
      </c>
      <c r="B96" t="s">
        <v>62</v>
      </c>
      <c r="C96">
        <v>19</v>
      </c>
      <c r="D96">
        <v>14</v>
      </c>
      <c r="E96">
        <v>1</v>
      </c>
      <c r="F96">
        <v>1</v>
      </c>
      <c r="G96" t="s">
        <v>25</v>
      </c>
      <c r="H96" s="16">
        <v>40.700000000000003</v>
      </c>
      <c r="I96">
        <v>0</v>
      </c>
      <c r="J96">
        <v>0</v>
      </c>
      <c r="K96">
        <v>0</v>
      </c>
      <c r="L96" t="s">
        <v>12</v>
      </c>
      <c r="M96">
        <v>3</v>
      </c>
      <c r="N96" t="s">
        <v>28</v>
      </c>
      <c r="O96">
        <v>400</v>
      </c>
      <c r="P96">
        <v>70</v>
      </c>
      <c r="Q96">
        <v>15</v>
      </c>
    </row>
    <row r="97" spans="1:17" x14ac:dyDescent="0.2">
      <c r="A97" t="s">
        <v>17</v>
      </c>
      <c r="B97" t="s">
        <v>62</v>
      </c>
      <c r="C97">
        <v>19</v>
      </c>
      <c r="D97">
        <v>28</v>
      </c>
      <c r="E97">
        <v>1</v>
      </c>
      <c r="F97">
        <v>1</v>
      </c>
      <c r="G97" t="s">
        <v>25</v>
      </c>
      <c r="H97" s="16">
        <v>103.7</v>
      </c>
      <c r="I97">
        <v>0</v>
      </c>
      <c r="J97">
        <v>0</v>
      </c>
      <c r="K97">
        <v>0</v>
      </c>
      <c r="L97" t="s">
        <v>27</v>
      </c>
      <c r="M97">
        <v>3</v>
      </c>
      <c r="N97" t="s">
        <v>28</v>
      </c>
      <c r="O97">
        <v>400</v>
      </c>
      <c r="P97">
        <v>70</v>
      </c>
      <c r="Q97">
        <v>15</v>
      </c>
    </row>
    <row r="98" spans="1:17" s="4" customFormat="1" x14ac:dyDescent="0.2">
      <c r="A98" s="4" t="s">
        <v>17</v>
      </c>
      <c r="B98" s="4" t="s">
        <v>62</v>
      </c>
      <c r="C98" s="4">
        <v>19</v>
      </c>
      <c r="D98" s="4">
        <v>42</v>
      </c>
      <c r="E98" s="4">
        <v>1</v>
      </c>
      <c r="F98" s="4">
        <v>1</v>
      </c>
      <c r="G98" s="4" t="s">
        <v>25</v>
      </c>
      <c r="H98" s="17">
        <v>183.2</v>
      </c>
      <c r="I98" s="4">
        <v>0</v>
      </c>
      <c r="J98" s="4">
        <v>0</v>
      </c>
      <c r="K98" s="4">
        <v>0</v>
      </c>
      <c r="L98" s="4" t="s">
        <v>12</v>
      </c>
      <c r="M98" s="4">
        <v>3</v>
      </c>
      <c r="N98" s="4" t="s">
        <v>28</v>
      </c>
      <c r="O98" s="4">
        <v>400</v>
      </c>
      <c r="P98" s="4">
        <v>70</v>
      </c>
      <c r="Q98" s="4">
        <v>15</v>
      </c>
    </row>
    <row r="99" spans="1:17" x14ac:dyDescent="0.2">
      <c r="A99" t="s">
        <v>17</v>
      </c>
      <c r="B99" t="s">
        <v>62</v>
      </c>
      <c r="C99">
        <v>20</v>
      </c>
      <c r="D99">
        <v>0</v>
      </c>
      <c r="E99">
        <v>1</v>
      </c>
      <c r="F99">
        <v>1</v>
      </c>
      <c r="G99" t="s">
        <v>25</v>
      </c>
      <c r="H99" s="16">
        <v>9.1999999999999993</v>
      </c>
      <c r="I99">
        <v>0</v>
      </c>
      <c r="J99">
        <v>0</v>
      </c>
      <c r="K99">
        <v>0</v>
      </c>
      <c r="L99" t="s">
        <v>27</v>
      </c>
      <c r="M99">
        <v>3</v>
      </c>
      <c r="N99" t="s">
        <v>28</v>
      </c>
      <c r="O99">
        <v>400</v>
      </c>
      <c r="P99">
        <v>70</v>
      </c>
      <c r="Q99">
        <v>15</v>
      </c>
    </row>
    <row r="100" spans="1:17" x14ac:dyDescent="0.2">
      <c r="A100" t="s">
        <v>17</v>
      </c>
      <c r="B100" t="s">
        <v>62</v>
      </c>
      <c r="C100">
        <v>20</v>
      </c>
      <c r="D100">
        <v>14</v>
      </c>
      <c r="E100">
        <v>1</v>
      </c>
      <c r="F100">
        <v>1</v>
      </c>
      <c r="G100" t="s">
        <v>25</v>
      </c>
      <c r="H100" s="16">
        <v>27.5</v>
      </c>
      <c r="I100">
        <v>0</v>
      </c>
      <c r="J100">
        <v>0</v>
      </c>
      <c r="K100">
        <v>0</v>
      </c>
      <c r="L100" t="s">
        <v>12</v>
      </c>
      <c r="M100">
        <v>3</v>
      </c>
      <c r="N100" t="s">
        <v>28</v>
      </c>
      <c r="O100">
        <v>400</v>
      </c>
      <c r="P100">
        <v>70</v>
      </c>
      <c r="Q100">
        <v>15</v>
      </c>
    </row>
    <row r="101" spans="1:17" x14ac:dyDescent="0.2">
      <c r="A101" t="s">
        <v>17</v>
      </c>
      <c r="B101" t="s">
        <v>62</v>
      </c>
      <c r="C101">
        <v>20</v>
      </c>
      <c r="D101">
        <v>28</v>
      </c>
      <c r="E101">
        <v>1</v>
      </c>
      <c r="F101">
        <v>1</v>
      </c>
      <c r="G101" t="s">
        <v>25</v>
      </c>
      <c r="H101" s="16">
        <v>92.2</v>
      </c>
      <c r="I101">
        <v>0</v>
      </c>
      <c r="J101">
        <v>0</v>
      </c>
      <c r="K101">
        <v>0</v>
      </c>
      <c r="L101" t="s">
        <v>27</v>
      </c>
      <c r="M101">
        <v>3</v>
      </c>
      <c r="N101" t="s">
        <v>28</v>
      </c>
      <c r="O101">
        <v>400</v>
      </c>
      <c r="P101">
        <v>70</v>
      </c>
      <c r="Q101">
        <v>15</v>
      </c>
    </row>
    <row r="102" spans="1:17" s="4" customFormat="1" x14ac:dyDescent="0.2">
      <c r="A102" s="4" t="s">
        <v>17</v>
      </c>
      <c r="B102" s="4" t="s">
        <v>62</v>
      </c>
      <c r="C102" s="4">
        <v>20</v>
      </c>
      <c r="D102" s="4">
        <v>42</v>
      </c>
      <c r="E102" s="4">
        <v>1</v>
      </c>
      <c r="F102" s="4">
        <v>1</v>
      </c>
      <c r="G102" s="4" t="s">
        <v>25</v>
      </c>
      <c r="H102" s="17">
        <v>142.69999999999999</v>
      </c>
      <c r="I102" s="4">
        <v>0</v>
      </c>
      <c r="J102" s="4">
        <v>0</v>
      </c>
      <c r="K102" s="4">
        <v>0</v>
      </c>
      <c r="L102" s="4" t="s">
        <v>12</v>
      </c>
      <c r="M102" s="4">
        <v>3</v>
      </c>
      <c r="N102" s="4" t="s">
        <v>28</v>
      </c>
      <c r="O102" s="4">
        <v>400</v>
      </c>
      <c r="P102" s="4">
        <v>70</v>
      </c>
      <c r="Q102" s="4">
        <v>15</v>
      </c>
    </row>
    <row r="103" spans="1:17" x14ac:dyDescent="0.2">
      <c r="A103" t="s">
        <v>17</v>
      </c>
      <c r="B103" t="s">
        <v>62</v>
      </c>
      <c r="C103">
        <v>21</v>
      </c>
      <c r="D103">
        <v>0</v>
      </c>
      <c r="E103">
        <v>1</v>
      </c>
      <c r="F103">
        <v>1</v>
      </c>
      <c r="G103" t="s">
        <v>25</v>
      </c>
      <c r="H103" s="16">
        <v>11.7</v>
      </c>
      <c r="I103">
        <v>0</v>
      </c>
      <c r="J103">
        <v>0</v>
      </c>
      <c r="K103">
        <v>0</v>
      </c>
      <c r="L103" t="s">
        <v>27</v>
      </c>
      <c r="M103">
        <v>3</v>
      </c>
      <c r="N103" t="s">
        <v>28</v>
      </c>
      <c r="O103">
        <v>400</v>
      </c>
      <c r="P103">
        <v>70</v>
      </c>
      <c r="Q103">
        <v>15</v>
      </c>
    </row>
    <row r="104" spans="1:17" x14ac:dyDescent="0.2">
      <c r="A104" t="s">
        <v>17</v>
      </c>
      <c r="B104" t="s">
        <v>62</v>
      </c>
      <c r="C104">
        <v>21</v>
      </c>
      <c r="D104">
        <v>14</v>
      </c>
      <c r="E104">
        <v>1</v>
      </c>
      <c r="F104">
        <v>1</v>
      </c>
      <c r="G104" t="s">
        <v>25</v>
      </c>
      <c r="H104" s="16">
        <v>26.9</v>
      </c>
      <c r="I104">
        <v>0</v>
      </c>
      <c r="J104">
        <v>0</v>
      </c>
      <c r="K104">
        <v>0</v>
      </c>
      <c r="L104" t="s">
        <v>12</v>
      </c>
      <c r="M104">
        <v>3</v>
      </c>
      <c r="N104" t="s">
        <v>28</v>
      </c>
      <c r="O104">
        <v>400</v>
      </c>
      <c r="P104">
        <v>70</v>
      </c>
      <c r="Q104">
        <v>15</v>
      </c>
    </row>
    <row r="105" spans="1:17" x14ac:dyDescent="0.2">
      <c r="A105" t="s">
        <v>17</v>
      </c>
      <c r="B105" t="s">
        <v>62</v>
      </c>
      <c r="C105">
        <v>21</v>
      </c>
      <c r="D105">
        <v>28</v>
      </c>
      <c r="E105">
        <v>1</v>
      </c>
      <c r="F105">
        <v>1</v>
      </c>
      <c r="G105" t="s">
        <v>25</v>
      </c>
      <c r="H105" s="16">
        <v>84.5</v>
      </c>
      <c r="I105">
        <v>0</v>
      </c>
      <c r="J105">
        <v>0</v>
      </c>
      <c r="K105">
        <v>0</v>
      </c>
      <c r="L105" t="s">
        <v>27</v>
      </c>
      <c r="M105">
        <v>3</v>
      </c>
      <c r="N105" t="s">
        <v>28</v>
      </c>
      <c r="O105">
        <v>400</v>
      </c>
      <c r="P105">
        <v>70</v>
      </c>
      <c r="Q105">
        <v>15</v>
      </c>
    </row>
    <row r="106" spans="1:17" s="4" customFormat="1" x14ac:dyDescent="0.2">
      <c r="A106" s="4" t="s">
        <v>17</v>
      </c>
      <c r="B106" s="4" t="s">
        <v>62</v>
      </c>
      <c r="C106" s="4">
        <v>21</v>
      </c>
      <c r="D106" s="4">
        <v>42</v>
      </c>
      <c r="E106" s="4">
        <v>1</v>
      </c>
      <c r="F106" s="4">
        <v>1</v>
      </c>
      <c r="G106" s="4" t="s">
        <v>25</v>
      </c>
      <c r="H106" s="17">
        <v>130.5</v>
      </c>
      <c r="I106" s="4">
        <v>0</v>
      </c>
      <c r="J106" s="4">
        <v>0</v>
      </c>
      <c r="K106" s="4">
        <v>0</v>
      </c>
      <c r="L106" s="4" t="s">
        <v>12</v>
      </c>
      <c r="M106" s="4">
        <v>3</v>
      </c>
      <c r="N106" s="4" t="s">
        <v>28</v>
      </c>
      <c r="O106" s="4">
        <v>400</v>
      </c>
      <c r="P106" s="4">
        <v>70</v>
      </c>
      <c r="Q106" s="4">
        <v>15</v>
      </c>
    </row>
    <row r="107" spans="1:17" x14ac:dyDescent="0.2">
      <c r="A107" t="s">
        <v>17</v>
      </c>
      <c r="B107" t="s">
        <v>62</v>
      </c>
      <c r="C107">
        <v>22</v>
      </c>
      <c r="D107">
        <v>0</v>
      </c>
      <c r="E107">
        <v>1</v>
      </c>
      <c r="F107">
        <v>1</v>
      </c>
      <c r="G107" t="s">
        <v>25</v>
      </c>
      <c r="H107" s="16">
        <v>9.6999999999999993</v>
      </c>
      <c r="I107">
        <v>0</v>
      </c>
      <c r="J107">
        <v>0</v>
      </c>
      <c r="K107">
        <v>0</v>
      </c>
      <c r="L107" t="s">
        <v>27</v>
      </c>
      <c r="M107">
        <v>3</v>
      </c>
      <c r="N107" t="s">
        <v>28</v>
      </c>
      <c r="O107">
        <v>400</v>
      </c>
      <c r="P107">
        <v>70</v>
      </c>
      <c r="Q107">
        <v>15</v>
      </c>
    </row>
    <row r="108" spans="1:17" s="4" customFormat="1" x14ac:dyDescent="0.2">
      <c r="A108" s="4" t="s">
        <v>17</v>
      </c>
      <c r="B108" s="4" t="s">
        <v>62</v>
      </c>
      <c r="C108" s="4">
        <v>22</v>
      </c>
      <c r="D108" s="4">
        <v>14</v>
      </c>
      <c r="E108" s="4">
        <v>1</v>
      </c>
      <c r="F108" s="4">
        <v>1</v>
      </c>
      <c r="G108" s="4" t="s">
        <v>25</v>
      </c>
      <c r="H108" s="17">
        <v>33.700000000000003</v>
      </c>
      <c r="I108" s="4">
        <v>0</v>
      </c>
      <c r="J108" s="4">
        <v>0</v>
      </c>
      <c r="K108" s="4">
        <v>0</v>
      </c>
      <c r="L108" s="4" t="s">
        <v>12</v>
      </c>
      <c r="M108" s="4">
        <v>3</v>
      </c>
      <c r="N108" s="4" t="s">
        <v>28</v>
      </c>
      <c r="O108" s="4">
        <v>400</v>
      </c>
      <c r="P108" s="4">
        <v>70</v>
      </c>
      <c r="Q108" s="4">
        <v>15</v>
      </c>
    </row>
    <row r="109" spans="1:17" x14ac:dyDescent="0.2">
      <c r="A109" t="s">
        <v>17</v>
      </c>
      <c r="B109" t="s">
        <v>62</v>
      </c>
      <c r="C109">
        <v>23</v>
      </c>
      <c r="D109">
        <v>0</v>
      </c>
      <c r="E109">
        <v>1</v>
      </c>
      <c r="F109">
        <v>1</v>
      </c>
      <c r="G109" t="s">
        <v>25</v>
      </c>
      <c r="H109" s="16">
        <v>11.2</v>
      </c>
      <c r="I109">
        <v>0</v>
      </c>
      <c r="J109">
        <v>0</v>
      </c>
      <c r="K109">
        <v>0</v>
      </c>
      <c r="L109" t="s">
        <v>27</v>
      </c>
      <c r="M109">
        <v>3</v>
      </c>
      <c r="N109" t="s">
        <v>28</v>
      </c>
      <c r="O109">
        <v>400</v>
      </c>
      <c r="P109">
        <v>70</v>
      </c>
      <c r="Q109">
        <v>15</v>
      </c>
    </row>
    <row r="110" spans="1:17" s="4" customFormat="1" x14ac:dyDescent="0.2">
      <c r="A110" s="4" t="s">
        <v>17</v>
      </c>
      <c r="B110" s="4" t="s">
        <v>62</v>
      </c>
      <c r="C110" s="4">
        <v>23</v>
      </c>
      <c r="D110" s="4">
        <v>14</v>
      </c>
      <c r="E110" s="4">
        <v>1</v>
      </c>
      <c r="F110" s="4">
        <v>1</v>
      </c>
      <c r="G110" s="4" t="s">
        <v>25</v>
      </c>
      <c r="H110" s="17">
        <v>30.3</v>
      </c>
      <c r="I110" s="4">
        <v>0</v>
      </c>
      <c r="J110" s="4">
        <v>0</v>
      </c>
      <c r="K110" s="4">
        <v>0</v>
      </c>
      <c r="L110" s="4" t="s">
        <v>12</v>
      </c>
      <c r="M110" s="4">
        <v>3</v>
      </c>
      <c r="N110" s="4" t="s">
        <v>28</v>
      </c>
      <c r="O110" s="4">
        <v>400</v>
      </c>
      <c r="P110" s="4">
        <v>70</v>
      </c>
      <c r="Q110" s="4">
        <v>15</v>
      </c>
    </row>
    <row r="111" spans="1:17" x14ac:dyDescent="0.2">
      <c r="A111" t="s">
        <v>17</v>
      </c>
      <c r="B111" t="s">
        <v>62</v>
      </c>
      <c r="C111">
        <v>24</v>
      </c>
      <c r="D111">
        <v>0</v>
      </c>
      <c r="E111">
        <v>1</v>
      </c>
      <c r="F111">
        <v>1</v>
      </c>
      <c r="G111" t="s">
        <v>25</v>
      </c>
      <c r="H111" s="16">
        <v>10.15</v>
      </c>
      <c r="I111">
        <v>0</v>
      </c>
      <c r="J111">
        <v>0</v>
      </c>
      <c r="K111">
        <v>0</v>
      </c>
      <c r="L111" t="s">
        <v>27</v>
      </c>
      <c r="M111">
        <v>3</v>
      </c>
      <c r="N111" t="s">
        <v>28</v>
      </c>
      <c r="O111">
        <v>400</v>
      </c>
      <c r="P111">
        <v>70</v>
      </c>
      <c r="Q111">
        <v>15</v>
      </c>
    </row>
    <row r="112" spans="1:17" s="4" customFormat="1" x14ac:dyDescent="0.2">
      <c r="A112" s="4" t="s">
        <v>17</v>
      </c>
      <c r="B112" s="4" t="s">
        <v>62</v>
      </c>
      <c r="C112" s="4">
        <v>24</v>
      </c>
      <c r="D112" s="4">
        <v>14</v>
      </c>
      <c r="E112" s="4">
        <v>1</v>
      </c>
      <c r="F112" s="4">
        <v>1</v>
      </c>
      <c r="G112" s="4" t="s">
        <v>25</v>
      </c>
      <c r="H112" s="17">
        <v>22.5</v>
      </c>
      <c r="I112" s="4">
        <v>0</v>
      </c>
      <c r="J112" s="4">
        <v>0</v>
      </c>
      <c r="K112" s="4">
        <v>0</v>
      </c>
      <c r="L112" s="4" t="s">
        <v>12</v>
      </c>
      <c r="M112" s="4">
        <v>3</v>
      </c>
      <c r="N112" s="4" t="s">
        <v>28</v>
      </c>
      <c r="O112" s="4">
        <v>400</v>
      </c>
      <c r="P112" s="4">
        <v>70</v>
      </c>
      <c r="Q112" s="4">
        <v>15</v>
      </c>
    </row>
    <row r="113" spans="1:17" x14ac:dyDescent="0.2">
      <c r="A113" t="s">
        <v>17</v>
      </c>
      <c r="B113" t="s">
        <v>62</v>
      </c>
      <c r="C113">
        <v>25</v>
      </c>
      <c r="D113">
        <v>0</v>
      </c>
      <c r="E113">
        <v>1</v>
      </c>
      <c r="F113">
        <v>1</v>
      </c>
      <c r="G113" t="s">
        <v>25</v>
      </c>
      <c r="H113" s="16">
        <v>14.1</v>
      </c>
      <c r="I113">
        <v>0</v>
      </c>
      <c r="J113">
        <v>0</v>
      </c>
      <c r="K113">
        <v>0</v>
      </c>
      <c r="L113" t="s">
        <v>27</v>
      </c>
      <c r="M113">
        <v>3</v>
      </c>
      <c r="N113" t="s">
        <v>28</v>
      </c>
      <c r="O113">
        <v>400</v>
      </c>
      <c r="P113">
        <v>70</v>
      </c>
      <c r="Q113">
        <v>15</v>
      </c>
    </row>
    <row r="114" spans="1:17" s="4" customFormat="1" x14ac:dyDescent="0.2">
      <c r="A114" s="4" t="s">
        <v>17</v>
      </c>
      <c r="B114" s="4" t="s">
        <v>62</v>
      </c>
      <c r="C114" s="4">
        <v>25</v>
      </c>
      <c r="D114" s="4">
        <v>14</v>
      </c>
      <c r="E114" s="4">
        <v>1</v>
      </c>
      <c r="F114" s="4">
        <v>1</v>
      </c>
      <c r="G114" s="4" t="s">
        <v>25</v>
      </c>
      <c r="H114" s="17">
        <v>37.5</v>
      </c>
      <c r="I114" s="4">
        <v>0</v>
      </c>
      <c r="J114" s="4">
        <v>0</v>
      </c>
      <c r="K114" s="4">
        <v>0</v>
      </c>
      <c r="L114" s="4" t="s">
        <v>12</v>
      </c>
      <c r="M114" s="4">
        <v>3</v>
      </c>
      <c r="N114" s="4" t="s">
        <v>28</v>
      </c>
      <c r="O114" s="4">
        <v>400</v>
      </c>
      <c r="P114" s="4">
        <v>70</v>
      </c>
      <c r="Q114" s="4">
        <v>15</v>
      </c>
    </row>
    <row r="115" spans="1:17" x14ac:dyDescent="0.2">
      <c r="A115" t="s">
        <v>17</v>
      </c>
      <c r="B115" t="s">
        <v>62</v>
      </c>
      <c r="C115">
        <v>26</v>
      </c>
      <c r="D115">
        <v>0</v>
      </c>
      <c r="E115">
        <v>1</v>
      </c>
      <c r="F115">
        <v>1</v>
      </c>
      <c r="G115" t="s">
        <v>25</v>
      </c>
      <c r="H115" s="16">
        <v>11</v>
      </c>
      <c r="I115">
        <v>0</v>
      </c>
      <c r="J115">
        <v>0</v>
      </c>
      <c r="K115">
        <v>0</v>
      </c>
      <c r="L115" t="s">
        <v>27</v>
      </c>
      <c r="M115">
        <v>3</v>
      </c>
      <c r="N115" t="s">
        <v>28</v>
      </c>
      <c r="O115">
        <v>400</v>
      </c>
      <c r="P115">
        <v>70</v>
      </c>
      <c r="Q115">
        <v>15</v>
      </c>
    </row>
    <row r="116" spans="1:17" s="4" customFormat="1" x14ac:dyDescent="0.2">
      <c r="A116" s="4" t="s">
        <v>17</v>
      </c>
      <c r="B116" s="4" t="s">
        <v>62</v>
      </c>
      <c r="C116" s="4">
        <v>26</v>
      </c>
      <c r="D116" s="4">
        <v>14</v>
      </c>
      <c r="E116" s="4">
        <v>1</v>
      </c>
      <c r="F116" s="4">
        <v>1</v>
      </c>
      <c r="G116" s="4" t="s">
        <v>25</v>
      </c>
      <c r="H116" s="17">
        <v>15.2</v>
      </c>
      <c r="I116" s="4">
        <v>0</v>
      </c>
      <c r="J116" s="4">
        <v>0</v>
      </c>
      <c r="K116" s="4">
        <v>0</v>
      </c>
      <c r="L116" s="4" t="s">
        <v>12</v>
      </c>
      <c r="M116" s="4">
        <v>3</v>
      </c>
      <c r="N116" s="4" t="s">
        <v>28</v>
      </c>
      <c r="O116" s="4">
        <v>400</v>
      </c>
      <c r="P116" s="4">
        <v>70</v>
      </c>
      <c r="Q116" s="4">
        <v>15</v>
      </c>
    </row>
    <row r="117" spans="1:17" x14ac:dyDescent="0.2">
      <c r="A117" t="s">
        <v>17</v>
      </c>
      <c r="B117" t="s">
        <v>62</v>
      </c>
      <c r="C117">
        <v>27</v>
      </c>
      <c r="D117">
        <v>0</v>
      </c>
      <c r="E117">
        <v>1</v>
      </c>
      <c r="F117">
        <v>1</v>
      </c>
      <c r="G117" t="s">
        <v>25</v>
      </c>
      <c r="H117" s="16">
        <v>12.4</v>
      </c>
      <c r="I117">
        <v>0</v>
      </c>
      <c r="J117">
        <v>0</v>
      </c>
      <c r="K117">
        <v>0</v>
      </c>
      <c r="L117" t="s">
        <v>27</v>
      </c>
      <c r="M117">
        <v>3</v>
      </c>
      <c r="N117" t="s">
        <v>28</v>
      </c>
      <c r="O117">
        <v>400</v>
      </c>
      <c r="P117">
        <v>70</v>
      </c>
      <c r="Q117">
        <v>15</v>
      </c>
    </row>
    <row r="118" spans="1:17" s="4" customFormat="1" x14ac:dyDescent="0.2">
      <c r="A118" s="4" t="s">
        <v>17</v>
      </c>
      <c r="B118" s="4" t="s">
        <v>62</v>
      </c>
      <c r="C118" s="4">
        <v>27</v>
      </c>
      <c r="D118" s="4">
        <v>14</v>
      </c>
      <c r="E118" s="4">
        <v>1</v>
      </c>
      <c r="F118" s="4">
        <v>1</v>
      </c>
      <c r="G118" s="4" t="s">
        <v>25</v>
      </c>
      <c r="H118" s="17">
        <v>31</v>
      </c>
      <c r="I118" s="4">
        <v>0</v>
      </c>
      <c r="J118" s="4">
        <v>0</v>
      </c>
      <c r="K118" s="4">
        <v>0</v>
      </c>
      <c r="L118" s="4" t="s">
        <v>12</v>
      </c>
      <c r="M118" s="4">
        <v>3</v>
      </c>
      <c r="N118" s="4" t="s">
        <v>28</v>
      </c>
      <c r="O118" s="4">
        <v>400</v>
      </c>
      <c r="P118" s="4">
        <v>70</v>
      </c>
      <c r="Q118" s="4">
        <v>15</v>
      </c>
    </row>
    <row r="119" spans="1:17" x14ac:dyDescent="0.2">
      <c r="A119" t="s">
        <v>17</v>
      </c>
      <c r="B119" t="s">
        <v>62</v>
      </c>
      <c r="C119">
        <v>28</v>
      </c>
      <c r="D119">
        <v>0</v>
      </c>
      <c r="E119">
        <v>1</v>
      </c>
      <c r="F119">
        <v>1</v>
      </c>
      <c r="G119" t="s">
        <v>25</v>
      </c>
      <c r="H119" s="16">
        <v>10.57</v>
      </c>
      <c r="I119">
        <v>0</v>
      </c>
      <c r="J119">
        <v>0</v>
      </c>
      <c r="K119">
        <v>0</v>
      </c>
      <c r="L119" t="s">
        <v>27</v>
      </c>
      <c r="M119">
        <v>3</v>
      </c>
      <c r="N119" t="s">
        <v>28</v>
      </c>
      <c r="O119">
        <v>400</v>
      </c>
      <c r="P119">
        <v>70</v>
      </c>
      <c r="Q119">
        <v>15</v>
      </c>
    </row>
    <row r="120" spans="1:17" s="4" customFormat="1" x14ac:dyDescent="0.2">
      <c r="A120" s="4" t="s">
        <v>17</v>
      </c>
      <c r="B120" s="4" t="s">
        <v>62</v>
      </c>
      <c r="C120" s="4">
        <v>28</v>
      </c>
      <c r="D120" s="4">
        <v>14</v>
      </c>
      <c r="E120" s="4">
        <v>1</v>
      </c>
      <c r="F120" s="4">
        <v>1</v>
      </c>
      <c r="G120" s="4" t="s">
        <v>25</v>
      </c>
      <c r="H120" s="17">
        <v>32.200000000000003</v>
      </c>
      <c r="I120" s="4">
        <v>0</v>
      </c>
      <c r="J120" s="4">
        <v>0</v>
      </c>
      <c r="K120" s="4">
        <v>0</v>
      </c>
      <c r="L120" s="4" t="s">
        <v>12</v>
      </c>
      <c r="M120" s="4">
        <v>3</v>
      </c>
      <c r="N120" s="4" t="s">
        <v>28</v>
      </c>
      <c r="O120" s="4">
        <v>400</v>
      </c>
      <c r="P120" s="4">
        <v>70</v>
      </c>
      <c r="Q120" s="4">
        <v>15</v>
      </c>
    </row>
    <row r="121" spans="1:17" x14ac:dyDescent="0.2">
      <c r="A121" t="s">
        <v>17</v>
      </c>
      <c r="B121" t="s">
        <v>62</v>
      </c>
      <c r="C121">
        <v>29</v>
      </c>
      <c r="D121">
        <v>0</v>
      </c>
      <c r="E121">
        <v>1</v>
      </c>
      <c r="F121">
        <v>1</v>
      </c>
      <c r="G121" t="s">
        <v>25</v>
      </c>
      <c r="H121" s="16">
        <v>12</v>
      </c>
      <c r="I121">
        <v>0</v>
      </c>
      <c r="J121">
        <v>0</v>
      </c>
      <c r="K121">
        <v>0</v>
      </c>
      <c r="L121" t="s">
        <v>27</v>
      </c>
      <c r="M121">
        <v>3</v>
      </c>
      <c r="N121" t="s">
        <v>28</v>
      </c>
      <c r="O121">
        <v>400</v>
      </c>
      <c r="P121">
        <v>70</v>
      </c>
      <c r="Q121">
        <v>15</v>
      </c>
    </row>
    <row r="122" spans="1:17" x14ac:dyDescent="0.2">
      <c r="A122" t="s">
        <v>17</v>
      </c>
      <c r="B122" t="s">
        <v>62</v>
      </c>
      <c r="C122">
        <v>29</v>
      </c>
      <c r="D122">
        <v>14</v>
      </c>
      <c r="E122">
        <v>1</v>
      </c>
      <c r="F122">
        <v>1</v>
      </c>
      <c r="G122" t="s">
        <v>25</v>
      </c>
      <c r="H122" s="16">
        <v>32.6</v>
      </c>
      <c r="I122">
        <v>0</v>
      </c>
      <c r="J122">
        <v>0</v>
      </c>
      <c r="K122">
        <v>0</v>
      </c>
      <c r="L122" t="s">
        <v>12</v>
      </c>
      <c r="M122">
        <v>3</v>
      </c>
      <c r="N122" t="s">
        <v>28</v>
      </c>
      <c r="O122">
        <v>400</v>
      </c>
      <c r="P122">
        <v>70</v>
      </c>
      <c r="Q122">
        <v>15</v>
      </c>
    </row>
    <row r="123" spans="1:17" x14ac:dyDescent="0.2">
      <c r="A123" t="s">
        <v>17</v>
      </c>
      <c r="B123" t="s">
        <v>62</v>
      </c>
      <c r="C123">
        <v>29</v>
      </c>
      <c r="D123">
        <v>28</v>
      </c>
      <c r="E123">
        <v>1</v>
      </c>
      <c r="F123">
        <v>1</v>
      </c>
      <c r="G123" t="s">
        <v>25</v>
      </c>
      <c r="H123" s="16">
        <v>87.1</v>
      </c>
      <c r="I123">
        <v>0</v>
      </c>
      <c r="J123">
        <v>0</v>
      </c>
      <c r="K123">
        <v>0</v>
      </c>
      <c r="L123" t="s">
        <v>27</v>
      </c>
      <c r="M123">
        <v>3</v>
      </c>
      <c r="N123" t="s">
        <v>28</v>
      </c>
      <c r="O123">
        <v>400</v>
      </c>
      <c r="P123">
        <v>70</v>
      </c>
      <c r="Q123">
        <v>15</v>
      </c>
    </row>
    <row r="124" spans="1:17" s="4" customFormat="1" x14ac:dyDescent="0.2">
      <c r="A124" s="4" t="s">
        <v>17</v>
      </c>
      <c r="B124" s="4" t="s">
        <v>62</v>
      </c>
      <c r="C124" s="4">
        <v>29</v>
      </c>
      <c r="D124" s="4">
        <v>42</v>
      </c>
      <c r="E124" s="4">
        <v>1</v>
      </c>
      <c r="F124" s="4">
        <v>1</v>
      </c>
      <c r="G124" s="4" t="s">
        <v>25</v>
      </c>
      <c r="H124" s="17">
        <v>127</v>
      </c>
      <c r="I124" s="4">
        <v>0</v>
      </c>
      <c r="J124" s="4">
        <v>0</v>
      </c>
      <c r="K124" s="4">
        <v>0</v>
      </c>
      <c r="L124" s="4" t="s">
        <v>12</v>
      </c>
      <c r="M124" s="4">
        <v>3</v>
      </c>
      <c r="N124" s="4" t="s">
        <v>28</v>
      </c>
      <c r="O124" s="4">
        <v>400</v>
      </c>
      <c r="P124" s="4">
        <v>70</v>
      </c>
      <c r="Q124" s="4">
        <v>15</v>
      </c>
    </row>
    <row r="125" spans="1:17" x14ac:dyDescent="0.2">
      <c r="A125" t="s">
        <v>17</v>
      </c>
      <c r="B125" t="s">
        <v>62</v>
      </c>
      <c r="C125">
        <v>30</v>
      </c>
      <c r="D125">
        <v>0</v>
      </c>
      <c r="E125">
        <v>1</v>
      </c>
      <c r="F125">
        <v>1</v>
      </c>
      <c r="G125" t="s">
        <v>25</v>
      </c>
      <c r="H125" s="16">
        <v>10.5</v>
      </c>
      <c r="I125">
        <v>0</v>
      </c>
      <c r="J125">
        <v>0</v>
      </c>
      <c r="K125">
        <v>0</v>
      </c>
      <c r="L125" t="s">
        <v>27</v>
      </c>
      <c r="M125">
        <v>3</v>
      </c>
      <c r="N125" t="s">
        <v>28</v>
      </c>
      <c r="O125">
        <v>400</v>
      </c>
      <c r="P125">
        <v>70</v>
      </c>
      <c r="Q125">
        <v>15</v>
      </c>
    </row>
    <row r="126" spans="1:17" x14ac:dyDescent="0.2">
      <c r="A126" t="s">
        <v>17</v>
      </c>
      <c r="B126" t="s">
        <v>62</v>
      </c>
      <c r="C126">
        <v>30</v>
      </c>
      <c r="D126">
        <v>14</v>
      </c>
      <c r="E126">
        <v>1</v>
      </c>
      <c r="F126">
        <v>1</v>
      </c>
      <c r="G126" t="s">
        <v>25</v>
      </c>
      <c r="H126" s="16">
        <v>29.4</v>
      </c>
      <c r="I126">
        <v>0</v>
      </c>
      <c r="J126">
        <v>0</v>
      </c>
      <c r="K126">
        <v>0</v>
      </c>
      <c r="L126" t="s">
        <v>12</v>
      </c>
      <c r="M126">
        <v>3</v>
      </c>
      <c r="N126" t="s">
        <v>28</v>
      </c>
      <c r="O126">
        <v>400</v>
      </c>
      <c r="P126">
        <v>70</v>
      </c>
      <c r="Q126">
        <v>15</v>
      </c>
    </row>
    <row r="127" spans="1:17" x14ac:dyDescent="0.2">
      <c r="A127" t="s">
        <v>17</v>
      </c>
      <c r="B127" t="s">
        <v>62</v>
      </c>
      <c r="C127">
        <v>30</v>
      </c>
      <c r="D127">
        <v>28</v>
      </c>
      <c r="E127">
        <v>1</v>
      </c>
      <c r="F127">
        <v>1</v>
      </c>
      <c r="G127" t="s">
        <v>25</v>
      </c>
      <c r="H127" s="16">
        <v>80.3</v>
      </c>
      <c r="I127">
        <v>0</v>
      </c>
      <c r="J127">
        <v>0</v>
      </c>
      <c r="K127">
        <v>0</v>
      </c>
      <c r="L127" t="s">
        <v>27</v>
      </c>
      <c r="M127">
        <v>3</v>
      </c>
      <c r="N127" t="s">
        <v>28</v>
      </c>
      <c r="O127">
        <v>400</v>
      </c>
      <c r="P127">
        <v>70</v>
      </c>
      <c r="Q127">
        <v>15</v>
      </c>
    </row>
    <row r="128" spans="1:17" s="4" customFormat="1" x14ac:dyDescent="0.2">
      <c r="A128" s="4" t="s">
        <v>17</v>
      </c>
      <c r="B128" s="4" t="s">
        <v>62</v>
      </c>
      <c r="C128" s="4">
        <v>30</v>
      </c>
      <c r="D128" s="4">
        <v>42</v>
      </c>
      <c r="E128" s="4">
        <v>1</v>
      </c>
      <c r="F128" s="4">
        <v>1</v>
      </c>
      <c r="G128" s="4" t="s">
        <v>25</v>
      </c>
      <c r="H128" s="17">
        <v>119.3</v>
      </c>
      <c r="I128" s="4">
        <v>0</v>
      </c>
      <c r="J128" s="4">
        <v>0</v>
      </c>
      <c r="K128" s="4">
        <v>0</v>
      </c>
      <c r="L128" s="4" t="s">
        <v>12</v>
      </c>
      <c r="M128" s="4">
        <v>3</v>
      </c>
      <c r="N128" s="4" t="s">
        <v>28</v>
      </c>
      <c r="O128" s="4">
        <v>400</v>
      </c>
      <c r="P128" s="4">
        <v>70</v>
      </c>
      <c r="Q128" s="4">
        <v>15</v>
      </c>
    </row>
    <row r="129" spans="1:17" x14ac:dyDescent="0.2">
      <c r="A129" t="s">
        <v>17</v>
      </c>
      <c r="B129" t="s">
        <v>62</v>
      </c>
      <c r="C129">
        <v>31</v>
      </c>
      <c r="D129">
        <v>0</v>
      </c>
      <c r="E129">
        <v>1</v>
      </c>
      <c r="F129">
        <v>1</v>
      </c>
      <c r="G129" t="s">
        <v>25</v>
      </c>
      <c r="H129" s="16">
        <v>9.35</v>
      </c>
      <c r="I129">
        <v>0</v>
      </c>
      <c r="J129">
        <v>0</v>
      </c>
      <c r="K129">
        <v>0</v>
      </c>
      <c r="L129" t="s">
        <v>27</v>
      </c>
      <c r="M129">
        <v>3</v>
      </c>
      <c r="N129" t="s">
        <v>28</v>
      </c>
      <c r="O129">
        <v>400</v>
      </c>
      <c r="P129">
        <v>70</v>
      </c>
      <c r="Q129">
        <v>15</v>
      </c>
    </row>
    <row r="130" spans="1:17" x14ac:dyDescent="0.2">
      <c r="A130" t="s">
        <v>17</v>
      </c>
      <c r="B130" t="s">
        <v>62</v>
      </c>
      <c r="C130">
        <v>31</v>
      </c>
      <c r="D130">
        <v>14</v>
      </c>
      <c r="E130">
        <v>1</v>
      </c>
      <c r="F130">
        <v>1</v>
      </c>
      <c r="G130" t="s">
        <v>25</v>
      </c>
      <c r="H130" s="16">
        <v>32.200000000000003</v>
      </c>
      <c r="I130">
        <v>0</v>
      </c>
      <c r="J130">
        <v>0</v>
      </c>
      <c r="K130">
        <v>0</v>
      </c>
      <c r="L130" t="s">
        <v>12</v>
      </c>
      <c r="M130">
        <v>3</v>
      </c>
      <c r="N130" t="s">
        <v>28</v>
      </c>
      <c r="O130">
        <v>400</v>
      </c>
      <c r="P130">
        <v>70</v>
      </c>
      <c r="Q130">
        <v>15</v>
      </c>
    </row>
    <row r="131" spans="1:17" x14ac:dyDescent="0.2">
      <c r="A131" t="s">
        <v>17</v>
      </c>
      <c r="B131" t="s">
        <v>62</v>
      </c>
      <c r="C131">
        <v>31</v>
      </c>
      <c r="D131">
        <v>28</v>
      </c>
      <c r="E131">
        <v>1</v>
      </c>
      <c r="F131">
        <v>1</v>
      </c>
      <c r="G131" t="s">
        <v>25</v>
      </c>
      <c r="H131" s="16">
        <v>88</v>
      </c>
      <c r="I131">
        <v>0</v>
      </c>
      <c r="J131">
        <v>0</v>
      </c>
      <c r="K131">
        <v>0</v>
      </c>
      <c r="L131" t="s">
        <v>27</v>
      </c>
      <c r="M131">
        <v>3</v>
      </c>
      <c r="N131" t="s">
        <v>28</v>
      </c>
      <c r="O131">
        <v>400</v>
      </c>
      <c r="P131">
        <v>70</v>
      </c>
      <c r="Q131">
        <v>15</v>
      </c>
    </row>
    <row r="132" spans="1:17" s="4" customFormat="1" x14ac:dyDescent="0.2">
      <c r="A132" s="4" t="s">
        <v>17</v>
      </c>
      <c r="B132" s="4" t="s">
        <v>62</v>
      </c>
      <c r="C132" s="4">
        <v>31</v>
      </c>
      <c r="D132" s="4">
        <v>42</v>
      </c>
      <c r="E132" s="4">
        <v>1</v>
      </c>
      <c r="F132" s="4">
        <v>1</v>
      </c>
      <c r="G132" s="4" t="s">
        <v>25</v>
      </c>
      <c r="H132" s="17">
        <v>156</v>
      </c>
      <c r="I132" s="4">
        <v>0</v>
      </c>
      <c r="J132" s="4">
        <v>0</v>
      </c>
      <c r="K132" s="4">
        <v>0</v>
      </c>
      <c r="L132" s="4" t="s">
        <v>12</v>
      </c>
      <c r="M132" s="4">
        <v>3</v>
      </c>
      <c r="N132" s="4" t="s">
        <v>28</v>
      </c>
      <c r="O132" s="4">
        <v>400</v>
      </c>
      <c r="P132" s="4">
        <v>70</v>
      </c>
      <c r="Q132" s="4">
        <v>15</v>
      </c>
    </row>
    <row r="133" spans="1:17" x14ac:dyDescent="0.2">
      <c r="A133" t="s">
        <v>17</v>
      </c>
      <c r="B133" t="s">
        <v>62</v>
      </c>
      <c r="C133">
        <v>32</v>
      </c>
      <c r="D133">
        <v>0</v>
      </c>
      <c r="E133">
        <v>1</v>
      </c>
      <c r="F133">
        <v>1</v>
      </c>
      <c r="G133" t="s">
        <v>25</v>
      </c>
      <c r="H133" s="16">
        <v>11.9</v>
      </c>
      <c r="I133">
        <v>0</v>
      </c>
      <c r="J133">
        <v>0</v>
      </c>
      <c r="K133">
        <v>0</v>
      </c>
      <c r="L133" t="s">
        <v>27</v>
      </c>
      <c r="M133">
        <v>3</v>
      </c>
      <c r="N133" t="s">
        <v>28</v>
      </c>
      <c r="O133">
        <v>400</v>
      </c>
      <c r="P133">
        <v>70</v>
      </c>
      <c r="Q133">
        <v>15</v>
      </c>
    </row>
    <row r="134" spans="1:17" x14ac:dyDescent="0.2">
      <c r="A134" t="s">
        <v>17</v>
      </c>
      <c r="B134" t="s">
        <v>62</v>
      </c>
      <c r="C134">
        <v>32</v>
      </c>
      <c r="D134">
        <v>14</v>
      </c>
      <c r="E134">
        <v>1</v>
      </c>
      <c r="F134">
        <v>1</v>
      </c>
      <c r="G134" t="s">
        <v>25</v>
      </c>
      <c r="H134" s="16">
        <v>33.200000000000003</v>
      </c>
      <c r="I134">
        <v>0</v>
      </c>
      <c r="J134">
        <v>0</v>
      </c>
      <c r="K134">
        <v>0</v>
      </c>
      <c r="L134" t="s">
        <v>12</v>
      </c>
      <c r="M134">
        <v>3</v>
      </c>
      <c r="N134" t="s">
        <v>28</v>
      </c>
      <c r="O134">
        <v>400</v>
      </c>
      <c r="P134">
        <v>70</v>
      </c>
      <c r="Q134">
        <v>15</v>
      </c>
    </row>
    <row r="135" spans="1:17" x14ac:dyDescent="0.2">
      <c r="A135" t="s">
        <v>17</v>
      </c>
      <c r="B135" t="s">
        <v>62</v>
      </c>
      <c r="C135">
        <v>32</v>
      </c>
      <c r="D135">
        <v>28</v>
      </c>
      <c r="E135">
        <v>1</v>
      </c>
      <c r="F135">
        <v>1</v>
      </c>
      <c r="G135" t="s">
        <v>25</v>
      </c>
      <c r="H135" s="16">
        <v>67</v>
      </c>
      <c r="I135">
        <v>0</v>
      </c>
      <c r="J135">
        <v>0</v>
      </c>
      <c r="K135">
        <v>0</v>
      </c>
      <c r="L135" t="s">
        <v>27</v>
      </c>
      <c r="M135">
        <v>3</v>
      </c>
      <c r="N135" t="s">
        <v>28</v>
      </c>
      <c r="O135">
        <v>400</v>
      </c>
      <c r="P135">
        <v>70</v>
      </c>
      <c r="Q135">
        <v>15</v>
      </c>
    </row>
    <row r="136" spans="1:17" s="4" customFormat="1" x14ac:dyDescent="0.2">
      <c r="A136" s="4" t="s">
        <v>17</v>
      </c>
      <c r="B136" s="4" t="s">
        <v>62</v>
      </c>
      <c r="C136" s="4">
        <v>32</v>
      </c>
      <c r="D136" s="4">
        <v>42</v>
      </c>
      <c r="E136" s="4">
        <v>1</v>
      </c>
      <c r="F136" s="4">
        <v>1</v>
      </c>
      <c r="G136" s="4" t="s">
        <v>25</v>
      </c>
      <c r="H136" s="17">
        <v>99.8</v>
      </c>
      <c r="I136" s="4">
        <v>0</v>
      </c>
      <c r="J136" s="4">
        <v>0</v>
      </c>
      <c r="K136" s="4">
        <v>0</v>
      </c>
      <c r="L136" s="4" t="s">
        <v>12</v>
      </c>
      <c r="M136" s="4">
        <v>3</v>
      </c>
      <c r="N136" s="4" t="s">
        <v>28</v>
      </c>
      <c r="O136" s="4">
        <v>400</v>
      </c>
      <c r="P136" s="4">
        <v>70</v>
      </c>
      <c r="Q136" s="4">
        <v>15</v>
      </c>
    </row>
    <row r="137" spans="1:17" x14ac:dyDescent="0.2">
      <c r="A137" t="s">
        <v>17</v>
      </c>
      <c r="B137" t="s">
        <v>62</v>
      </c>
      <c r="C137">
        <v>33</v>
      </c>
      <c r="D137">
        <v>0</v>
      </c>
      <c r="E137">
        <v>1</v>
      </c>
      <c r="F137">
        <v>1</v>
      </c>
      <c r="G137" t="s">
        <v>25</v>
      </c>
      <c r="H137" s="16">
        <v>12.38</v>
      </c>
      <c r="I137">
        <v>0</v>
      </c>
      <c r="J137">
        <v>0</v>
      </c>
      <c r="K137">
        <v>0</v>
      </c>
      <c r="L137" t="s">
        <v>27</v>
      </c>
      <c r="M137">
        <v>3</v>
      </c>
      <c r="N137" t="s">
        <v>28</v>
      </c>
      <c r="O137">
        <v>400</v>
      </c>
      <c r="P137">
        <v>70</v>
      </c>
      <c r="Q137">
        <v>15</v>
      </c>
    </row>
    <row r="138" spans="1:17" x14ac:dyDescent="0.2">
      <c r="A138" t="s">
        <v>17</v>
      </c>
      <c r="B138" t="s">
        <v>62</v>
      </c>
      <c r="C138">
        <v>33</v>
      </c>
      <c r="D138">
        <v>14</v>
      </c>
      <c r="E138">
        <v>1</v>
      </c>
      <c r="F138">
        <v>1</v>
      </c>
      <c r="G138" t="s">
        <v>25</v>
      </c>
      <c r="H138" s="16">
        <v>36.1</v>
      </c>
      <c r="I138">
        <v>0</v>
      </c>
      <c r="J138">
        <v>0</v>
      </c>
      <c r="K138">
        <v>0</v>
      </c>
      <c r="L138" t="s">
        <v>12</v>
      </c>
      <c r="M138">
        <v>3</v>
      </c>
      <c r="N138" t="s">
        <v>28</v>
      </c>
      <c r="O138">
        <v>400</v>
      </c>
      <c r="P138">
        <v>70</v>
      </c>
      <c r="Q138">
        <v>15</v>
      </c>
    </row>
    <row r="139" spans="1:17" x14ac:dyDescent="0.2">
      <c r="A139" t="s">
        <v>17</v>
      </c>
      <c r="B139" t="s">
        <v>62</v>
      </c>
      <c r="C139">
        <v>33</v>
      </c>
      <c r="D139">
        <v>28</v>
      </c>
      <c r="E139">
        <v>1</v>
      </c>
      <c r="F139">
        <v>1</v>
      </c>
      <c r="G139" t="s">
        <v>25</v>
      </c>
      <c r="H139" s="16">
        <v>104.5</v>
      </c>
      <c r="I139">
        <v>0</v>
      </c>
      <c r="J139">
        <v>0</v>
      </c>
      <c r="K139">
        <v>0</v>
      </c>
      <c r="L139" t="s">
        <v>27</v>
      </c>
      <c r="M139">
        <v>3</v>
      </c>
      <c r="N139" t="s">
        <v>28</v>
      </c>
      <c r="O139">
        <v>400</v>
      </c>
      <c r="P139">
        <v>70</v>
      </c>
      <c r="Q139">
        <v>15</v>
      </c>
    </row>
    <row r="140" spans="1:17" s="4" customFormat="1" x14ac:dyDescent="0.2">
      <c r="A140" s="4" t="s">
        <v>17</v>
      </c>
      <c r="B140" s="4" t="s">
        <v>62</v>
      </c>
      <c r="C140" s="4">
        <v>33</v>
      </c>
      <c r="D140" s="4">
        <v>42</v>
      </c>
      <c r="E140" s="4">
        <v>1</v>
      </c>
      <c r="F140" s="4">
        <v>1</v>
      </c>
      <c r="G140" s="4" t="s">
        <v>25</v>
      </c>
      <c r="H140" s="17">
        <v>155</v>
      </c>
      <c r="I140" s="4">
        <v>0</v>
      </c>
      <c r="J140" s="4">
        <v>0</v>
      </c>
      <c r="K140" s="4">
        <v>0</v>
      </c>
      <c r="L140" s="4" t="s">
        <v>12</v>
      </c>
      <c r="M140" s="4">
        <v>3</v>
      </c>
      <c r="N140" s="4" t="s">
        <v>28</v>
      </c>
      <c r="O140" s="4">
        <v>400</v>
      </c>
      <c r="P140" s="4">
        <v>70</v>
      </c>
      <c r="Q140" s="4">
        <v>15</v>
      </c>
    </row>
    <row r="141" spans="1:17" x14ac:dyDescent="0.2">
      <c r="A141" t="s">
        <v>17</v>
      </c>
      <c r="B141" t="s">
        <v>62</v>
      </c>
      <c r="C141">
        <v>34</v>
      </c>
      <c r="D141">
        <v>0</v>
      </c>
      <c r="E141">
        <v>1</v>
      </c>
      <c r="F141">
        <v>1</v>
      </c>
      <c r="G141" t="s">
        <v>25</v>
      </c>
      <c r="H141" s="16">
        <v>13.4</v>
      </c>
      <c r="I141">
        <v>0</v>
      </c>
      <c r="J141">
        <v>0</v>
      </c>
      <c r="K141">
        <v>0</v>
      </c>
      <c r="L141" t="s">
        <v>27</v>
      </c>
      <c r="M141">
        <v>3</v>
      </c>
      <c r="N141" t="s">
        <v>28</v>
      </c>
      <c r="O141">
        <v>400</v>
      </c>
      <c r="P141">
        <v>70</v>
      </c>
      <c r="Q141">
        <v>15</v>
      </c>
    </row>
    <row r="142" spans="1:17" x14ac:dyDescent="0.2">
      <c r="A142" t="s">
        <v>17</v>
      </c>
      <c r="B142" t="s">
        <v>62</v>
      </c>
      <c r="C142">
        <v>34</v>
      </c>
      <c r="D142">
        <v>14</v>
      </c>
      <c r="E142">
        <v>1</v>
      </c>
      <c r="F142">
        <v>1</v>
      </c>
      <c r="G142" t="s">
        <v>25</v>
      </c>
      <c r="H142" s="16">
        <v>34.1</v>
      </c>
      <c r="I142">
        <v>0</v>
      </c>
      <c r="J142">
        <v>0</v>
      </c>
      <c r="K142">
        <v>0</v>
      </c>
      <c r="L142" t="s">
        <v>12</v>
      </c>
      <c r="M142">
        <v>3</v>
      </c>
      <c r="N142" t="s">
        <v>28</v>
      </c>
      <c r="O142">
        <v>400</v>
      </c>
      <c r="P142">
        <v>70</v>
      </c>
      <c r="Q142">
        <v>15</v>
      </c>
    </row>
    <row r="143" spans="1:17" x14ac:dyDescent="0.2">
      <c r="A143" t="s">
        <v>17</v>
      </c>
      <c r="B143" t="s">
        <v>62</v>
      </c>
      <c r="C143">
        <v>34</v>
      </c>
      <c r="D143">
        <v>28</v>
      </c>
      <c r="E143">
        <v>1</v>
      </c>
      <c r="F143">
        <v>1</v>
      </c>
      <c r="G143" t="s">
        <v>25</v>
      </c>
      <c r="H143" s="16">
        <v>92.6</v>
      </c>
      <c r="I143">
        <v>0</v>
      </c>
      <c r="J143">
        <v>0</v>
      </c>
      <c r="K143">
        <v>0</v>
      </c>
      <c r="L143" t="s">
        <v>27</v>
      </c>
      <c r="M143">
        <v>3</v>
      </c>
      <c r="N143" t="s">
        <v>28</v>
      </c>
      <c r="O143">
        <v>400</v>
      </c>
      <c r="P143">
        <v>70</v>
      </c>
      <c r="Q143">
        <v>15</v>
      </c>
    </row>
    <row r="144" spans="1:17" s="4" customFormat="1" x14ac:dyDescent="0.2">
      <c r="A144" s="4" t="s">
        <v>17</v>
      </c>
      <c r="B144" s="4" t="s">
        <v>62</v>
      </c>
      <c r="C144" s="4">
        <v>34</v>
      </c>
      <c r="D144" s="4">
        <v>42</v>
      </c>
      <c r="E144" s="4">
        <v>1</v>
      </c>
      <c r="F144" s="4">
        <v>1</v>
      </c>
      <c r="G144" s="4" t="s">
        <v>25</v>
      </c>
      <c r="H144" s="17">
        <v>135.80000000000001</v>
      </c>
      <c r="I144" s="4">
        <v>0</v>
      </c>
      <c r="J144" s="4">
        <v>0</v>
      </c>
      <c r="K144" s="4">
        <v>0</v>
      </c>
      <c r="L144" s="4" t="s">
        <v>12</v>
      </c>
      <c r="M144" s="4">
        <v>3</v>
      </c>
      <c r="N144" s="4" t="s">
        <v>28</v>
      </c>
      <c r="O144" s="4">
        <v>400</v>
      </c>
      <c r="P144" s="4">
        <v>70</v>
      </c>
      <c r="Q144" s="4">
        <v>15</v>
      </c>
    </row>
    <row r="145" spans="1:17" x14ac:dyDescent="0.2">
      <c r="A145" t="s">
        <v>17</v>
      </c>
      <c r="B145" t="s">
        <v>62</v>
      </c>
      <c r="C145">
        <v>35</v>
      </c>
      <c r="D145">
        <v>0</v>
      </c>
      <c r="E145">
        <v>1</v>
      </c>
      <c r="F145">
        <v>1</v>
      </c>
      <c r="G145" t="s">
        <v>25</v>
      </c>
      <c r="H145" s="16">
        <v>15</v>
      </c>
      <c r="I145">
        <v>0</v>
      </c>
      <c r="J145">
        <v>0</v>
      </c>
      <c r="K145">
        <v>0</v>
      </c>
      <c r="L145" t="s">
        <v>27</v>
      </c>
      <c r="M145">
        <v>3</v>
      </c>
      <c r="N145" t="s">
        <v>28</v>
      </c>
      <c r="O145">
        <v>400</v>
      </c>
      <c r="P145">
        <v>70</v>
      </c>
      <c r="Q145">
        <v>15</v>
      </c>
    </row>
    <row r="146" spans="1:17" x14ac:dyDescent="0.2">
      <c r="A146" t="s">
        <v>17</v>
      </c>
      <c r="B146" t="s">
        <v>62</v>
      </c>
      <c r="C146">
        <v>35</v>
      </c>
      <c r="D146">
        <v>14</v>
      </c>
      <c r="E146">
        <v>1</v>
      </c>
      <c r="F146">
        <v>1</v>
      </c>
      <c r="G146" t="s">
        <v>25</v>
      </c>
      <c r="H146" s="16">
        <v>25.8</v>
      </c>
      <c r="I146">
        <v>0</v>
      </c>
      <c r="J146">
        <v>0</v>
      </c>
      <c r="K146">
        <v>0</v>
      </c>
      <c r="L146" t="s">
        <v>12</v>
      </c>
      <c r="M146">
        <v>3</v>
      </c>
      <c r="N146" t="s">
        <v>28</v>
      </c>
      <c r="O146">
        <v>400</v>
      </c>
      <c r="P146">
        <v>70</v>
      </c>
      <c r="Q146">
        <v>15</v>
      </c>
    </row>
    <row r="147" spans="1:17" x14ac:dyDescent="0.2">
      <c r="A147" t="s">
        <v>17</v>
      </c>
      <c r="B147" t="s">
        <v>62</v>
      </c>
      <c r="C147">
        <v>35</v>
      </c>
      <c r="D147">
        <v>28</v>
      </c>
      <c r="E147">
        <v>1</v>
      </c>
      <c r="F147">
        <v>1</v>
      </c>
      <c r="G147" t="s">
        <v>25</v>
      </c>
      <c r="H147" s="16">
        <v>72.099999999999994</v>
      </c>
      <c r="I147">
        <v>0</v>
      </c>
      <c r="J147">
        <v>0</v>
      </c>
      <c r="K147">
        <v>0</v>
      </c>
      <c r="L147" t="s">
        <v>27</v>
      </c>
      <c r="M147">
        <v>3</v>
      </c>
      <c r="N147" t="s">
        <v>28</v>
      </c>
      <c r="O147">
        <v>400</v>
      </c>
      <c r="P147">
        <v>70</v>
      </c>
      <c r="Q147">
        <v>15</v>
      </c>
    </row>
    <row r="148" spans="1:17" s="4" customFormat="1" x14ac:dyDescent="0.2">
      <c r="A148" s="4" t="s">
        <v>17</v>
      </c>
      <c r="B148" s="4" t="s">
        <v>62</v>
      </c>
      <c r="C148" s="4">
        <v>35</v>
      </c>
      <c r="D148" s="4">
        <v>42</v>
      </c>
      <c r="E148" s="4">
        <v>1</v>
      </c>
      <c r="F148" s="4">
        <v>1</v>
      </c>
      <c r="G148" s="4" t="s">
        <v>25</v>
      </c>
      <c r="H148" s="17">
        <v>120.3</v>
      </c>
      <c r="I148" s="4">
        <v>0</v>
      </c>
      <c r="J148" s="4">
        <v>0</v>
      </c>
      <c r="K148" s="4">
        <v>0</v>
      </c>
      <c r="L148" s="4" t="s">
        <v>12</v>
      </c>
      <c r="M148" s="4">
        <v>3</v>
      </c>
      <c r="N148" s="4" t="s">
        <v>28</v>
      </c>
      <c r="O148" s="4">
        <v>400</v>
      </c>
      <c r="P148" s="4">
        <v>70</v>
      </c>
      <c r="Q148" s="4">
        <v>15</v>
      </c>
    </row>
    <row r="149" spans="1:17" x14ac:dyDescent="0.2">
      <c r="A149" t="s">
        <v>17</v>
      </c>
      <c r="B149" t="s">
        <v>62</v>
      </c>
      <c r="C149">
        <v>36</v>
      </c>
      <c r="D149">
        <v>0</v>
      </c>
      <c r="E149">
        <v>1</v>
      </c>
      <c r="F149">
        <v>1</v>
      </c>
      <c r="G149" t="s">
        <v>25</v>
      </c>
      <c r="H149" s="16">
        <v>13.6</v>
      </c>
      <c r="I149">
        <v>0</v>
      </c>
      <c r="J149">
        <v>0</v>
      </c>
      <c r="K149">
        <v>0</v>
      </c>
      <c r="L149" t="s">
        <v>27</v>
      </c>
      <c r="M149">
        <v>3</v>
      </c>
      <c r="N149" t="s">
        <v>28</v>
      </c>
      <c r="O149">
        <v>400</v>
      </c>
      <c r="P149">
        <v>70</v>
      </c>
      <c r="Q149">
        <v>15</v>
      </c>
    </row>
    <row r="150" spans="1:17" s="4" customFormat="1" x14ac:dyDescent="0.2">
      <c r="A150" s="4" t="s">
        <v>17</v>
      </c>
      <c r="B150" s="4" t="s">
        <v>62</v>
      </c>
      <c r="C150" s="4">
        <v>36</v>
      </c>
      <c r="D150" s="4">
        <v>14</v>
      </c>
      <c r="E150" s="4">
        <v>1</v>
      </c>
      <c r="F150" s="4">
        <v>1</v>
      </c>
      <c r="G150" s="4" t="s">
        <v>25</v>
      </c>
      <c r="H150" s="17">
        <v>41.3</v>
      </c>
      <c r="I150" s="4">
        <v>0</v>
      </c>
      <c r="J150" s="4">
        <v>0</v>
      </c>
      <c r="K150" s="4">
        <v>0</v>
      </c>
      <c r="L150" s="4" t="s">
        <v>12</v>
      </c>
      <c r="M150" s="4">
        <v>3</v>
      </c>
      <c r="N150" s="4" t="s">
        <v>28</v>
      </c>
      <c r="O150" s="4">
        <v>400</v>
      </c>
      <c r="P150" s="4">
        <v>70</v>
      </c>
      <c r="Q150" s="4">
        <v>15</v>
      </c>
    </row>
    <row r="151" spans="1:17" x14ac:dyDescent="0.2">
      <c r="A151" t="s">
        <v>17</v>
      </c>
      <c r="B151" t="s">
        <v>62</v>
      </c>
      <c r="C151">
        <v>37</v>
      </c>
      <c r="D151">
        <v>0</v>
      </c>
      <c r="E151">
        <v>1</v>
      </c>
      <c r="F151">
        <v>1</v>
      </c>
      <c r="G151" t="s">
        <v>25</v>
      </c>
      <c r="H151" s="16">
        <v>15.4</v>
      </c>
      <c r="I151">
        <v>0</v>
      </c>
      <c r="J151">
        <v>0</v>
      </c>
      <c r="K151">
        <v>0</v>
      </c>
      <c r="L151" t="s">
        <v>27</v>
      </c>
      <c r="M151">
        <v>3</v>
      </c>
      <c r="N151" t="s">
        <v>28</v>
      </c>
      <c r="O151">
        <v>400</v>
      </c>
      <c r="P151">
        <v>70</v>
      </c>
      <c r="Q151">
        <v>15</v>
      </c>
    </row>
    <row r="152" spans="1:17" s="4" customFormat="1" x14ac:dyDescent="0.2">
      <c r="A152" s="4" t="s">
        <v>17</v>
      </c>
      <c r="B152" s="4" t="s">
        <v>62</v>
      </c>
      <c r="C152" s="4">
        <v>37</v>
      </c>
      <c r="D152" s="4">
        <v>14</v>
      </c>
      <c r="E152" s="4">
        <v>1</v>
      </c>
      <c r="F152" s="4">
        <v>1</v>
      </c>
      <c r="G152" s="4" t="s">
        <v>25</v>
      </c>
      <c r="H152" s="17">
        <v>32.299999999999997</v>
      </c>
      <c r="I152" s="4">
        <v>0</v>
      </c>
      <c r="J152" s="4">
        <v>0</v>
      </c>
      <c r="K152" s="4">
        <v>0</v>
      </c>
      <c r="L152" s="4" t="s">
        <v>12</v>
      </c>
      <c r="M152" s="4">
        <v>3</v>
      </c>
      <c r="N152" s="4" t="s">
        <v>28</v>
      </c>
      <c r="O152" s="4">
        <v>400</v>
      </c>
      <c r="P152" s="4">
        <v>70</v>
      </c>
      <c r="Q152" s="4">
        <v>15</v>
      </c>
    </row>
    <row r="153" spans="1:17" x14ac:dyDescent="0.2">
      <c r="A153" t="s">
        <v>17</v>
      </c>
      <c r="B153" t="s">
        <v>62</v>
      </c>
      <c r="C153">
        <v>38</v>
      </c>
      <c r="D153">
        <v>0</v>
      </c>
      <c r="E153">
        <v>1</v>
      </c>
      <c r="F153">
        <v>1</v>
      </c>
      <c r="G153" t="s">
        <v>25</v>
      </c>
      <c r="H153" s="16">
        <v>10.5</v>
      </c>
      <c r="I153">
        <v>0</v>
      </c>
      <c r="J153">
        <v>0</v>
      </c>
      <c r="K153">
        <v>0</v>
      </c>
      <c r="L153" t="s">
        <v>27</v>
      </c>
      <c r="M153">
        <v>3</v>
      </c>
      <c r="N153" t="s">
        <v>28</v>
      </c>
      <c r="O153">
        <v>400</v>
      </c>
      <c r="P153">
        <v>70</v>
      </c>
      <c r="Q153">
        <v>15</v>
      </c>
    </row>
    <row r="154" spans="1:17" s="4" customFormat="1" x14ac:dyDescent="0.2">
      <c r="A154" s="4" t="s">
        <v>17</v>
      </c>
      <c r="B154" s="4" t="s">
        <v>62</v>
      </c>
      <c r="C154" s="4">
        <v>38</v>
      </c>
      <c r="D154" s="4">
        <v>14</v>
      </c>
      <c r="E154" s="4">
        <v>1</v>
      </c>
      <c r="F154" s="4">
        <v>1</v>
      </c>
      <c r="G154" s="4" t="s">
        <v>25</v>
      </c>
      <c r="H154" s="17">
        <v>26.2</v>
      </c>
      <c r="I154" s="4">
        <v>0</v>
      </c>
      <c r="J154" s="4">
        <v>0</v>
      </c>
      <c r="K154" s="4">
        <v>0</v>
      </c>
      <c r="L154" s="4" t="s">
        <v>12</v>
      </c>
      <c r="M154" s="4">
        <v>3</v>
      </c>
      <c r="N154" s="4" t="s">
        <v>28</v>
      </c>
      <c r="O154" s="4">
        <v>400</v>
      </c>
      <c r="P154" s="4">
        <v>70</v>
      </c>
      <c r="Q154" s="4">
        <v>15</v>
      </c>
    </row>
    <row r="155" spans="1:17" x14ac:dyDescent="0.2">
      <c r="A155" t="s">
        <v>17</v>
      </c>
      <c r="B155" t="s">
        <v>62</v>
      </c>
      <c r="C155">
        <v>39</v>
      </c>
      <c r="D155">
        <v>0</v>
      </c>
      <c r="E155">
        <v>1</v>
      </c>
      <c r="F155">
        <v>1</v>
      </c>
      <c r="G155" t="s">
        <v>25</v>
      </c>
      <c r="H155" s="16">
        <v>7.9</v>
      </c>
      <c r="I155">
        <v>0</v>
      </c>
      <c r="J155">
        <v>0</v>
      </c>
      <c r="K155">
        <v>0</v>
      </c>
      <c r="L155" t="s">
        <v>27</v>
      </c>
      <c r="M155">
        <v>3</v>
      </c>
      <c r="N155" t="s">
        <v>28</v>
      </c>
      <c r="O155">
        <v>400</v>
      </c>
      <c r="P155">
        <v>70</v>
      </c>
      <c r="Q155">
        <v>15</v>
      </c>
    </row>
    <row r="156" spans="1:17" s="4" customFormat="1" x14ac:dyDescent="0.2">
      <c r="A156" s="4" t="s">
        <v>17</v>
      </c>
      <c r="B156" s="4" t="s">
        <v>62</v>
      </c>
      <c r="C156" s="4">
        <v>39</v>
      </c>
      <c r="D156" s="4">
        <v>14</v>
      </c>
      <c r="E156" s="4">
        <v>1</v>
      </c>
      <c r="F156" s="4">
        <v>1</v>
      </c>
      <c r="G156" s="4" t="s">
        <v>25</v>
      </c>
      <c r="H156" s="17">
        <v>24.7</v>
      </c>
      <c r="I156" s="4">
        <v>0</v>
      </c>
      <c r="J156" s="4">
        <v>0</v>
      </c>
      <c r="K156" s="4">
        <v>0</v>
      </c>
      <c r="L156" s="4" t="s">
        <v>12</v>
      </c>
      <c r="M156" s="4">
        <v>3</v>
      </c>
      <c r="N156" s="4" t="s">
        <v>28</v>
      </c>
      <c r="O156" s="4">
        <v>400</v>
      </c>
      <c r="P156" s="4">
        <v>70</v>
      </c>
      <c r="Q156" s="4">
        <v>15</v>
      </c>
    </row>
    <row r="157" spans="1:17" x14ac:dyDescent="0.2">
      <c r="A157" t="s">
        <v>17</v>
      </c>
      <c r="B157" t="s">
        <v>62</v>
      </c>
      <c r="C157">
        <v>40</v>
      </c>
      <c r="D157">
        <v>0</v>
      </c>
      <c r="E157">
        <v>1</v>
      </c>
      <c r="F157">
        <v>1</v>
      </c>
      <c r="G157" t="s">
        <v>25</v>
      </c>
      <c r="H157" s="16">
        <v>11</v>
      </c>
      <c r="I157">
        <v>0</v>
      </c>
      <c r="J157">
        <v>0</v>
      </c>
      <c r="K157">
        <v>0</v>
      </c>
      <c r="L157" t="s">
        <v>27</v>
      </c>
      <c r="M157">
        <v>3</v>
      </c>
      <c r="N157" t="s">
        <v>28</v>
      </c>
      <c r="O157">
        <v>400</v>
      </c>
      <c r="P157">
        <v>70</v>
      </c>
      <c r="Q157">
        <v>15</v>
      </c>
    </row>
    <row r="158" spans="1:17" s="4" customFormat="1" x14ac:dyDescent="0.2">
      <c r="A158" s="4" t="s">
        <v>17</v>
      </c>
      <c r="B158" s="4" t="s">
        <v>62</v>
      </c>
      <c r="C158" s="4">
        <v>40</v>
      </c>
      <c r="D158" s="4">
        <v>14</v>
      </c>
      <c r="E158" s="4">
        <v>1</v>
      </c>
      <c r="F158" s="4">
        <v>1</v>
      </c>
      <c r="G158" s="4" t="s">
        <v>25</v>
      </c>
      <c r="H158" s="17">
        <v>31.9</v>
      </c>
      <c r="I158" s="4">
        <v>0</v>
      </c>
      <c r="J158" s="4">
        <v>0</v>
      </c>
      <c r="K158" s="4">
        <v>0</v>
      </c>
      <c r="L158" s="4" t="s">
        <v>12</v>
      </c>
      <c r="M158" s="4">
        <v>3</v>
      </c>
      <c r="N158" s="4" t="s">
        <v>28</v>
      </c>
      <c r="O158" s="4">
        <v>400</v>
      </c>
      <c r="P158" s="4">
        <v>70</v>
      </c>
      <c r="Q158" s="4">
        <v>15</v>
      </c>
    </row>
    <row r="159" spans="1:17" x14ac:dyDescent="0.2">
      <c r="A159" t="s">
        <v>17</v>
      </c>
      <c r="B159" t="s">
        <v>62</v>
      </c>
      <c r="C159">
        <v>41</v>
      </c>
      <c r="D159">
        <v>0</v>
      </c>
      <c r="E159">
        <v>1</v>
      </c>
      <c r="F159">
        <v>1</v>
      </c>
      <c r="G159" t="s">
        <v>25</v>
      </c>
      <c r="H159" s="16">
        <v>13.5</v>
      </c>
      <c r="I159">
        <v>0</v>
      </c>
      <c r="J159">
        <v>0</v>
      </c>
      <c r="K159">
        <v>0</v>
      </c>
      <c r="L159" t="s">
        <v>27</v>
      </c>
      <c r="M159">
        <v>3</v>
      </c>
      <c r="N159" t="s">
        <v>28</v>
      </c>
      <c r="O159">
        <v>400</v>
      </c>
      <c r="P159">
        <v>70</v>
      </c>
      <c r="Q159">
        <v>15</v>
      </c>
    </row>
    <row r="160" spans="1:17" s="4" customFormat="1" x14ac:dyDescent="0.2">
      <c r="A160" s="4" t="s">
        <v>17</v>
      </c>
      <c r="B160" s="4" t="s">
        <v>62</v>
      </c>
      <c r="C160" s="4">
        <v>41</v>
      </c>
      <c r="D160" s="4">
        <v>14</v>
      </c>
      <c r="E160" s="4">
        <v>1</v>
      </c>
      <c r="F160" s="4">
        <v>1</v>
      </c>
      <c r="G160" s="4" t="s">
        <v>25</v>
      </c>
      <c r="H160" s="17">
        <v>43.2</v>
      </c>
      <c r="I160" s="4">
        <v>0</v>
      </c>
      <c r="J160" s="4">
        <v>0</v>
      </c>
      <c r="K160" s="4">
        <v>0</v>
      </c>
      <c r="L160" s="4" t="s">
        <v>12</v>
      </c>
      <c r="M160" s="4">
        <v>3</v>
      </c>
      <c r="N160" s="4" t="s">
        <v>28</v>
      </c>
      <c r="O160" s="4">
        <v>400</v>
      </c>
      <c r="P160" s="4">
        <v>70</v>
      </c>
      <c r="Q160" s="4">
        <v>15</v>
      </c>
    </row>
    <row r="161" spans="1:17" x14ac:dyDescent="0.2">
      <c r="A161" t="s">
        <v>17</v>
      </c>
      <c r="B161" t="s">
        <v>62</v>
      </c>
      <c r="C161">
        <v>42</v>
      </c>
      <c r="D161">
        <v>0</v>
      </c>
      <c r="E161">
        <v>1</v>
      </c>
      <c r="F161">
        <v>1</v>
      </c>
      <c r="G161" t="s">
        <v>25</v>
      </c>
      <c r="H161" s="16">
        <v>9.4</v>
      </c>
      <c r="I161">
        <v>0</v>
      </c>
      <c r="J161">
        <v>0</v>
      </c>
      <c r="K161">
        <v>0</v>
      </c>
      <c r="L161" t="s">
        <v>27</v>
      </c>
      <c r="M161">
        <v>3</v>
      </c>
      <c r="N161" t="s">
        <v>28</v>
      </c>
      <c r="O161">
        <v>400</v>
      </c>
      <c r="P161">
        <v>70</v>
      </c>
      <c r="Q161">
        <v>15</v>
      </c>
    </row>
    <row r="162" spans="1:17" s="4" customFormat="1" x14ac:dyDescent="0.2">
      <c r="A162" s="4" t="s">
        <v>17</v>
      </c>
      <c r="B162" s="4" t="s">
        <v>62</v>
      </c>
      <c r="C162" s="4">
        <v>42</v>
      </c>
      <c r="D162" s="4">
        <v>14</v>
      </c>
      <c r="E162" s="4">
        <v>1</v>
      </c>
      <c r="F162" s="4">
        <v>1</v>
      </c>
      <c r="G162" s="4" t="s">
        <v>25</v>
      </c>
      <c r="H162" s="17">
        <v>23.3</v>
      </c>
      <c r="I162" s="4">
        <v>0</v>
      </c>
      <c r="J162" s="4">
        <v>0</v>
      </c>
      <c r="K162" s="4">
        <v>0</v>
      </c>
      <c r="L162" s="4" t="s">
        <v>12</v>
      </c>
      <c r="M162" s="4">
        <v>3</v>
      </c>
      <c r="N162" s="4" t="s">
        <v>28</v>
      </c>
      <c r="O162" s="4">
        <v>400</v>
      </c>
      <c r="P162" s="4">
        <v>70</v>
      </c>
      <c r="Q162" s="4">
        <v>15</v>
      </c>
    </row>
    <row r="163" spans="1:17" x14ac:dyDescent="0.2">
      <c r="A163" t="s">
        <v>17</v>
      </c>
      <c r="B163" t="s">
        <v>62</v>
      </c>
      <c r="C163">
        <v>43</v>
      </c>
      <c r="D163">
        <v>0</v>
      </c>
      <c r="E163">
        <v>1</v>
      </c>
      <c r="F163">
        <v>1</v>
      </c>
      <c r="G163" t="s">
        <v>25</v>
      </c>
      <c r="H163" s="16">
        <v>9.6999999999999993</v>
      </c>
      <c r="I163">
        <v>0</v>
      </c>
      <c r="J163">
        <v>0</v>
      </c>
      <c r="K163">
        <v>0</v>
      </c>
      <c r="L163" t="s">
        <v>27</v>
      </c>
      <c r="M163">
        <v>3</v>
      </c>
      <c r="N163" t="s">
        <v>28</v>
      </c>
      <c r="O163">
        <v>400</v>
      </c>
      <c r="P163">
        <v>70</v>
      </c>
      <c r="Q163">
        <v>15</v>
      </c>
    </row>
    <row r="164" spans="1:17" x14ac:dyDescent="0.2">
      <c r="A164" t="s">
        <v>17</v>
      </c>
      <c r="B164" t="s">
        <v>62</v>
      </c>
      <c r="C164">
        <v>43</v>
      </c>
      <c r="D164">
        <v>14</v>
      </c>
      <c r="E164">
        <v>1</v>
      </c>
      <c r="F164">
        <v>1</v>
      </c>
      <c r="G164" t="s">
        <v>25</v>
      </c>
      <c r="H164" s="16">
        <v>25.5</v>
      </c>
      <c r="I164">
        <v>0</v>
      </c>
      <c r="J164">
        <v>0</v>
      </c>
      <c r="K164">
        <v>0</v>
      </c>
      <c r="L164" t="s">
        <v>12</v>
      </c>
      <c r="M164">
        <v>3</v>
      </c>
      <c r="N164" t="s">
        <v>28</v>
      </c>
      <c r="O164">
        <v>400</v>
      </c>
      <c r="P164">
        <v>70</v>
      </c>
      <c r="Q164">
        <v>15</v>
      </c>
    </row>
    <row r="165" spans="1:17" x14ac:dyDescent="0.2">
      <c r="A165" t="s">
        <v>17</v>
      </c>
      <c r="B165" t="s">
        <v>62</v>
      </c>
      <c r="C165">
        <v>43</v>
      </c>
      <c r="D165">
        <v>28</v>
      </c>
      <c r="E165">
        <v>1</v>
      </c>
      <c r="F165">
        <v>1</v>
      </c>
      <c r="G165" t="s">
        <v>25</v>
      </c>
      <c r="H165" s="16">
        <v>91</v>
      </c>
      <c r="I165">
        <v>0</v>
      </c>
      <c r="J165">
        <v>0</v>
      </c>
      <c r="K165">
        <v>0</v>
      </c>
      <c r="L165" t="s">
        <v>27</v>
      </c>
      <c r="M165">
        <v>3</v>
      </c>
      <c r="N165" t="s">
        <v>28</v>
      </c>
      <c r="O165">
        <v>400</v>
      </c>
      <c r="P165">
        <v>70</v>
      </c>
      <c r="Q165">
        <v>15</v>
      </c>
    </row>
    <row r="166" spans="1:17" s="4" customFormat="1" x14ac:dyDescent="0.2">
      <c r="A166" s="4" t="s">
        <v>17</v>
      </c>
      <c r="B166" s="4" t="s">
        <v>62</v>
      </c>
      <c r="C166" s="4">
        <v>43</v>
      </c>
      <c r="D166" s="4">
        <v>42</v>
      </c>
      <c r="E166" s="4">
        <v>1</v>
      </c>
      <c r="F166" s="4">
        <v>1</v>
      </c>
      <c r="G166" s="4" t="s">
        <v>25</v>
      </c>
      <c r="H166" s="17">
        <v>117.1</v>
      </c>
      <c r="I166" s="4">
        <v>0</v>
      </c>
      <c r="J166" s="4">
        <v>0</v>
      </c>
      <c r="K166" s="4">
        <v>0</v>
      </c>
      <c r="L166" s="4" t="s">
        <v>12</v>
      </c>
      <c r="M166" s="4">
        <v>3</v>
      </c>
      <c r="N166" s="4" t="s">
        <v>28</v>
      </c>
      <c r="O166" s="4">
        <v>400</v>
      </c>
      <c r="P166" s="4">
        <v>70</v>
      </c>
      <c r="Q166" s="4">
        <v>15</v>
      </c>
    </row>
    <row r="167" spans="1:17" x14ac:dyDescent="0.2">
      <c r="A167" t="s">
        <v>17</v>
      </c>
      <c r="B167" t="s">
        <v>62</v>
      </c>
      <c r="C167">
        <v>44</v>
      </c>
      <c r="D167">
        <v>0</v>
      </c>
      <c r="E167">
        <v>1</v>
      </c>
      <c r="F167">
        <v>1</v>
      </c>
      <c r="G167" t="s">
        <v>25</v>
      </c>
      <c r="H167" s="16">
        <v>10.7</v>
      </c>
      <c r="I167">
        <v>0</v>
      </c>
      <c r="J167">
        <v>0</v>
      </c>
      <c r="K167">
        <v>0</v>
      </c>
      <c r="L167" t="s">
        <v>27</v>
      </c>
      <c r="M167">
        <v>3</v>
      </c>
      <c r="N167" t="s">
        <v>28</v>
      </c>
      <c r="O167">
        <v>400</v>
      </c>
      <c r="P167">
        <v>70</v>
      </c>
      <c r="Q167">
        <v>15</v>
      </c>
    </row>
    <row r="168" spans="1:17" x14ac:dyDescent="0.2">
      <c r="A168" t="s">
        <v>17</v>
      </c>
      <c r="B168" t="s">
        <v>62</v>
      </c>
      <c r="C168">
        <v>44</v>
      </c>
      <c r="D168">
        <v>14</v>
      </c>
      <c r="E168">
        <v>1</v>
      </c>
      <c r="F168">
        <v>1</v>
      </c>
      <c r="G168" t="s">
        <v>25</v>
      </c>
      <c r="H168" s="16">
        <v>24.7</v>
      </c>
      <c r="I168">
        <v>0</v>
      </c>
      <c r="J168">
        <v>0</v>
      </c>
      <c r="K168">
        <v>0</v>
      </c>
      <c r="L168" t="s">
        <v>12</v>
      </c>
      <c r="M168">
        <v>3</v>
      </c>
      <c r="N168" t="s">
        <v>28</v>
      </c>
      <c r="O168">
        <v>400</v>
      </c>
      <c r="P168">
        <v>70</v>
      </c>
      <c r="Q168">
        <v>15</v>
      </c>
    </row>
    <row r="169" spans="1:17" x14ac:dyDescent="0.2">
      <c r="A169" t="s">
        <v>17</v>
      </c>
      <c r="B169" t="s">
        <v>62</v>
      </c>
      <c r="C169">
        <v>44</v>
      </c>
      <c r="D169">
        <v>28</v>
      </c>
      <c r="E169">
        <v>1</v>
      </c>
      <c r="F169">
        <v>1</v>
      </c>
      <c r="G169" t="s">
        <v>25</v>
      </c>
      <c r="H169" s="16">
        <v>68.8</v>
      </c>
      <c r="I169">
        <v>0</v>
      </c>
      <c r="J169">
        <v>0</v>
      </c>
      <c r="K169">
        <v>0</v>
      </c>
      <c r="L169" t="s">
        <v>27</v>
      </c>
      <c r="M169">
        <v>3</v>
      </c>
      <c r="N169" t="s">
        <v>28</v>
      </c>
      <c r="O169">
        <v>400</v>
      </c>
      <c r="P169">
        <v>70</v>
      </c>
      <c r="Q169">
        <v>15</v>
      </c>
    </row>
    <row r="170" spans="1:17" s="4" customFormat="1" x14ac:dyDescent="0.2">
      <c r="A170" s="4" t="s">
        <v>17</v>
      </c>
      <c r="B170" s="4" t="s">
        <v>62</v>
      </c>
      <c r="C170" s="4">
        <v>44</v>
      </c>
      <c r="D170" s="4">
        <v>42</v>
      </c>
      <c r="E170" s="4">
        <v>1</v>
      </c>
      <c r="F170" s="4">
        <v>1</v>
      </c>
      <c r="G170" s="4" t="s">
        <v>25</v>
      </c>
      <c r="H170" s="17">
        <v>96.7</v>
      </c>
      <c r="I170" s="4">
        <v>0</v>
      </c>
      <c r="J170" s="4">
        <v>0</v>
      </c>
      <c r="K170" s="4">
        <v>0</v>
      </c>
      <c r="L170" s="4" t="s">
        <v>12</v>
      </c>
      <c r="M170" s="4">
        <v>3</v>
      </c>
      <c r="N170" s="4" t="s">
        <v>28</v>
      </c>
      <c r="O170" s="4">
        <v>400</v>
      </c>
      <c r="P170" s="4">
        <v>70</v>
      </c>
      <c r="Q170" s="4">
        <v>15</v>
      </c>
    </row>
    <row r="171" spans="1:17" x14ac:dyDescent="0.2">
      <c r="A171" t="s">
        <v>17</v>
      </c>
      <c r="B171" t="s">
        <v>62</v>
      </c>
      <c r="C171">
        <v>45</v>
      </c>
      <c r="D171">
        <v>0</v>
      </c>
      <c r="E171">
        <v>1</v>
      </c>
      <c r="F171">
        <v>1</v>
      </c>
      <c r="G171" t="s">
        <v>25</v>
      </c>
      <c r="H171" s="16">
        <v>11.3</v>
      </c>
      <c r="I171">
        <v>0</v>
      </c>
      <c r="J171">
        <v>0</v>
      </c>
      <c r="K171">
        <v>0</v>
      </c>
      <c r="L171" t="s">
        <v>27</v>
      </c>
      <c r="M171">
        <v>3</v>
      </c>
      <c r="N171" t="s">
        <v>28</v>
      </c>
      <c r="O171">
        <v>400</v>
      </c>
      <c r="P171">
        <v>70</v>
      </c>
      <c r="Q171">
        <v>15</v>
      </c>
    </row>
    <row r="172" spans="1:17" x14ac:dyDescent="0.2">
      <c r="A172" t="s">
        <v>17</v>
      </c>
      <c r="B172" t="s">
        <v>62</v>
      </c>
      <c r="C172">
        <v>45</v>
      </c>
      <c r="D172">
        <v>14</v>
      </c>
      <c r="E172">
        <v>1</v>
      </c>
      <c r="F172">
        <v>1</v>
      </c>
      <c r="G172" t="s">
        <v>25</v>
      </c>
      <c r="H172" s="16">
        <v>31.2</v>
      </c>
      <c r="I172">
        <v>0</v>
      </c>
      <c r="J172">
        <v>0</v>
      </c>
      <c r="K172">
        <v>0</v>
      </c>
      <c r="L172" t="s">
        <v>12</v>
      </c>
      <c r="M172">
        <v>3</v>
      </c>
      <c r="N172" t="s">
        <v>28</v>
      </c>
      <c r="O172">
        <v>400</v>
      </c>
      <c r="P172">
        <v>70</v>
      </c>
      <c r="Q172">
        <v>15</v>
      </c>
    </row>
    <row r="173" spans="1:17" x14ac:dyDescent="0.2">
      <c r="A173" t="s">
        <v>17</v>
      </c>
      <c r="B173" t="s">
        <v>62</v>
      </c>
      <c r="C173">
        <v>45</v>
      </c>
      <c r="D173">
        <v>28</v>
      </c>
      <c r="E173">
        <v>1</v>
      </c>
      <c r="F173">
        <v>1</v>
      </c>
      <c r="G173" t="s">
        <v>25</v>
      </c>
      <c r="H173" s="16">
        <v>88.9</v>
      </c>
      <c r="I173">
        <v>0</v>
      </c>
      <c r="J173">
        <v>0</v>
      </c>
      <c r="K173">
        <v>0</v>
      </c>
      <c r="L173" t="s">
        <v>27</v>
      </c>
      <c r="M173">
        <v>3</v>
      </c>
      <c r="N173" t="s">
        <v>28</v>
      </c>
      <c r="O173">
        <v>400</v>
      </c>
      <c r="P173">
        <v>70</v>
      </c>
      <c r="Q173">
        <v>15</v>
      </c>
    </row>
    <row r="174" spans="1:17" s="4" customFormat="1" x14ac:dyDescent="0.2">
      <c r="A174" s="4" t="s">
        <v>17</v>
      </c>
      <c r="B174" s="4" t="s">
        <v>62</v>
      </c>
      <c r="C174" s="4">
        <v>45</v>
      </c>
      <c r="D174" s="4">
        <v>42</v>
      </c>
      <c r="E174" s="4">
        <v>1</v>
      </c>
      <c r="F174" s="4">
        <v>1</v>
      </c>
      <c r="G174" s="4" t="s">
        <v>25</v>
      </c>
      <c r="H174" s="17">
        <v>128.5</v>
      </c>
      <c r="I174" s="4">
        <v>0</v>
      </c>
      <c r="J174" s="4">
        <v>0</v>
      </c>
      <c r="K174" s="4">
        <v>0</v>
      </c>
      <c r="L174" s="4" t="s">
        <v>12</v>
      </c>
      <c r="M174" s="4">
        <v>3</v>
      </c>
      <c r="N174" s="4" t="s">
        <v>28</v>
      </c>
      <c r="O174" s="4">
        <v>400</v>
      </c>
      <c r="P174" s="4">
        <v>70</v>
      </c>
      <c r="Q174" s="4">
        <v>15</v>
      </c>
    </row>
    <row r="175" spans="1:17" x14ac:dyDescent="0.2">
      <c r="A175" t="s">
        <v>17</v>
      </c>
      <c r="B175" t="s">
        <v>62</v>
      </c>
      <c r="C175">
        <v>46</v>
      </c>
      <c r="D175">
        <v>0</v>
      </c>
      <c r="E175">
        <v>1</v>
      </c>
      <c r="F175">
        <v>1</v>
      </c>
      <c r="G175" t="s">
        <v>25</v>
      </c>
      <c r="H175" s="16">
        <v>14.8</v>
      </c>
      <c r="I175">
        <v>0</v>
      </c>
      <c r="J175">
        <v>0</v>
      </c>
      <c r="K175">
        <v>0</v>
      </c>
      <c r="L175" t="s">
        <v>27</v>
      </c>
      <c r="M175">
        <v>3</v>
      </c>
      <c r="N175" t="s">
        <v>28</v>
      </c>
      <c r="O175">
        <v>400</v>
      </c>
      <c r="P175">
        <v>70</v>
      </c>
      <c r="Q175">
        <v>15</v>
      </c>
    </row>
    <row r="176" spans="1:17" x14ac:dyDescent="0.2">
      <c r="A176" t="s">
        <v>17</v>
      </c>
      <c r="B176" t="s">
        <v>62</v>
      </c>
      <c r="C176">
        <v>46</v>
      </c>
      <c r="D176">
        <v>14</v>
      </c>
      <c r="E176">
        <v>1</v>
      </c>
      <c r="F176">
        <v>1</v>
      </c>
      <c r="G176" t="s">
        <v>25</v>
      </c>
      <c r="H176" s="16">
        <v>41.3</v>
      </c>
      <c r="I176">
        <v>0</v>
      </c>
      <c r="J176">
        <v>0</v>
      </c>
      <c r="K176">
        <v>0</v>
      </c>
      <c r="L176" t="s">
        <v>12</v>
      </c>
      <c r="M176">
        <v>3</v>
      </c>
      <c r="N176" t="s">
        <v>28</v>
      </c>
      <c r="O176">
        <v>400</v>
      </c>
      <c r="P176">
        <v>70</v>
      </c>
      <c r="Q176">
        <v>15</v>
      </c>
    </row>
    <row r="177" spans="1:17" x14ac:dyDescent="0.2">
      <c r="A177" t="s">
        <v>17</v>
      </c>
      <c r="B177" t="s">
        <v>62</v>
      </c>
      <c r="C177">
        <v>46</v>
      </c>
      <c r="D177">
        <v>28</v>
      </c>
      <c r="E177">
        <v>1</v>
      </c>
      <c r="F177">
        <v>1</v>
      </c>
      <c r="G177" t="s">
        <v>25</v>
      </c>
      <c r="H177" s="16">
        <v>121.9</v>
      </c>
      <c r="I177">
        <v>0</v>
      </c>
      <c r="J177">
        <v>0</v>
      </c>
      <c r="K177">
        <v>0</v>
      </c>
      <c r="L177" t="s">
        <v>27</v>
      </c>
      <c r="M177">
        <v>3</v>
      </c>
      <c r="N177" t="s">
        <v>28</v>
      </c>
      <c r="O177">
        <v>400</v>
      </c>
      <c r="P177">
        <v>70</v>
      </c>
      <c r="Q177">
        <v>15</v>
      </c>
    </row>
    <row r="178" spans="1:17" s="4" customFormat="1" x14ac:dyDescent="0.2">
      <c r="A178" s="4" t="s">
        <v>17</v>
      </c>
      <c r="B178" s="4" t="s">
        <v>62</v>
      </c>
      <c r="C178" s="4">
        <v>46</v>
      </c>
      <c r="D178" s="4">
        <v>42</v>
      </c>
      <c r="E178" s="4">
        <v>1</v>
      </c>
      <c r="F178" s="4">
        <v>1</v>
      </c>
      <c r="G178" s="4" t="s">
        <v>25</v>
      </c>
      <c r="H178" s="17">
        <v>197</v>
      </c>
      <c r="I178" s="4">
        <v>0</v>
      </c>
      <c r="J178" s="4">
        <v>0</v>
      </c>
      <c r="K178" s="4">
        <v>0</v>
      </c>
      <c r="L178" s="4" t="s">
        <v>12</v>
      </c>
      <c r="M178" s="4">
        <v>3</v>
      </c>
      <c r="N178" s="4" t="s">
        <v>28</v>
      </c>
      <c r="O178" s="4">
        <v>400</v>
      </c>
      <c r="P178" s="4">
        <v>70</v>
      </c>
      <c r="Q178" s="4">
        <v>15</v>
      </c>
    </row>
    <row r="179" spans="1:17" x14ac:dyDescent="0.2">
      <c r="A179" t="s">
        <v>17</v>
      </c>
      <c r="B179" t="s">
        <v>62</v>
      </c>
      <c r="C179">
        <v>47</v>
      </c>
      <c r="D179">
        <v>0</v>
      </c>
      <c r="E179">
        <v>1</v>
      </c>
      <c r="F179">
        <v>1</v>
      </c>
      <c r="G179" t="s">
        <v>25</v>
      </c>
      <c r="H179" s="16">
        <v>10.6</v>
      </c>
      <c r="I179">
        <v>0</v>
      </c>
      <c r="J179">
        <v>0</v>
      </c>
      <c r="K179">
        <v>0</v>
      </c>
      <c r="L179" t="s">
        <v>27</v>
      </c>
      <c r="M179">
        <v>3</v>
      </c>
      <c r="N179" t="s">
        <v>28</v>
      </c>
      <c r="O179">
        <v>400</v>
      </c>
      <c r="P179">
        <v>70</v>
      </c>
      <c r="Q179">
        <v>15</v>
      </c>
    </row>
    <row r="180" spans="1:17" x14ac:dyDescent="0.2">
      <c r="A180" t="s">
        <v>17</v>
      </c>
      <c r="B180" t="s">
        <v>62</v>
      </c>
      <c r="C180">
        <v>47</v>
      </c>
      <c r="D180">
        <v>14</v>
      </c>
      <c r="E180">
        <v>1</v>
      </c>
      <c r="F180">
        <v>1</v>
      </c>
      <c r="G180" t="s">
        <v>25</v>
      </c>
      <c r="H180" s="16">
        <v>30.2</v>
      </c>
      <c r="I180">
        <v>0</v>
      </c>
      <c r="J180">
        <v>0</v>
      </c>
      <c r="K180">
        <v>0</v>
      </c>
      <c r="L180" t="s">
        <v>12</v>
      </c>
      <c r="M180">
        <v>3</v>
      </c>
      <c r="N180" t="s">
        <v>28</v>
      </c>
      <c r="O180">
        <v>400</v>
      </c>
      <c r="P180">
        <v>70</v>
      </c>
      <c r="Q180">
        <v>15</v>
      </c>
    </row>
    <row r="181" spans="1:17" x14ac:dyDescent="0.2">
      <c r="A181" t="s">
        <v>17</v>
      </c>
      <c r="B181" t="s">
        <v>62</v>
      </c>
      <c r="C181">
        <v>47</v>
      </c>
      <c r="D181">
        <v>28</v>
      </c>
      <c r="E181">
        <v>1</v>
      </c>
      <c r="F181">
        <v>1</v>
      </c>
      <c r="G181" t="s">
        <v>25</v>
      </c>
      <c r="H181" s="16">
        <v>91.6</v>
      </c>
      <c r="I181">
        <v>0</v>
      </c>
      <c r="J181">
        <v>0</v>
      </c>
      <c r="K181">
        <v>0</v>
      </c>
      <c r="L181" t="s">
        <v>27</v>
      </c>
      <c r="M181">
        <v>3</v>
      </c>
      <c r="N181" t="s">
        <v>28</v>
      </c>
      <c r="O181">
        <v>400</v>
      </c>
      <c r="P181">
        <v>70</v>
      </c>
      <c r="Q181">
        <v>15</v>
      </c>
    </row>
    <row r="182" spans="1:17" s="4" customFormat="1" x14ac:dyDescent="0.2">
      <c r="A182" s="4" t="s">
        <v>17</v>
      </c>
      <c r="B182" s="4" t="s">
        <v>62</v>
      </c>
      <c r="C182" s="4">
        <v>47</v>
      </c>
      <c r="D182" s="4">
        <v>42</v>
      </c>
      <c r="E182" s="4">
        <v>1</v>
      </c>
      <c r="F182" s="4">
        <v>1</v>
      </c>
      <c r="G182" s="4" t="s">
        <v>25</v>
      </c>
      <c r="H182" s="17">
        <v>163.6</v>
      </c>
      <c r="I182" s="4">
        <v>0</v>
      </c>
      <c r="J182" s="4">
        <v>0</v>
      </c>
      <c r="K182" s="4">
        <v>0</v>
      </c>
      <c r="L182" s="4" t="s">
        <v>12</v>
      </c>
      <c r="M182" s="4">
        <v>3</v>
      </c>
      <c r="N182" s="4" t="s">
        <v>28</v>
      </c>
      <c r="O182" s="4">
        <v>400</v>
      </c>
      <c r="P182" s="4">
        <v>70</v>
      </c>
      <c r="Q182" s="4">
        <v>15</v>
      </c>
    </row>
    <row r="183" spans="1:17" x14ac:dyDescent="0.2">
      <c r="A183" t="s">
        <v>17</v>
      </c>
      <c r="B183" t="s">
        <v>62</v>
      </c>
      <c r="C183">
        <v>48</v>
      </c>
      <c r="D183">
        <v>0</v>
      </c>
      <c r="E183">
        <v>1</v>
      </c>
      <c r="F183">
        <v>1</v>
      </c>
      <c r="G183" t="s">
        <v>25</v>
      </c>
      <c r="H183" s="16">
        <v>8.1</v>
      </c>
      <c r="I183">
        <v>0</v>
      </c>
      <c r="J183">
        <v>0</v>
      </c>
      <c r="K183">
        <v>0</v>
      </c>
      <c r="L183" t="s">
        <v>27</v>
      </c>
      <c r="M183">
        <v>3</v>
      </c>
      <c r="N183" t="s">
        <v>28</v>
      </c>
      <c r="O183">
        <v>400</v>
      </c>
      <c r="P183">
        <v>70</v>
      </c>
      <c r="Q183">
        <v>15</v>
      </c>
    </row>
    <row r="184" spans="1:17" x14ac:dyDescent="0.2">
      <c r="A184" t="s">
        <v>17</v>
      </c>
      <c r="B184" t="s">
        <v>62</v>
      </c>
      <c r="C184">
        <v>48</v>
      </c>
      <c r="D184">
        <v>14</v>
      </c>
      <c r="E184">
        <v>1</v>
      </c>
      <c r="F184">
        <v>1</v>
      </c>
      <c r="G184" t="s">
        <v>25</v>
      </c>
      <c r="H184" s="16">
        <v>26.7</v>
      </c>
      <c r="I184">
        <v>0</v>
      </c>
      <c r="J184">
        <v>0</v>
      </c>
      <c r="K184">
        <v>0</v>
      </c>
      <c r="L184" t="s">
        <v>12</v>
      </c>
      <c r="M184">
        <v>3</v>
      </c>
      <c r="N184" t="s">
        <v>28</v>
      </c>
      <c r="O184">
        <v>400</v>
      </c>
      <c r="P184">
        <v>70</v>
      </c>
      <c r="Q184">
        <v>15</v>
      </c>
    </row>
    <row r="185" spans="1:17" x14ac:dyDescent="0.2">
      <c r="A185" t="s">
        <v>17</v>
      </c>
      <c r="B185" t="s">
        <v>62</v>
      </c>
      <c r="C185">
        <v>48</v>
      </c>
      <c r="D185">
        <v>28</v>
      </c>
      <c r="E185">
        <v>1</v>
      </c>
      <c r="F185">
        <v>1</v>
      </c>
      <c r="G185" t="s">
        <v>25</v>
      </c>
      <c r="H185" s="16">
        <v>74.900000000000006</v>
      </c>
      <c r="I185">
        <v>0</v>
      </c>
      <c r="J185">
        <v>0</v>
      </c>
      <c r="K185">
        <v>0</v>
      </c>
      <c r="L185" t="s">
        <v>27</v>
      </c>
      <c r="M185">
        <v>3</v>
      </c>
      <c r="N185" t="s">
        <v>28</v>
      </c>
      <c r="O185">
        <v>400</v>
      </c>
      <c r="P185">
        <v>70</v>
      </c>
      <c r="Q185">
        <v>15</v>
      </c>
    </row>
    <row r="186" spans="1:17" s="4" customFormat="1" x14ac:dyDescent="0.2">
      <c r="A186" s="4" t="s">
        <v>17</v>
      </c>
      <c r="B186" s="4" t="s">
        <v>62</v>
      </c>
      <c r="C186" s="4">
        <v>48</v>
      </c>
      <c r="D186" s="4">
        <v>42</v>
      </c>
      <c r="E186" s="4">
        <v>1</v>
      </c>
      <c r="F186" s="4">
        <v>1</v>
      </c>
      <c r="G186" s="4" t="s">
        <v>25</v>
      </c>
      <c r="H186" s="17">
        <v>110.4</v>
      </c>
      <c r="I186" s="4">
        <v>0</v>
      </c>
      <c r="J186" s="4">
        <v>0</v>
      </c>
      <c r="K186" s="4">
        <v>0</v>
      </c>
      <c r="L186" s="4" t="s">
        <v>12</v>
      </c>
      <c r="M186" s="4">
        <v>3</v>
      </c>
      <c r="N186" s="4" t="s">
        <v>28</v>
      </c>
      <c r="O186" s="4">
        <v>400</v>
      </c>
      <c r="P186" s="4">
        <v>70</v>
      </c>
      <c r="Q186" s="4">
        <v>15</v>
      </c>
    </row>
    <row r="187" spans="1:17" x14ac:dyDescent="0.2">
      <c r="A187" t="s">
        <v>17</v>
      </c>
      <c r="B187" t="s">
        <v>62</v>
      </c>
      <c r="C187">
        <v>49</v>
      </c>
      <c r="D187">
        <v>0</v>
      </c>
      <c r="E187">
        <v>1</v>
      </c>
      <c r="F187">
        <v>1</v>
      </c>
      <c r="G187" t="s">
        <v>25</v>
      </c>
      <c r="H187" s="16">
        <v>11.64</v>
      </c>
      <c r="I187">
        <v>0</v>
      </c>
      <c r="J187">
        <v>0</v>
      </c>
      <c r="K187">
        <v>0</v>
      </c>
      <c r="L187" t="s">
        <v>27</v>
      </c>
      <c r="M187">
        <v>3</v>
      </c>
      <c r="N187" t="s">
        <v>28</v>
      </c>
      <c r="O187">
        <v>400</v>
      </c>
      <c r="P187">
        <v>70</v>
      </c>
      <c r="Q187">
        <v>15</v>
      </c>
    </row>
    <row r="188" spans="1:17" x14ac:dyDescent="0.2">
      <c r="A188" t="s">
        <v>17</v>
      </c>
      <c r="B188" t="s">
        <v>62</v>
      </c>
      <c r="C188">
        <v>49</v>
      </c>
      <c r="D188">
        <v>14</v>
      </c>
      <c r="E188">
        <v>1</v>
      </c>
      <c r="F188">
        <v>1</v>
      </c>
      <c r="G188" t="s">
        <v>25</v>
      </c>
      <c r="H188" s="16">
        <v>30</v>
      </c>
      <c r="I188">
        <v>0</v>
      </c>
      <c r="J188">
        <v>0</v>
      </c>
      <c r="K188">
        <v>0</v>
      </c>
      <c r="L188" t="s">
        <v>12</v>
      </c>
      <c r="M188">
        <v>3</v>
      </c>
      <c r="N188" t="s">
        <v>28</v>
      </c>
      <c r="O188">
        <v>400</v>
      </c>
      <c r="P188">
        <v>70</v>
      </c>
      <c r="Q188">
        <v>15</v>
      </c>
    </row>
    <row r="189" spans="1:17" x14ac:dyDescent="0.2">
      <c r="A189" t="s">
        <v>17</v>
      </c>
      <c r="B189" t="s">
        <v>62</v>
      </c>
      <c r="C189">
        <v>49</v>
      </c>
      <c r="D189">
        <v>28</v>
      </c>
      <c r="E189">
        <v>1</v>
      </c>
      <c r="F189">
        <v>1</v>
      </c>
      <c r="G189" t="s">
        <v>25</v>
      </c>
      <c r="H189" s="16">
        <v>78.400000000000006</v>
      </c>
      <c r="I189">
        <v>0</v>
      </c>
      <c r="J189">
        <v>0</v>
      </c>
      <c r="K189">
        <v>0</v>
      </c>
      <c r="L189" t="s">
        <v>27</v>
      </c>
      <c r="M189">
        <v>3</v>
      </c>
      <c r="N189" t="s">
        <v>28</v>
      </c>
      <c r="O189">
        <v>400</v>
      </c>
      <c r="P189">
        <v>70</v>
      </c>
      <c r="Q189">
        <v>15</v>
      </c>
    </row>
    <row r="190" spans="1:17" s="4" customFormat="1" x14ac:dyDescent="0.2">
      <c r="A190" s="4" t="s">
        <v>17</v>
      </c>
      <c r="B190" s="4" t="s">
        <v>62</v>
      </c>
      <c r="C190" s="4">
        <v>49</v>
      </c>
      <c r="D190" s="4">
        <v>42</v>
      </c>
      <c r="E190" s="4">
        <v>1</v>
      </c>
      <c r="F190" s="4">
        <v>1</v>
      </c>
      <c r="G190" s="4" t="s">
        <v>25</v>
      </c>
      <c r="H190" s="17">
        <v>124</v>
      </c>
      <c r="I190" s="4">
        <v>0</v>
      </c>
      <c r="J190" s="4">
        <v>0</v>
      </c>
      <c r="K190" s="4">
        <v>0</v>
      </c>
      <c r="L190" s="4" t="s">
        <v>12</v>
      </c>
      <c r="M190" s="4">
        <v>3</v>
      </c>
      <c r="N190" s="4" t="s">
        <v>28</v>
      </c>
      <c r="O190" s="4">
        <v>400</v>
      </c>
      <c r="P190" s="4">
        <v>70</v>
      </c>
      <c r="Q190" s="4">
        <v>15</v>
      </c>
    </row>
    <row r="191" spans="1:17" x14ac:dyDescent="0.2">
      <c r="A191" t="s">
        <v>17</v>
      </c>
      <c r="B191" t="s">
        <v>62</v>
      </c>
      <c r="C191">
        <v>50</v>
      </c>
      <c r="D191">
        <v>0</v>
      </c>
      <c r="E191">
        <v>1</v>
      </c>
      <c r="F191">
        <v>1</v>
      </c>
      <c r="G191" t="s">
        <v>25</v>
      </c>
      <c r="H191" s="16">
        <v>8.6999999999999993</v>
      </c>
      <c r="I191">
        <v>0</v>
      </c>
      <c r="J191">
        <v>0</v>
      </c>
      <c r="K191">
        <v>0</v>
      </c>
      <c r="L191" t="s">
        <v>27</v>
      </c>
      <c r="M191">
        <v>3</v>
      </c>
      <c r="N191" t="s">
        <v>28</v>
      </c>
      <c r="O191">
        <v>400</v>
      </c>
      <c r="P191">
        <v>70</v>
      </c>
      <c r="Q191">
        <v>15</v>
      </c>
    </row>
    <row r="192" spans="1:17" s="4" customFormat="1" x14ac:dyDescent="0.2">
      <c r="A192" s="4" t="s">
        <v>17</v>
      </c>
      <c r="B192" s="4" t="s">
        <v>62</v>
      </c>
      <c r="C192" s="4">
        <v>50</v>
      </c>
      <c r="D192" s="4">
        <v>14</v>
      </c>
      <c r="E192" s="4">
        <v>1</v>
      </c>
      <c r="F192" s="4">
        <v>1</v>
      </c>
      <c r="G192" s="4" t="s">
        <v>25</v>
      </c>
      <c r="H192" s="17">
        <v>23.6</v>
      </c>
      <c r="I192" s="4">
        <v>0</v>
      </c>
      <c r="J192" s="4">
        <v>0</v>
      </c>
      <c r="K192" s="4">
        <v>0</v>
      </c>
      <c r="L192" s="4" t="s">
        <v>12</v>
      </c>
      <c r="M192" s="4">
        <v>3</v>
      </c>
      <c r="N192" s="4" t="s">
        <v>28</v>
      </c>
      <c r="O192" s="4">
        <v>400</v>
      </c>
      <c r="P192" s="4">
        <v>70</v>
      </c>
      <c r="Q192" s="4">
        <v>15</v>
      </c>
    </row>
    <row r="193" spans="1:17" x14ac:dyDescent="0.2">
      <c r="A193" t="s">
        <v>17</v>
      </c>
      <c r="B193" t="s">
        <v>62</v>
      </c>
      <c r="C193">
        <v>51</v>
      </c>
      <c r="D193">
        <v>0</v>
      </c>
      <c r="E193">
        <v>1</v>
      </c>
      <c r="F193">
        <v>1</v>
      </c>
      <c r="G193" t="s">
        <v>25</v>
      </c>
      <c r="H193" s="16">
        <v>11.7</v>
      </c>
      <c r="I193">
        <v>0</v>
      </c>
      <c r="J193">
        <v>0</v>
      </c>
      <c r="K193">
        <v>0</v>
      </c>
      <c r="L193" t="s">
        <v>27</v>
      </c>
      <c r="M193">
        <v>3</v>
      </c>
      <c r="N193" t="s">
        <v>28</v>
      </c>
      <c r="O193">
        <v>400</v>
      </c>
      <c r="P193">
        <v>70</v>
      </c>
      <c r="Q193">
        <v>15</v>
      </c>
    </row>
    <row r="194" spans="1:17" s="4" customFormat="1" x14ac:dyDescent="0.2">
      <c r="A194" s="4" t="s">
        <v>17</v>
      </c>
      <c r="B194" s="4" t="s">
        <v>62</v>
      </c>
      <c r="C194" s="4">
        <v>51</v>
      </c>
      <c r="D194" s="4">
        <v>14</v>
      </c>
      <c r="E194" s="4">
        <v>1</v>
      </c>
      <c r="F194" s="4">
        <v>1</v>
      </c>
      <c r="G194" s="4" t="s">
        <v>25</v>
      </c>
      <c r="H194" s="17">
        <v>30.7</v>
      </c>
      <c r="I194" s="4">
        <v>0</v>
      </c>
      <c r="J194" s="4">
        <v>0</v>
      </c>
      <c r="K194" s="4">
        <v>0</v>
      </c>
      <c r="L194" s="4" t="s">
        <v>12</v>
      </c>
      <c r="M194" s="4">
        <v>3</v>
      </c>
      <c r="N194" s="4" t="s">
        <v>28</v>
      </c>
      <c r="O194" s="4">
        <v>400</v>
      </c>
      <c r="P194" s="4">
        <v>70</v>
      </c>
      <c r="Q194" s="4">
        <v>15</v>
      </c>
    </row>
    <row r="195" spans="1:17" x14ac:dyDescent="0.2">
      <c r="A195" t="s">
        <v>17</v>
      </c>
      <c r="B195" t="s">
        <v>62</v>
      </c>
      <c r="C195">
        <v>52</v>
      </c>
      <c r="D195">
        <v>0</v>
      </c>
      <c r="E195">
        <v>1</v>
      </c>
      <c r="F195">
        <v>1</v>
      </c>
      <c r="G195" t="s">
        <v>25</v>
      </c>
      <c r="H195" s="16">
        <v>11.8</v>
      </c>
      <c r="I195">
        <v>0</v>
      </c>
      <c r="J195">
        <v>0</v>
      </c>
      <c r="K195">
        <v>0</v>
      </c>
      <c r="L195" t="s">
        <v>27</v>
      </c>
      <c r="M195">
        <v>3</v>
      </c>
      <c r="N195" t="s">
        <v>28</v>
      </c>
      <c r="O195">
        <v>400</v>
      </c>
      <c r="P195">
        <v>70</v>
      </c>
      <c r="Q195">
        <v>15</v>
      </c>
    </row>
    <row r="196" spans="1:17" s="4" customFormat="1" x14ac:dyDescent="0.2">
      <c r="A196" s="4" t="s">
        <v>17</v>
      </c>
      <c r="B196" s="4" t="s">
        <v>62</v>
      </c>
      <c r="C196" s="4">
        <v>52</v>
      </c>
      <c r="D196" s="4">
        <v>14</v>
      </c>
      <c r="E196" s="4">
        <v>1</v>
      </c>
      <c r="F196" s="4">
        <v>1</v>
      </c>
      <c r="G196" s="4" t="s">
        <v>25</v>
      </c>
      <c r="H196" s="17">
        <v>40.299999999999997</v>
      </c>
      <c r="I196" s="4">
        <v>0</v>
      </c>
      <c r="J196" s="4">
        <v>0</v>
      </c>
      <c r="K196" s="4">
        <v>0</v>
      </c>
      <c r="L196" s="4" t="s">
        <v>12</v>
      </c>
      <c r="M196" s="4">
        <v>3</v>
      </c>
      <c r="N196" s="4" t="s">
        <v>28</v>
      </c>
      <c r="O196" s="4">
        <v>400</v>
      </c>
      <c r="P196" s="4">
        <v>70</v>
      </c>
      <c r="Q196" s="4">
        <v>15</v>
      </c>
    </row>
    <row r="197" spans="1:17" x14ac:dyDescent="0.2">
      <c r="A197" t="s">
        <v>17</v>
      </c>
      <c r="B197" t="s">
        <v>62</v>
      </c>
      <c r="C197">
        <v>53</v>
      </c>
      <c r="D197">
        <v>0</v>
      </c>
      <c r="E197">
        <v>1</v>
      </c>
      <c r="F197">
        <v>1</v>
      </c>
      <c r="G197" t="s">
        <v>25</v>
      </c>
      <c r="H197" s="16">
        <v>11.5</v>
      </c>
      <c r="I197">
        <v>0</v>
      </c>
      <c r="J197">
        <v>0</v>
      </c>
      <c r="K197">
        <v>0</v>
      </c>
      <c r="L197" t="s">
        <v>27</v>
      </c>
      <c r="M197">
        <v>3</v>
      </c>
      <c r="N197" t="s">
        <v>28</v>
      </c>
      <c r="O197">
        <v>400</v>
      </c>
      <c r="P197">
        <v>70</v>
      </c>
      <c r="Q197">
        <v>15</v>
      </c>
    </row>
    <row r="198" spans="1:17" s="4" customFormat="1" x14ac:dyDescent="0.2">
      <c r="A198" s="4" t="s">
        <v>17</v>
      </c>
      <c r="B198" s="4" t="s">
        <v>62</v>
      </c>
      <c r="C198" s="4">
        <v>53</v>
      </c>
      <c r="D198" s="4">
        <v>14</v>
      </c>
      <c r="E198" s="4">
        <v>1</v>
      </c>
      <c r="F198" s="4">
        <v>1</v>
      </c>
      <c r="G198" s="4" t="s">
        <v>25</v>
      </c>
      <c r="H198" s="17">
        <v>34.299999999999997</v>
      </c>
      <c r="I198" s="4">
        <v>0</v>
      </c>
      <c r="J198" s="4">
        <v>0</v>
      </c>
      <c r="K198" s="4">
        <v>0</v>
      </c>
      <c r="L198" s="4" t="s">
        <v>12</v>
      </c>
      <c r="M198" s="4">
        <v>3</v>
      </c>
      <c r="N198" s="4" t="s">
        <v>28</v>
      </c>
      <c r="O198" s="4">
        <v>400</v>
      </c>
      <c r="P198" s="4">
        <v>70</v>
      </c>
      <c r="Q198" s="4">
        <v>15</v>
      </c>
    </row>
    <row r="199" spans="1:17" x14ac:dyDescent="0.2">
      <c r="A199" t="s">
        <v>17</v>
      </c>
      <c r="B199" t="s">
        <v>62</v>
      </c>
      <c r="C199">
        <v>54</v>
      </c>
      <c r="D199">
        <v>0</v>
      </c>
      <c r="E199">
        <v>1</v>
      </c>
      <c r="F199">
        <v>1</v>
      </c>
      <c r="G199" t="s">
        <v>25</v>
      </c>
      <c r="H199" s="16">
        <v>15</v>
      </c>
      <c r="I199">
        <v>0</v>
      </c>
      <c r="J199">
        <v>0</v>
      </c>
      <c r="K199">
        <v>0</v>
      </c>
      <c r="L199" t="s">
        <v>27</v>
      </c>
      <c r="M199">
        <v>3</v>
      </c>
      <c r="N199" t="s">
        <v>28</v>
      </c>
      <c r="O199">
        <v>400</v>
      </c>
      <c r="P199">
        <v>70</v>
      </c>
      <c r="Q199">
        <v>15</v>
      </c>
    </row>
    <row r="200" spans="1:17" s="4" customFormat="1" x14ac:dyDescent="0.2">
      <c r="A200" s="4" t="s">
        <v>17</v>
      </c>
      <c r="B200" s="4" t="s">
        <v>62</v>
      </c>
      <c r="C200" s="4">
        <v>54</v>
      </c>
      <c r="D200" s="4">
        <v>14</v>
      </c>
      <c r="E200" s="4">
        <v>1</v>
      </c>
      <c r="F200" s="4">
        <v>1</v>
      </c>
      <c r="G200" s="4" t="s">
        <v>25</v>
      </c>
      <c r="H200" s="17">
        <v>41.7</v>
      </c>
      <c r="I200" s="4">
        <v>0</v>
      </c>
      <c r="J200" s="4">
        <v>0</v>
      </c>
      <c r="K200" s="4">
        <v>0</v>
      </c>
      <c r="L200" s="4" t="s">
        <v>12</v>
      </c>
      <c r="M200" s="4">
        <v>3</v>
      </c>
      <c r="N200" s="4" t="s">
        <v>28</v>
      </c>
      <c r="O200" s="4">
        <v>400</v>
      </c>
      <c r="P200" s="4">
        <v>70</v>
      </c>
      <c r="Q200" s="4">
        <v>15</v>
      </c>
    </row>
    <row r="201" spans="1:17" x14ac:dyDescent="0.2">
      <c r="A201" t="s">
        <v>17</v>
      </c>
      <c r="B201" t="s">
        <v>62</v>
      </c>
      <c r="C201">
        <v>55</v>
      </c>
      <c r="D201">
        <v>0</v>
      </c>
      <c r="E201">
        <v>1</v>
      </c>
      <c r="F201">
        <v>1</v>
      </c>
      <c r="G201" t="s">
        <v>25</v>
      </c>
      <c r="H201" s="16">
        <v>14.2</v>
      </c>
      <c r="I201">
        <v>0</v>
      </c>
      <c r="J201">
        <v>0</v>
      </c>
      <c r="K201">
        <v>0</v>
      </c>
      <c r="L201" t="s">
        <v>27</v>
      </c>
      <c r="M201">
        <v>3</v>
      </c>
      <c r="N201" t="s">
        <v>28</v>
      </c>
      <c r="O201">
        <v>400</v>
      </c>
      <c r="P201">
        <v>70</v>
      </c>
      <c r="Q201">
        <v>15</v>
      </c>
    </row>
    <row r="202" spans="1:17" s="4" customFormat="1" x14ac:dyDescent="0.2">
      <c r="A202" s="4" t="s">
        <v>17</v>
      </c>
      <c r="B202" s="4" t="s">
        <v>62</v>
      </c>
      <c r="C202" s="4">
        <v>55</v>
      </c>
      <c r="D202" s="4">
        <v>14</v>
      </c>
      <c r="E202" s="4">
        <v>1</v>
      </c>
      <c r="F202" s="4">
        <v>1</v>
      </c>
      <c r="G202" s="4" t="s">
        <v>25</v>
      </c>
      <c r="H202" s="17">
        <v>40</v>
      </c>
      <c r="I202" s="4">
        <v>0</v>
      </c>
      <c r="J202" s="4">
        <v>0</v>
      </c>
      <c r="K202" s="4">
        <v>0</v>
      </c>
      <c r="L202" s="4" t="s">
        <v>12</v>
      </c>
      <c r="M202" s="4">
        <v>3</v>
      </c>
      <c r="N202" s="4" t="s">
        <v>28</v>
      </c>
      <c r="O202" s="4">
        <v>400</v>
      </c>
      <c r="P202" s="4">
        <v>70</v>
      </c>
      <c r="Q202" s="4">
        <v>15</v>
      </c>
    </row>
    <row r="203" spans="1:17" x14ac:dyDescent="0.2">
      <c r="A203" t="s">
        <v>17</v>
      </c>
      <c r="B203" t="s">
        <v>62</v>
      </c>
      <c r="C203">
        <v>56</v>
      </c>
      <c r="D203">
        <v>0</v>
      </c>
      <c r="E203">
        <v>1</v>
      </c>
      <c r="F203">
        <v>1</v>
      </c>
      <c r="G203" t="s">
        <v>25</v>
      </c>
      <c r="H203" s="16">
        <v>8.5</v>
      </c>
      <c r="I203">
        <v>0</v>
      </c>
      <c r="J203">
        <v>0</v>
      </c>
      <c r="K203">
        <v>0</v>
      </c>
      <c r="L203" t="s">
        <v>27</v>
      </c>
      <c r="M203">
        <v>3</v>
      </c>
      <c r="N203" t="s">
        <v>28</v>
      </c>
      <c r="O203">
        <v>400</v>
      </c>
      <c r="P203">
        <v>70</v>
      </c>
      <c r="Q203">
        <v>15</v>
      </c>
    </row>
    <row r="204" spans="1:17" s="4" customFormat="1" x14ac:dyDescent="0.2">
      <c r="A204" s="4" t="s">
        <v>17</v>
      </c>
      <c r="B204" s="4" t="s">
        <v>62</v>
      </c>
      <c r="C204" s="4">
        <v>56</v>
      </c>
      <c r="D204" s="4">
        <v>14</v>
      </c>
      <c r="E204" s="4">
        <v>1</v>
      </c>
      <c r="F204" s="4">
        <v>1</v>
      </c>
      <c r="G204" s="4" t="s">
        <v>25</v>
      </c>
      <c r="H204" s="17">
        <v>25.1</v>
      </c>
      <c r="I204" s="4">
        <v>0</v>
      </c>
      <c r="J204" s="4">
        <v>0</v>
      </c>
      <c r="K204" s="4">
        <v>0</v>
      </c>
      <c r="L204" s="4" t="s">
        <v>12</v>
      </c>
      <c r="M204" s="4">
        <v>3</v>
      </c>
      <c r="N204" s="4" t="s">
        <v>28</v>
      </c>
      <c r="O204" s="4">
        <v>400</v>
      </c>
      <c r="P204" s="4">
        <v>70</v>
      </c>
      <c r="Q204" s="4">
        <v>15</v>
      </c>
    </row>
    <row r="205" spans="1:17" x14ac:dyDescent="0.2">
      <c r="A205" t="s">
        <v>17</v>
      </c>
      <c r="B205" t="s">
        <v>62</v>
      </c>
      <c r="C205">
        <v>57</v>
      </c>
      <c r="D205">
        <v>0</v>
      </c>
      <c r="E205">
        <v>1</v>
      </c>
      <c r="F205">
        <v>1</v>
      </c>
      <c r="G205" t="s">
        <v>25</v>
      </c>
      <c r="H205" s="16">
        <v>10.7</v>
      </c>
      <c r="I205">
        <v>0</v>
      </c>
      <c r="J205">
        <v>0</v>
      </c>
      <c r="K205">
        <v>0</v>
      </c>
      <c r="L205" t="s">
        <v>27</v>
      </c>
      <c r="M205">
        <v>3</v>
      </c>
      <c r="N205" t="s">
        <v>28</v>
      </c>
      <c r="O205">
        <v>400</v>
      </c>
      <c r="P205">
        <v>70</v>
      </c>
      <c r="Q205">
        <v>15</v>
      </c>
    </row>
    <row r="206" spans="1:17" x14ac:dyDescent="0.2">
      <c r="A206" t="s">
        <v>17</v>
      </c>
      <c r="B206" t="s">
        <v>62</v>
      </c>
      <c r="C206">
        <v>57</v>
      </c>
      <c r="D206">
        <v>14</v>
      </c>
      <c r="E206">
        <v>1</v>
      </c>
      <c r="F206">
        <v>1</v>
      </c>
      <c r="G206" t="s">
        <v>25</v>
      </c>
      <c r="H206" s="16">
        <v>32.299999999999997</v>
      </c>
      <c r="I206">
        <v>0</v>
      </c>
      <c r="J206">
        <v>0</v>
      </c>
      <c r="K206">
        <v>0</v>
      </c>
      <c r="L206" t="s">
        <v>12</v>
      </c>
      <c r="M206">
        <v>3</v>
      </c>
      <c r="N206" t="s">
        <v>28</v>
      </c>
      <c r="O206">
        <v>400</v>
      </c>
      <c r="P206">
        <v>70</v>
      </c>
      <c r="Q206">
        <v>15</v>
      </c>
    </row>
    <row r="207" spans="1:17" x14ac:dyDescent="0.2">
      <c r="A207" t="s">
        <v>17</v>
      </c>
      <c r="B207" t="s">
        <v>62</v>
      </c>
      <c r="C207">
        <v>57</v>
      </c>
      <c r="D207">
        <v>28</v>
      </c>
      <c r="E207">
        <v>1</v>
      </c>
      <c r="F207">
        <v>1</v>
      </c>
      <c r="G207" t="s">
        <v>25</v>
      </c>
      <c r="H207" s="16">
        <v>99.8</v>
      </c>
      <c r="I207">
        <v>0</v>
      </c>
      <c r="J207">
        <v>0</v>
      </c>
      <c r="K207">
        <v>0</v>
      </c>
      <c r="L207" t="s">
        <v>27</v>
      </c>
      <c r="M207">
        <v>3</v>
      </c>
      <c r="N207" t="s">
        <v>28</v>
      </c>
      <c r="O207">
        <v>400</v>
      </c>
      <c r="P207">
        <v>70</v>
      </c>
      <c r="Q207">
        <v>15</v>
      </c>
    </row>
    <row r="208" spans="1:17" s="4" customFormat="1" x14ac:dyDescent="0.2">
      <c r="A208" s="4" t="s">
        <v>17</v>
      </c>
      <c r="B208" s="4" t="s">
        <v>62</v>
      </c>
      <c r="C208" s="4">
        <v>57</v>
      </c>
      <c r="D208" s="4">
        <v>42</v>
      </c>
      <c r="E208" s="4">
        <v>1</v>
      </c>
      <c r="F208" s="4">
        <v>1</v>
      </c>
      <c r="G208" s="4" t="s">
        <v>25</v>
      </c>
      <c r="H208" s="17">
        <v>149.69999999999999</v>
      </c>
      <c r="I208" s="4">
        <v>0</v>
      </c>
      <c r="J208" s="4">
        <v>0</v>
      </c>
      <c r="K208" s="4">
        <v>0</v>
      </c>
      <c r="L208" s="4" t="s">
        <v>12</v>
      </c>
      <c r="M208" s="4">
        <v>3</v>
      </c>
      <c r="N208" s="4" t="s">
        <v>28</v>
      </c>
      <c r="O208" s="4">
        <v>400</v>
      </c>
      <c r="P208" s="4">
        <v>70</v>
      </c>
      <c r="Q208" s="4">
        <v>15</v>
      </c>
    </row>
    <row r="209" spans="1:17" x14ac:dyDescent="0.2">
      <c r="A209" t="s">
        <v>17</v>
      </c>
      <c r="B209" t="s">
        <v>62</v>
      </c>
      <c r="C209">
        <v>58</v>
      </c>
      <c r="D209">
        <v>0</v>
      </c>
      <c r="E209">
        <v>1</v>
      </c>
      <c r="F209">
        <v>1</v>
      </c>
      <c r="G209" t="s">
        <v>25</v>
      </c>
      <c r="H209" s="16">
        <v>13.8</v>
      </c>
      <c r="I209">
        <v>0</v>
      </c>
      <c r="J209">
        <v>0</v>
      </c>
      <c r="K209">
        <v>0</v>
      </c>
      <c r="L209" t="s">
        <v>27</v>
      </c>
      <c r="M209">
        <v>3</v>
      </c>
      <c r="N209" t="s">
        <v>28</v>
      </c>
      <c r="O209">
        <v>400</v>
      </c>
      <c r="P209">
        <v>70</v>
      </c>
      <c r="Q209">
        <v>15</v>
      </c>
    </row>
    <row r="210" spans="1:17" x14ac:dyDescent="0.2">
      <c r="A210" t="s">
        <v>17</v>
      </c>
      <c r="B210" t="s">
        <v>62</v>
      </c>
      <c r="C210">
        <v>58</v>
      </c>
      <c r="D210">
        <v>14</v>
      </c>
      <c r="E210">
        <v>1</v>
      </c>
      <c r="F210">
        <v>1</v>
      </c>
      <c r="G210" t="s">
        <v>25</v>
      </c>
      <c r="H210" s="16">
        <v>35.1</v>
      </c>
      <c r="I210">
        <v>0</v>
      </c>
      <c r="J210">
        <v>0</v>
      </c>
      <c r="K210">
        <v>0</v>
      </c>
      <c r="L210" t="s">
        <v>12</v>
      </c>
      <c r="M210">
        <v>3</v>
      </c>
      <c r="N210" t="s">
        <v>28</v>
      </c>
      <c r="O210">
        <v>400</v>
      </c>
      <c r="P210">
        <v>70</v>
      </c>
      <c r="Q210">
        <v>15</v>
      </c>
    </row>
    <row r="211" spans="1:17" x14ac:dyDescent="0.2">
      <c r="A211" t="s">
        <v>17</v>
      </c>
      <c r="B211" t="s">
        <v>62</v>
      </c>
      <c r="C211">
        <v>58</v>
      </c>
      <c r="D211">
        <v>28</v>
      </c>
      <c r="E211">
        <v>1</v>
      </c>
      <c r="F211">
        <v>1</v>
      </c>
      <c r="G211" t="s">
        <v>25</v>
      </c>
      <c r="H211" s="16">
        <v>104.9</v>
      </c>
      <c r="I211">
        <v>0</v>
      </c>
      <c r="J211">
        <v>0</v>
      </c>
      <c r="K211">
        <v>0</v>
      </c>
      <c r="L211" t="s">
        <v>27</v>
      </c>
      <c r="M211">
        <v>3</v>
      </c>
      <c r="N211" t="s">
        <v>28</v>
      </c>
      <c r="O211">
        <v>400</v>
      </c>
      <c r="P211">
        <v>70</v>
      </c>
      <c r="Q211">
        <v>15</v>
      </c>
    </row>
    <row r="212" spans="1:17" s="4" customFormat="1" x14ac:dyDescent="0.2">
      <c r="A212" s="4" t="s">
        <v>17</v>
      </c>
      <c r="B212" s="4" t="s">
        <v>62</v>
      </c>
      <c r="C212" s="4">
        <v>58</v>
      </c>
      <c r="D212" s="4">
        <v>42</v>
      </c>
      <c r="E212" s="4">
        <v>1</v>
      </c>
      <c r="F212" s="4">
        <v>1</v>
      </c>
      <c r="G212" s="4" t="s">
        <v>25</v>
      </c>
      <c r="H212" s="17">
        <v>166.8</v>
      </c>
      <c r="I212" s="4">
        <v>0</v>
      </c>
      <c r="J212" s="4">
        <v>0</v>
      </c>
      <c r="K212" s="4">
        <v>0</v>
      </c>
      <c r="L212" s="4" t="s">
        <v>12</v>
      </c>
      <c r="M212" s="4">
        <v>3</v>
      </c>
      <c r="N212" s="4" t="s">
        <v>28</v>
      </c>
      <c r="O212" s="4">
        <v>400</v>
      </c>
      <c r="P212" s="4">
        <v>70</v>
      </c>
      <c r="Q212" s="4">
        <v>15</v>
      </c>
    </row>
    <row r="213" spans="1:17" x14ac:dyDescent="0.2">
      <c r="A213" t="s">
        <v>17</v>
      </c>
      <c r="B213" t="s">
        <v>62</v>
      </c>
      <c r="C213">
        <v>59</v>
      </c>
      <c r="D213">
        <v>0</v>
      </c>
      <c r="E213">
        <v>1</v>
      </c>
      <c r="F213">
        <v>1</v>
      </c>
      <c r="G213" t="s">
        <v>25</v>
      </c>
      <c r="H213" s="16">
        <v>14.1</v>
      </c>
      <c r="I213">
        <v>0</v>
      </c>
      <c r="J213">
        <v>0</v>
      </c>
      <c r="K213">
        <v>0</v>
      </c>
      <c r="L213" t="s">
        <v>27</v>
      </c>
      <c r="M213">
        <v>3</v>
      </c>
      <c r="N213" t="s">
        <v>28</v>
      </c>
      <c r="O213">
        <v>400</v>
      </c>
      <c r="P213">
        <v>70</v>
      </c>
      <c r="Q213">
        <v>15</v>
      </c>
    </row>
    <row r="214" spans="1:17" x14ac:dyDescent="0.2">
      <c r="A214" t="s">
        <v>17</v>
      </c>
      <c r="B214" t="s">
        <v>62</v>
      </c>
      <c r="C214">
        <v>59</v>
      </c>
      <c r="D214">
        <v>14</v>
      </c>
      <c r="E214">
        <v>1</v>
      </c>
      <c r="F214">
        <v>1</v>
      </c>
      <c r="G214" t="s">
        <v>25</v>
      </c>
      <c r="H214" s="16">
        <v>32.1</v>
      </c>
      <c r="I214">
        <v>0</v>
      </c>
      <c r="J214">
        <v>0</v>
      </c>
      <c r="K214">
        <v>0</v>
      </c>
      <c r="L214" t="s">
        <v>12</v>
      </c>
      <c r="M214">
        <v>3</v>
      </c>
      <c r="N214" t="s">
        <v>28</v>
      </c>
      <c r="O214">
        <v>400</v>
      </c>
      <c r="P214">
        <v>70</v>
      </c>
      <c r="Q214">
        <v>15</v>
      </c>
    </row>
    <row r="215" spans="1:17" x14ac:dyDescent="0.2">
      <c r="A215" t="s">
        <v>17</v>
      </c>
      <c r="B215" t="s">
        <v>62</v>
      </c>
      <c r="C215">
        <v>59</v>
      </c>
      <c r="D215">
        <v>28</v>
      </c>
      <c r="E215">
        <v>1</v>
      </c>
      <c r="F215">
        <v>1</v>
      </c>
      <c r="G215" t="s">
        <v>25</v>
      </c>
      <c r="H215" s="16">
        <v>99.4</v>
      </c>
      <c r="I215">
        <v>0</v>
      </c>
      <c r="J215">
        <v>0</v>
      </c>
      <c r="K215">
        <v>0</v>
      </c>
      <c r="L215" t="s">
        <v>27</v>
      </c>
      <c r="M215">
        <v>3</v>
      </c>
      <c r="N215" t="s">
        <v>28</v>
      </c>
      <c r="O215">
        <v>400</v>
      </c>
      <c r="P215">
        <v>70</v>
      </c>
      <c r="Q215">
        <v>15</v>
      </c>
    </row>
    <row r="216" spans="1:17" s="4" customFormat="1" x14ac:dyDescent="0.2">
      <c r="A216" s="4" t="s">
        <v>17</v>
      </c>
      <c r="B216" s="4" t="s">
        <v>62</v>
      </c>
      <c r="C216" s="4">
        <v>59</v>
      </c>
      <c r="D216" s="4">
        <v>42</v>
      </c>
      <c r="E216" s="4">
        <v>1</v>
      </c>
      <c r="F216" s="4">
        <v>1</v>
      </c>
      <c r="G216" s="4" t="s">
        <v>25</v>
      </c>
      <c r="H216" s="17">
        <v>176.4</v>
      </c>
      <c r="I216" s="4">
        <v>0</v>
      </c>
      <c r="J216" s="4">
        <v>0</v>
      </c>
      <c r="K216" s="4">
        <v>0</v>
      </c>
      <c r="L216" s="4" t="s">
        <v>12</v>
      </c>
      <c r="M216" s="4">
        <v>3</v>
      </c>
      <c r="N216" s="4" t="s">
        <v>28</v>
      </c>
      <c r="O216" s="4">
        <v>400</v>
      </c>
      <c r="P216" s="4">
        <v>70</v>
      </c>
      <c r="Q216" s="4">
        <v>15</v>
      </c>
    </row>
    <row r="217" spans="1:17" x14ac:dyDescent="0.2">
      <c r="A217" t="s">
        <v>17</v>
      </c>
      <c r="B217" t="s">
        <v>62</v>
      </c>
      <c r="C217">
        <v>60</v>
      </c>
      <c r="D217">
        <v>0</v>
      </c>
      <c r="E217">
        <v>1</v>
      </c>
      <c r="F217">
        <v>1</v>
      </c>
      <c r="G217" t="s">
        <v>25</v>
      </c>
      <c r="H217" s="16">
        <v>8.6999999999999993</v>
      </c>
      <c r="I217">
        <v>0</v>
      </c>
      <c r="J217">
        <v>0</v>
      </c>
      <c r="K217">
        <v>0</v>
      </c>
      <c r="L217" t="s">
        <v>27</v>
      </c>
      <c r="M217">
        <v>3</v>
      </c>
      <c r="N217" t="s">
        <v>28</v>
      </c>
      <c r="O217">
        <v>400</v>
      </c>
      <c r="P217">
        <v>70</v>
      </c>
      <c r="Q217">
        <v>15</v>
      </c>
    </row>
    <row r="218" spans="1:17" x14ac:dyDescent="0.2">
      <c r="A218" t="s">
        <v>17</v>
      </c>
      <c r="B218" t="s">
        <v>62</v>
      </c>
      <c r="C218">
        <v>60</v>
      </c>
      <c r="D218">
        <v>14</v>
      </c>
      <c r="E218">
        <v>1</v>
      </c>
      <c r="F218">
        <v>1</v>
      </c>
      <c r="G218" t="s">
        <v>25</v>
      </c>
      <c r="H218" s="16">
        <v>23.1</v>
      </c>
      <c r="I218">
        <v>0</v>
      </c>
      <c r="J218">
        <v>0</v>
      </c>
      <c r="K218">
        <v>0</v>
      </c>
      <c r="L218" t="s">
        <v>12</v>
      </c>
      <c r="M218">
        <v>3</v>
      </c>
      <c r="N218" t="s">
        <v>28</v>
      </c>
      <c r="O218">
        <v>400</v>
      </c>
      <c r="P218">
        <v>70</v>
      </c>
      <c r="Q218">
        <v>15</v>
      </c>
    </row>
    <row r="219" spans="1:17" x14ac:dyDescent="0.2">
      <c r="A219" t="s">
        <v>17</v>
      </c>
      <c r="B219" t="s">
        <v>62</v>
      </c>
      <c r="C219">
        <v>60</v>
      </c>
      <c r="D219">
        <v>28</v>
      </c>
      <c r="E219">
        <v>1</v>
      </c>
      <c r="F219">
        <v>1</v>
      </c>
      <c r="G219" t="s">
        <v>25</v>
      </c>
      <c r="H219" s="16">
        <v>71.900000000000006</v>
      </c>
      <c r="I219">
        <v>0</v>
      </c>
      <c r="J219">
        <v>0</v>
      </c>
      <c r="K219">
        <v>0</v>
      </c>
      <c r="L219" t="s">
        <v>27</v>
      </c>
      <c r="M219">
        <v>3</v>
      </c>
      <c r="N219" t="s">
        <v>28</v>
      </c>
      <c r="O219">
        <v>400</v>
      </c>
      <c r="P219">
        <v>70</v>
      </c>
      <c r="Q219">
        <v>15</v>
      </c>
    </row>
    <row r="220" spans="1:17" s="4" customFormat="1" x14ac:dyDescent="0.2">
      <c r="A220" s="4" t="s">
        <v>17</v>
      </c>
      <c r="B220" s="4" t="s">
        <v>62</v>
      </c>
      <c r="C220" s="4">
        <v>60</v>
      </c>
      <c r="D220" s="4">
        <v>42</v>
      </c>
      <c r="E220" s="4">
        <v>1</v>
      </c>
      <c r="F220" s="4">
        <v>1</v>
      </c>
      <c r="G220" s="4" t="s">
        <v>25</v>
      </c>
      <c r="H220" s="17">
        <v>107.5</v>
      </c>
      <c r="I220" s="4">
        <v>0</v>
      </c>
      <c r="J220" s="4">
        <v>0</v>
      </c>
      <c r="K220" s="4">
        <v>0</v>
      </c>
      <c r="L220" s="4" t="s">
        <v>12</v>
      </c>
      <c r="M220" s="4">
        <v>3</v>
      </c>
      <c r="N220" s="4" t="s">
        <v>28</v>
      </c>
      <c r="O220" s="4">
        <v>400</v>
      </c>
      <c r="P220" s="4">
        <v>70</v>
      </c>
      <c r="Q220" s="4">
        <v>15</v>
      </c>
    </row>
    <row r="221" spans="1:17" x14ac:dyDescent="0.2">
      <c r="A221" t="s">
        <v>17</v>
      </c>
      <c r="B221" t="s">
        <v>62</v>
      </c>
      <c r="C221">
        <v>61</v>
      </c>
      <c r="D221">
        <v>0</v>
      </c>
      <c r="E221">
        <v>1</v>
      </c>
      <c r="F221">
        <v>1</v>
      </c>
      <c r="G221" t="s">
        <v>25</v>
      </c>
      <c r="H221" s="16">
        <v>9.1999999999999993</v>
      </c>
      <c r="I221">
        <v>0</v>
      </c>
      <c r="J221">
        <v>0</v>
      </c>
      <c r="K221">
        <v>0</v>
      </c>
      <c r="L221" t="s">
        <v>27</v>
      </c>
      <c r="M221">
        <v>3</v>
      </c>
      <c r="N221" t="s">
        <v>28</v>
      </c>
      <c r="O221">
        <v>400</v>
      </c>
      <c r="P221">
        <v>70</v>
      </c>
      <c r="Q221">
        <v>15</v>
      </c>
    </row>
    <row r="222" spans="1:17" x14ac:dyDescent="0.2">
      <c r="A222" t="s">
        <v>17</v>
      </c>
      <c r="B222" t="s">
        <v>62</v>
      </c>
      <c r="C222">
        <v>61</v>
      </c>
      <c r="D222">
        <v>14</v>
      </c>
      <c r="E222">
        <v>1</v>
      </c>
      <c r="F222">
        <v>1</v>
      </c>
      <c r="G222" t="s">
        <v>25</v>
      </c>
      <c r="H222" s="16">
        <v>23.5</v>
      </c>
      <c r="I222">
        <v>0</v>
      </c>
      <c r="J222">
        <v>0</v>
      </c>
      <c r="K222">
        <v>0</v>
      </c>
      <c r="L222" t="s">
        <v>12</v>
      </c>
      <c r="M222">
        <v>3</v>
      </c>
      <c r="N222" t="s">
        <v>28</v>
      </c>
      <c r="O222">
        <v>400</v>
      </c>
      <c r="P222">
        <v>70</v>
      </c>
      <c r="Q222">
        <v>15</v>
      </c>
    </row>
    <row r="223" spans="1:17" x14ac:dyDescent="0.2">
      <c r="A223" t="s">
        <v>17</v>
      </c>
      <c r="B223" t="s">
        <v>62</v>
      </c>
      <c r="C223">
        <v>61</v>
      </c>
      <c r="D223">
        <v>28</v>
      </c>
      <c r="E223">
        <v>1</v>
      </c>
      <c r="F223">
        <v>1</v>
      </c>
      <c r="G223" t="s">
        <v>25</v>
      </c>
      <c r="H223" s="16">
        <v>67</v>
      </c>
      <c r="I223">
        <v>0</v>
      </c>
      <c r="J223">
        <v>0</v>
      </c>
      <c r="K223">
        <v>0</v>
      </c>
      <c r="L223" t="s">
        <v>27</v>
      </c>
      <c r="M223">
        <v>3</v>
      </c>
      <c r="N223" t="s">
        <v>28</v>
      </c>
      <c r="O223">
        <v>400</v>
      </c>
      <c r="P223">
        <v>70</v>
      </c>
      <c r="Q223">
        <v>15</v>
      </c>
    </row>
    <row r="224" spans="1:17" s="4" customFormat="1" x14ac:dyDescent="0.2">
      <c r="A224" s="4" t="s">
        <v>17</v>
      </c>
      <c r="B224" s="4" t="s">
        <v>62</v>
      </c>
      <c r="C224" s="4">
        <v>61</v>
      </c>
      <c r="D224" s="4">
        <v>42</v>
      </c>
      <c r="E224" s="4">
        <v>1</v>
      </c>
      <c r="F224" s="4">
        <v>1</v>
      </c>
      <c r="G224" s="4" t="s">
        <v>25</v>
      </c>
      <c r="H224" s="17">
        <v>126.2</v>
      </c>
      <c r="I224" s="4">
        <v>0</v>
      </c>
      <c r="J224" s="4">
        <v>0</v>
      </c>
      <c r="K224" s="4">
        <v>0</v>
      </c>
      <c r="L224" s="4" t="s">
        <v>12</v>
      </c>
      <c r="M224" s="4">
        <v>3</v>
      </c>
      <c r="N224" s="4" t="s">
        <v>28</v>
      </c>
      <c r="O224" s="4">
        <v>400</v>
      </c>
      <c r="P224" s="4">
        <v>70</v>
      </c>
      <c r="Q224" s="4">
        <v>15</v>
      </c>
    </row>
    <row r="225" spans="1:17" x14ac:dyDescent="0.2">
      <c r="A225" t="s">
        <v>17</v>
      </c>
      <c r="B225" t="s">
        <v>62</v>
      </c>
      <c r="C225">
        <v>62</v>
      </c>
      <c r="D225">
        <v>0</v>
      </c>
      <c r="E225">
        <v>1</v>
      </c>
      <c r="F225">
        <v>1</v>
      </c>
      <c r="G225" t="s">
        <v>25</v>
      </c>
      <c r="H225" s="16">
        <v>12.2</v>
      </c>
      <c r="I225">
        <v>0</v>
      </c>
      <c r="J225">
        <v>0</v>
      </c>
      <c r="K225">
        <v>0</v>
      </c>
      <c r="L225" t="s">
        <v>27</v>
      </c>
      <c r="M225">
        <v>3</v>
      </c>
      <c r="N225" t="s">
        <v>28</v>
      </c>
      <c r="O225">
        <v>400</v>
      </c>
      <c r="P225">
        <v>70</v>
      </c>
      <c r="Q225">
        <v>15</v>
      </c>
    </row>
    <row r="226" spans="1:17" x14ac:dyDescent="0.2">
      <c r="A226" t="s">
        <v>17</v>
      </c>
      <c r="B226" t="s">
        <v>62</v>
      </c>
      <c r="C226">
        <v>62</v>
      </c>
      <c r="D226">
        <v>14</v>
      </c>
      <c r="E226">
        <v>1</v>
      </c>
      <c r="F226">
        <v>1</v>
      </c>
      <c r="G226" t="s">
        <v>25</v>
      </c>
      <c r="H226" s="16">
        <v>25.8</v>
      </c>
      <c r="I226">
        <v>0</v>
      </c>
      <c r="J226">
        <v>0</v>
      </c>
      <c r="K226">
        <v>0</v>
      </c>
      <c r="L226" t="s">
        <v>12</v>
      </c>
      <c r="M226">
        <v>3</v>
      </c>
      <c r="N226" t="s">
        <v>28</v>
      </c>
      <c r="O226">
        <v>400</v>
      </c>
      <c r="P226">
        <v>70</v>
      </c>
      <c r="Q226">
        <v>15</v>
      </c>
    </row>
    <row r="227" spans="1:17" x14ac:dyDescent="0.2">
      <c r="A227" t="s">
        <v>17</v>
      </c>
      <c r="B227" t="s">
        <v>62</v>
      </c>
      <c r="C227">
        <v>62</v>
      </c>
      <c r="D227">
        <v>28</v>
      </c>
      <c r="E227">
        <v>1</v>
      </c>
      <c r="F227">
        <v>1</v>
      </c>
      <c r="G227" t="s">
        <v>25</v>
      </c>
      <c r="H227" s="16">
        <v>61.2</v>
      </c>
      <c r="I227">
        <v>0</v>
      </c>
      <c r="J227">
        <v>0</v>
      </c>
      <c r="K227">
        <v>0</v>
      </c>
      <c r="L227" t="s">
        <v>27</v>
      </c>
      <c r="M227">
        <v>3</v>
      </c>
      <c r="N227" t="s">
        <v>28</v>
      </c>
      <c r="O227">
        <v>400</v>
      </c>
      <c r="P227">
        <v>70</v>
      </c>
      <c r="Q227">
        <v>15</v>
      </c>
    </row>
    <row r="228" spans="1:17" s="4" customFormat="1" x14ac:dyDescent="0.2">
      <c r="A228" s="4" t="s">
        <v>17</v>
      </c>
      <c r="B228" s="4" t="s">
        <v>62</v>
      </c>
      <c r="C228" s="4">
        <v>62</v>
      </c>
      <c r="D228" s="4">
        <v>42</v>
      </c>
      <c r="E228" s="4">
        <v>1</v>
      </c>
      <c r="F228" s="4">
        <v>1</v>
      </c>
      <c r="G228" s="4" t="s">
        <v>25</v>
      </c>
      <c r="H228" s="17">
        <v>106.3</v>
      </c>
      <c r="I228" s="4">
        <v>0</v>
      </c>
      <c r="J228" s="4">
        <v>0</v>
      </c>
      <c r="K228" s="4">
        <v>0</v>
      </c>
      <c r="L228" s="4" t="s">
        <v>12</v>
      </c>
      <c r="M228" s="4">
        <v>3</v>
      </c>
      <c r="N228" s="4" t="s">
        <v>28</v>
      </c>
      <c r="O228" s="4">
        <v>400</v>
      </c>
      <c r="P228" s="4">
        <v>70</v>
      </c>
      <c r="Q228" s="4">
        <v>15</v>
      </c>
    </row>
    <row r="229" spans="1:17" x14ac:dyDescent="0.2">
      <c r="A229" t="s">
        <v>17</v>
      </c>
      <c r="B229" t="s">
        <v>62</v>
      </c>
      <c r="C229">
        <v>63</v>
      </c>
      <c r="D229">
        <v>0</v>
      </c>
      <c r="E229">
        <v>1</v>
      </c>
      <c r="F229">
        <v>1</v>
      </c>
      <c r="G229" t="s">
        <v>25</v>
      </c>
      <c r="H229" s="16">
        <v>10.5</v>
      </c>
      <c r="I229">
        <v>0</v>
      </c>
      <c r="J229">
        <v>0</v>
      </c>
      <c r="K229">
        <v>0</v>
      </c>
      <c r="L229" t="s">
        <v>27</v>
      </c>
      <c r="M229">
        <v>3</v>
      </c>
      <c r="N229" t="s">
        <v>28</v>
      </c>
      <c r="O229">
        <v>400</v>
      </c>
      <c r="P229">
        <v>70</v>
      </c>
      <c r="Q229">
        <v>15</v>
      </c>
    </row>
    <row r="230" spans="1:17" x14ac:dyDescent="0.2">
      <c r="A230" t="s">
        <v>17</v>
      </c>
      <c r="B230" t="s">
        <v>62</v>
      </c>
      <c r="C230">
        <v>63</v>
      </c>
      <c r="D230">
        <v>14</v>
      </c>
      <c r="E230">
        <v>1</v>
      </c>
      <c r="F230">
        <v>1</v>
      </c>
      <c r="G230" t="s">
        <v>25</v>
      </c>
      <c r="H230" s="16">
        <v>29.1</v>
      </c>
      <c r="I230">
        <v>0</v>
      </c>
      <c r="J230">
        <v>0</v>
      </c>
      <c r="K230">
        <v>0</v>
      </c>
      <c r="L230" t="s">
        <v>12</v>
      </c>
      <c r="M230">
        <v>3</v>
      </c>
      <c r="N230" t="s">
        <v>28</v>
      </c>
      <c r="O230">
        <v>400</v>
      </c>
      <c r="P230">
        <v>70</v>
      </c>
      <c r="Q230">
        <v>15</v>
      </c>
    </row>
    <row r="231" spans="1:17" x14ac:dyDescent="0.2">
      <c r="A231" t="s">
        <v>17</v>
      </c>
      <c r="B231" t="s">
        <v>62</v>
      </c>
      <c r="C231">
        <v>63</v>
      </c>
      <c r="D231">
        <v>28</v>
      </c>
      <c r="E231">
        <v>1</v>
      </c>
      <c r="F231">
        <v>1</v>
      </c>
      <c r="G231" t="s">
        <v>25</v>
      </c>
      <c r="H231" s="16">
        <v>75.8</v>
      </c>
      <c r="I231">
        <v>0</v>
      </c>
      <c r="J231">
        <v>0</v>
      </c>
      <c r="K231">
        <v>0</v>
      </c>
      <c r="L231" t="s">
        <v>27</v>
      </c>
      <c r="M231">
        <v>3</v>
      </c>
      <c r="N231" t="s">
        <v>28</v>
      </c>
      <c r="O231">
        <v>400</v>
      </c>
      <c r="P231">
        <v>70</v>
      </c>
      <c r="Q231">
        <v>15</v>
      </c>
    </row>
    <row r="232" spans="1:17" s="4" customFormat="1" x14ac:dyDescent="0.2">
      <c r="A232" s="4" t="s">
        <v>17</v>
      </c>
      <c r="B232" s="4" t="s">
        <v>62</v>
      </c>
      <c r="C232" s="4">
        <v>63</v>
      </c>
      <c r="D232" s="4">
        <v>42</v>
      </c>
      <c r="E232" s="4">
        <v>1</v>
      </c>
      <c r="F232" s="4">
        <v>1</v>
      </c>
      <c r="G232" s="4" t="s">
        <v>25</v>
      </c>
      <c r="H232" s="17">
        <v>111.1</v>
      </c>
      <c r="I232" s="4">
        <v>0</v>
      </c>
      <c r="J232" s="4">
        <v>0</v>
      </c>
      <c r="K232" s="4">
        <v>0</v>
      </c>
      <c r="L232" s="4" t="s">
        <v>12</v>
      </c>
      <c r="M232" s="4">
        <v>3</v>
      </c>
      <c r="N232" s="4" t="s">
        <v>28</v>
      </c>
      <c r="O232" s="4">
        <v>400</v>
      </c>
      <c r="P232" s="4">
        <v>70</v>
      </c>
      <c r="Q232" s="4">
        <v>15</v>
      </c>
    </row>
    <row r="233" spans="1:17" x14ac:dyDescent="0.2">
      <c r="A233" t="s">
        <v>17</v>
      </c>
      <c r="B233" t="s">
        <v>62</v>
      </c>
      <c r="C233">
        <v>64</v>
      </c>
      <c r="D233">
        <v>0</v>
      </c>
      <c r="E233">
        <v>1</v>
      </c>
      <c r="F233">
        <v>1</v>
      </c>
      <c r="G233" t="s">
        <v>25</v>
      </c>
      <c r="H233" s="16">
        <v>11.1</v>
      </c>
      <c r="I233">
        <v>0</v>
      </c>
      <c r="J233">
        <v>0</v>
      </c>
      <c r="K233">
        <v>0</v>
      </c>
      <c r="L233" t="s">
        <v>27</v>
      </c>
      <c r="M233">
        <v>3</v>
      </c>
      <c r="N233" t="s">
        <v>28</v>
      </c>
      <c r="O233">
        <v>400</v>
      </c>
      <c r="P233">
        <v>70</v>
      </c>
      <c r="Q233">
        <v>15</v>
      </c>
    </row>
    <row r="234" spans="1:17" s="4" customFormat="1" x14ac:dyDescent="0.2">
      <c r="A234" s="4" t="s">
        <v>17</v>
      </c>
      <c r="B234" s="4" t="s">
        <v>62</v>
      </c>
      <c r="C234" s="4">
        <v>64</v>
      </c>
      <c r="D234" s="4">
        <v>14</v>
      </c>
      <c r="E234" s="4">
        <v>1</v>
      </c>
      <c r="F234" s="4">
        <v>1</v>
      </c>
      <c r="G234" s="4" t="s">
        <v>25</v>
      </c>
      <c r="H234" s="17">
        <v>32.9</v>
      </c>
      <c r="I234" s="4">
        <v>0</v>
      </c>
      <c r="J234" s="4">
        <v>0</v>
      </c>
      <c r="K234" s="4">
        <v>0</v>
      </c>
      <c r="L234" s="4" t="s">
        <v>12</v>
      </c>
      <c r="M234" s="4">
        <v>3</v>
      </c>
      <c r="N234" s="4" t="s">
        <v>28</v>
      </c>
      <c r="O234" s="4">
        <v>400</v>
      </c>
      <c r="P234" s="4">
        <v>70</v>
      </c>
      <c r="Q234" s="4">
        <v>15</v>
      </c>
    </row>
    <row r="235" spans="1:17" x14ac:dyDescent="0.2">
      <c r="A235" t="s">
        <v>17</v>
      </c>
      <c r="B235" t="s">
        <v>62</v>
      </c>
      <c r="C235">
        <v>65</v>
      </c>
      <c r="D235">
        <v>0</v>
      </c>
      <c r="E235">
        <v>1</v>
      </c>
      <c r="F235">
        <v>1</v>
      </c>
      <c r="G235" t="s">
        <v>25</v>
      </c>
      <c r="H235" s="16">
        <v>15.1</v>
      </c>
      <c r="I235">
        <v>0</v>
      </c>
      <c r="J235">
        <v>0</v>
      </c>
      <c r="K235">
        <v>0</v>
      </c>
      <c r="L235" t="s">
        <v>27</v>
      </c>
      <c r="M235">
        <v>3</v>
      </c>
      <c r="N235" t="s">
        <v>28</v>
      </c>
      <c r="O235">
        <v>400</v>
      </c>
      <c r="P235">
        <v>70</v>
      </c>
      <c r="Q235">
        <v>15</v>
      </c>
    </row>
    <row r="236" spans="1:17" s="4" customFormat="1" x14ac:dyDescent="0.2">
      <c r="A236" s="4" t="s">
        <v>17</v>
      </c>
      <c r="B236" s="4" t="s">
        <v>62</v>
      </c>
      <c r="C236" s="4">
        <v>65</v>
      </c>
      <c r="D236" s="4">
        <v>14</v>
      </c>
      <c r="E236" s="4">
        <v>1</v>
      </c>
      <c r="F236" s="4">
        <v>1</v>
      </c>
      <c r="G236" s="4" t="s">
        <v>25</v>
      </c>
      <c r="H236" s="17">
        <v>42.3</v>
      </c>
      <c r="I236" s="4">
        <v>0</v>
      </c>
      <c r="J236" s="4">
        <v>0</v>
      </c>
      <c r="K236" s="4">
        <v>0</v>
      </c>
      <c r="L236" s="4" t="s">
        <v>12</v>
      </c>
      <c r="M236" s="4">
        <v>3</v>
      </c>
      <c r="N236" s="4" t="s">
        <v>28</v>
      </c>
      <c r="O236" s="4">
        <v>400</v>
      </c>
      <c r="P236" s="4">
        <v>70</v>
      </c>
      <c r="Q236" s="4">
        <v>15</v>
      </c>
    </row>
    <row r="237" spans="1:17" x14ac:dyDescent="0.2">
      <c r="A237" t="s">
        <v>17</v>
      </c>
      <c r="B237" t="s">
        <v>62</v>
      </c>
      <c r="C237">
        <v>66</v>
      </c>
      <c r="D237">
        <v>0</v>
      </c>
      <c r="E237">
        <v>1</v>
      </c>
      <c r="F237">
        <v>1</v>
      </c>
      <c r="G237" t="s">
        <v>25</v>
      </c>
      <c r="H237" s="16">
        <v>14.6</v>
      </c>
      <c r="I237">
        <v>0</v>
      </c>
      <c r="J237">
        <v>0</v>
      </c>
      <c r="K237">
        <v>0</v>
      </c>
      <c r="L237" t="s">
        <v>27</v>
      </c>
      <c r="M237">
        <v>3</v>
      </c>
      <c r="N237" t="s">
        <v>28</v>
      </c>
      <c r="O237">
        <v>400</v>
      </c>
      <c r="P237">
        <v>70</v>
      </c>
      <c r="Q237">
        <v>15</v>
      </c>
    </row>
    <row r="238" spans="1:17" s="4" customFormat="1" x14ac:dyDescent="0.2">
      <c r="A238" s="4" t="s">
        <v>17</v>
      </c>
      <c r="B238" s="4" t="s">
        <v>62</v>
      </c>
      <c r="C238" s="4">
        <v>66</v>
      </c>
      <c r="D238" s="4">
        <v>14</v>
      </c>
      <c r="E238" s="4">
        <v>1</v>
      </c>
      <c r="F238" s="4">
        <v>1</v>
      </c>
      <c r="G238" s="4" t="s">
        <v>25</v>
      </c>
      <c r="H238" s="17">
        <v>42.6</v>
      </c>
      <c r="I238" s="4">
        <v>0</v>
      </c>
      <c r="J238" s="4">
        <v>0</v>
      </c>
      <c r="K238" s="4">
        <v>0</v>
      </c>
      <c r="L238" s="4" t="s">
        <v>12</v>
      </c>
      <c r="M238" s="4">
        <v>3</v>
      </c>
      <c r="N238" s="4" t="s">
        <v>28</v>
      </c>
      <c r="O238" s="4">
        <v>400</v>
      </c>
      <c r="P238" s="4">
        <v>70</v>
      </c>
      <c r="Q238" s="4">
        <v>15</v>
      </c>
    </row>
    <row r="239" spans="1:17" x14ac:dyDescent="0.2">
      <c r="A239" t="s">
        <v>17</v>
      </c>
      <c r="B239" t="s">
        <v>62</v>
      </c>
      <c r="C239">
        <v>67</v>
      </c>
      <c r="D239">
        <v>0</v>
      </c>
      <c r="E239">
        <v>1</v>
      </c>
      <c r="F239">
        <v>1</v>
      </c>
      <c r="G239" t="s">
        <v>25</v>
      </c>
      <c r="H239" s="16">
        <v>12.5</v>
      </c>
      <c r="I239">
        <v>0</v>
      </c>
      <c r="J239">
        <v>0</v>
      </c>
      <c r="K239">
        <v>0</v>
      </c>
      <c r="L239" t="s">
        <v>27</v>
      </c>
      <c r="M239">
        <v>3</v>
      </c>
      <c r="N239" t="s">
        <v>28</v>
      </c>
      <c r="O239">
        <v>400</v>
      </c>
      <c r="P239">
        <v>70</v>
      </c>
      <c r="Q239">
        <v>15</v>
      </c>
    </row>
    <row r="240" spans="1:17" s="4" customFormat="1" x14ac:dyDescent="0.2">
      <c r="A240" s="4" t="s">
        <v>17</v>
      </c>
      <c r="B240" s="4" t="s">
        <v>62</v>
      </c>
      <c r="C240" s="4">
        <v>67</v>
      </c>
      <c r="D240" s="4">
        <v>14</v>
      </c>
      <c r="E240" s="4">
        <v>1</v>
      </c>
      <c r="F240" s="4">
        <v>1</v>
      </c>
      <c r="G240" s="4" t="s">
        <v>25</v>
      </c>
      <c r="H240" s="17">
        <v>40.700000000000003</v>
      </c>
      <c r="I240" s="4">
        <v>0</v>
      </c>
      <c r="J240" s="4">
        <v>0</v>
      </c>
      <c r="K240" s="4">
        <v>0</v>
      </c>
      <c r="L240" s="4" t="s">
        <v>12</v>
      </c>
      <c r="M240" s="4">
        <v>3</v>
      </c>
      <c r="N240" s="4" t="s">
        <v>28</v>
      </c>
      <c r="O240" s="4">
        <v>400</v>
      </c>
      <c r="P240" s="4">
        <v>70</v>
      </c>
      <c r="Q240" s="4">
        <v>15</v>
      </c>
    </row>
    <row r="241" spans="1:17" x14ac:dyDescent="0.2">
      <c r="A241" t="s">
        <v>17</v>
      </c>
      <c r="B241" t="s">
        <v>62</v>
      </c>
      <c r="C241">
        <v>68</v>
      </c>
      <c r="D241">
        <v>0</v>
      </c>
      <c r="E241">
        <v>1</v>
      </c>
      <c r="F241">
        <v>1</v>
      </c>
      <c r="G241" t="s">
        <v>25</v>
      </c>
      <c r="H241" s="16">
        <v>8.6999999999999993</v>
      </c>
      <c r="I241">
        <v>0</v>
      </c>
      <c r="J241">
        <v>0</v>
      </c>
      <c r="K241">
        <v>0</v>
      </c>
      <c r="L241" t="s">
        <v>27</v>
      </c>
      <c r="M241">
        <v>3</v>
      </c>
      <c r="N241" t="s">
        <v>28</v>
      </c>
      <c r="O241">
        <v>400</v>
      </c>
      <c r="P241">
        <v>70</v>
      </c>
      <c r="Q241">
        <v>15</v>
      </c>
    </row>
    <row r="242" spans="1:17" s="4" customFormat="1" x14ac:dyDescent="0.2">
      <c r="A242" s="4" t="s">
        <v>17</v>
      </c>
      <c r="B242" s="4" t="s">
        <v>62</v>
      </c>
      <c r="C242" s="4">
        <v>68</v>
      </c>
      <c r="D242" s="4">
        <v>14</v>
      </c>
      <c r="E242" s="4">
        <v>1</v>
      </c>
      <c r="F242" s="4">
        <v>1</v>
      </c>
      <c r="G242" s="4" t="s">
        <v>25</v>
      </c>
      <c r="H242" s="17">
        <v>11</v>
      </c>
      <c r="I242" s="4">
        <v>0</v>
      </c>
      <c r="J242" s="4">
        <v>0</v>
      </c>
      <c r="K242" s="4">
        <v>0</v>
      </c>
      <c r="L242" s="4" t="s">
        <v>12</v>
      </c>
      <c r="M242" s="4">
        <v>3</v>
      </c>
      <c r="N242" s="4" t="s">
        <v>28</v>
      </c>
      <c r="O242" s="4">
        <v>400</v>
      </c>
      <c r="P242" s="4">
        <v>70</v>
      </c>
      <c r="Q242" s="4">
        <v>15</v>
      </c>
    </row>
    <row r="243" spans="1:17" x14ac:dyDescent="0.2">
      <c r="A243" t="s">
        <v>17</v>
      </c>
      <c r="B243" t="s">
        <v>62</v>
      </c>
      <c r="C243">
        <v>69</v>
      </c>
      <c r="D243">
        <v>0</v>
      </c>
      <c r="E243">
        <v>1</v>
      </c>
      <c r="F243">
        <v>1</v>
      </c>
      <c r="G243" t="s">
        <v>25</v>
      </c>
      <c r="H243" s="16">
        <v>12.3</v>
      </c>
      <c r="I243">
        <v>0</v>
      </c>
      <c r="J243">
        <v>0</v>
      </c>
      <c r="K243">
        <v>0</v>
      </c>
      <c r="L243" t="s">
        <v>27</v>
      </c>
      <c r="M243">
        <v>3</v>
      </c>
      <c r="N243" t="s">
        <v>28</v>
      </c>
      <c r="O243">
        <v>400</v>
      </c>
      <c r="P243">
        <v>70</v>
      </c>
      <c r="Q243">
        <v>15</v>
      </c>
    </row>
    <row r="244" spans="1:17" s="4" customFormat="1" x14ac:dyDescent="0.2">
      <c r="A244" s="4" t="s">
        <v>17</v>
      </c>
      <c r="B244" s="4" t="s">
        <v>62</v>
      </c>
      <c r="C244" s="4">
        <v>69</v>
      </c>
      <c r="D244" s="4">
        <v>14</v>
      </c>
      <c r="E244" s="4">
        <v>1</v>
      </c>
      <c r="F244" s="4">
        <v>1</v>
      </c>
      <c r="G244" s="4" t="s">
        <v>25</v>
      </c>
      <c r="H244" s="17">
        <v>31.7</v>
      </c>
      <c r="I244" s="4">
        <v>0</v>
      </c>
      <c r="J244" s="4">
        <v>0</v>
      </c>
      <c r="K244" s="4">
        <v>0</v>
      </c>
      <c r="L244" s="4" t="s">
        <v>12</v>
      </c>
      <c r="M244" s="4">
        <v>3</v>
      </c>
      <c r="N244" s="4" t="s">
        <v>28</v>
      </c>
      <c r="O244" s="4">
        <v>400</v>
      </c>
      <c r="P244" s="4">
        <v>70</v>
      </c>
      <c r="Q244" s="4">
        <v>15</v>
      </c>
    </row>
    <row r="245" spans="1:17" x14ac:dyDescent="0.2">
      <c r="A245" t="s">
        <v>17</v>
      </c>
      <c r="B245" t="s">
        <v>62</v>
      </c>
      <c r="C245">
        <v>70</v>
      </c>
      <c r="D245">
        <v>0</v>
      </c>
      <c r="E245">
        <v>1</v>
      </c>
      <c r="F245">
        <v>1</v>
      </c>
      <c r="G245" t="s">
        <v>25</v>
      </c>
      <c r="H245" s="16">
        <v>12</v>
      </c>
      <c r="I245">
        <v>0</v>
      </c>
      <c r="J245">
        <v>0</v>
      </c>
      <c r="K245">
        <v>0</v>
      </c>
      <c r="L245" t="s">
        <v>27</v>
      </c>
      <c r="M245">
        <v>3</v>
      </c>
      <c r="N245" t="s">
        <v>28</v>
      </c>
      <c r="O245">
        <v>400</v>
      </c>
      <c r="P245">
        <v>70</v>
      </c>
      <c r="Q245">
        <v>15</v>
      </c>
    </row>
    <row r="246" spans="1:17" s="4" customFormat="1" x14ac:dyDescent="0.2">
      <c r="A246" s="4" t="s">
        <v>17</v>
      </c>
      <c r="B246" s="4" t="s">
        <v>62</v>
      </c>
      <c r="C246" s="4">
        <v>70</v>
      </c>
      <c r="D246" s="4">
        <v>14</v>
      </c>
      <c r="E246" s="4">
        <v>1</v>
      </c>
      <c r="F246" s="4">
        <v>1</v>
      </c>
      <c r="G246" s="4" t="s">
        <v>25</v>
      </c>
      <c r="H246" s="17">
        <v>35.6</v>
      </c>
      <c r="I246" s="4">
        <v>0</v>
      </c>
      <c r="J246" s="4">
        <v>0</v>
      </c>
      <c r="K246" s="4">
        <v>0</v>
      </c>
      <c r="L246" s="4" t="s">
        <v>12</v>
      </c>
      <c r="M246" s="4">
        <v>3</v>
      </c>
      <c r="N246" s="4" t="s">
        <v>28</v>
      </c>
      <c r="O246" s="4">
        <v>400</v>
      </c>
      <c r="P246" s="4">
        <v>70</v>
      </c>
      <c r="Q246" s="4">
        <v>15</v>
      </c>
    </row>
    <row r="247" spans="1:17" x14ac:dyDescent="0.2">
      <c r="A247" t="s">
        <v>17</v>
      </c>
      <c r="B247" t="s">
        <v>62</v>
      </c>
      <c r="C247">
        <v>71</v>
      </c>
      <c r="D247">
        <v>0</v>
      </c>
      <c r="E247">
        <v>1</v>
      </c>
      <c r="F247">
        <v>1</v>
      </c>
      <c r="G247" t="s">
        <v>25</v>
      </c>
      <c r="H247" s="16">
        <v>15</v>
      </c>
      <c r="I247">
        <v>0</v>
      </c>
      <c r="J247">
        <v>0</v>
      </c>
      <c r="K247">
        <v>0</v>
      </c>
      <c r="L247" t="s">
        <v>27</v>
      </c>
      <c r="M247">
        <v>3</v>
      </c>
      <c r="N247" t="s">
        <v>28</v>
      </c>
      <c r="O247">
        <v>400</v>
      </c>
      <c r="P247">
        <v>70</v>
      </c>
      <c r="Q247">
        <v>15</v>
      </c>
    </row>
    <row r="248" spans="1:17" x14ac:dyDescent="0.2">
      <c r="A248" t="s">
        <v>17</v>
      </c>
      <c r="B248" t="s">
        <v>62</v>
      </c>
      <c r="C248">
        <v>71</v>
      </c>
      <c r="D248">
        <v>14</v>
      </c>
      <c r="E248">
        <v>1</v>
      </c>
      <c r="F248">
        <v>1</v>
      </c>
      <c r="G248" t="s">
        <v>25</v>
      </c>
      <c r="H248" s="16">
        <v>36.9</v>
      </c>
      <c r="I248">
        <v>0</v>
      </c>
      <c r="J248">
        <v>0</v>
      </c>
      <c r="K248">
        <v>0</v>
      </c>
      <c r="L248" t="s">
        <v>12</v>
      </c>
      <c r="M248">
        <v>3</v>
      </c>
      <c r="N248" t="s">
        <v>28</v>
      </c>
      <c r="O248">
        <v>400</v>
      </c>
      <c r="P248">
        <v>70</v>
      </c>
      <c r="Q248">
        <v>15</v>
      </c>
    </row>
    <row r="249" spans="1:17" x14ac:dyDescent="0.2">
      <c r="A249" t="s">
        <v>17</v>
      </c>
      <c r="B249" t="s">
        <v>62</v>
      </c>
      <c r="C249">
        <v>71</v>
      </c>
      <c r="D249">
        <v>28</v>
      </c>
      <c r="E249">
        <v>1</v>
      </c>
      <c r="F249">
        <v>1</v>
      </c>
      <c r="G249" t="s">
        <v>25</v>
      </c>
      <c r="H249" s="16">
        <v>99.4</v>
      </c>
      <c r="I249">
        <v>0</v>
      </c>
      <c r="J249">
        <v>0</v>
      </c>
      <c r="K249">
        <v>0</v>
      </c>
      <c r="L249" t="s">
        <v>27</v>
      </c>
      <c r="M249">
        <v>3</v>
      </c>
      <c r="N249" t="s">
        <v>28</v>
      </c>
      <c r="O249">
        <v>400</v>
      </c>
      <c r="P249">
        <v>70</v>
      </c>
      <c r="Q249">
        <v>15</v>
      </c>
    </row>
    <row r="250" spans="1:17" s="4" customFormat="1" x14ac:dyDescent="0.2">
      <c r="A250" s="4" t="s">
        <v>17</v>
      </c>
      <c r="B250" s="4" t="s">
        <v>62</v>
      </c>
      <c r="C250" s="4">
        <v>71</v>
      </c>
      <c r="D250" s="4">
        <v>42</v>
      </c>
      <c r="E250" s="4">
        <v>1</v>
      </c>
      <c r="F250" s="4">
        <v>1</v>
      </c>
      <c r="G250" s="4" t="s">
        <v>25</v>
      </c>
      <c r="H250" s="17">
        <v>189.6</v>
      </c>
      <c r="I250" s="4">
        <v>0</v>
      </c>
      <c r="J250" s="4">
        <v>0</v>
      </c>
      <c r="K250" s="4">
        <v>0</v>
      </c>
      <c r="L250" s="4" t="s">
        <v>12</v>
      </c>
      <c r="M250" s="4">
        <v>3</v>
      </c>
      <c r="N250" s="4" t="s">
        <v>28</v>
      </c>
      <c r="O250" s="4">
        <v>400</v>
      </c>
      <c r="P250" s="4">
        <v>70</v>
      </c>
      <c r="Q250" s="4">
        <v>15</v>
      </c>
    </row>
    <row r="251" spans="1:17" x14ac:dyDescent="0.2">
      <c r="A251" t="s">
        <v>17</v>
      </c>
      <c r="B251" t="s">
        <v>62</v>
      </c>
      <c r="C251">
        <v>72</v>
      </c>
      <c r="D251">
        <v>0</v>
      </c>
      <c r="E251">
        <v>1</v>
      </c>
      <c r="F251">
        <v>1</v>
      </c>
      <c r="G251" t="s">
        <v>25</v>
      </c>
      <c r="H251" s="16">
        <v>13.9</v>
      </c>
      <c r="I251">
        <v>0</v>
      </c>
      <c r="J251">
        <v>0</v>
      </c>
      <c r="K251">
        <v>0</v>
      </c>
      <c r="L251" t="s">
        <v>27</v>
      </c>
      <c r="M251">
        <v>3</v>
      </c>
      <c r="N251" t="s">
        <v>28</v>
      </c>
      <c r="O251">
        <v>400</v>
      </c>
      <c r="P251">
        <v>70</v>
      </c>
      <c r="Q251">
        <v>15</v>
      </c>
    </row>
    <row r="252" spans="1:17" x14ac:dyDescent="0.2">
      <c r="A252" t="s">
        <v>17</v>
      </c>
      <c r="B252" t="s">
        <v>62</v>
      </c>
      <c r="C252">
        <v>72</v>
      </c>
      <c r="D252">
        <v>14</v>
      </c>
      <c r="E252">
        <v>1</v>
      </c>
      <c r="F252">
        <v>1</v>
      </c>
      <c r="G252" t="s">
        <v>25</v>
      </c>
      <c r="H252" s="16">
        <v>37.9</v>
      </c>
      <c r="I252">
        <v>0</v>
      </c>
      <c r="J252">
        <v>0</v>
      </c>
      <c r="K252">
        <v>0</v>
      </c>
      <c r="L252" t="s">
        <v>12</v>
      </c>
      <c r="M252">
        <v>3</v>
      </c>
      <c r="N252" t="s">
        <v>28</v>
      </c>
      <c r="O252">
        <v>400</v>
      </c>
      <c r="P252">
        <v>70</v>
      </c>
      <c r="Q252">
        <v>15</v>
      </c>
    </row>
    <row r="253" spans="1:17" x14ac:dyDescent="0.2">
      <c r="A253" t="s">
        <v>17</v>
      </c>
      <c r="B253" t="s">
        <v>62</v>
      </c>
      <c r="C253">
        <v>72</v>
      </c>
      <c r="D253">
        <v>28</v>
      </c>
      <c r="E253">
        <v>1</v>
      </c>
      <c r="F253">
        <v>1</v>
      </c>
      <c r="G253" t="s">
        <v>25</v>
      </c>
      <c r="H253" s="16">
        <v>109.6</v>
      </c>
      <c r="I253">
        <v>0</v>
      </c>
      <c r="J253">
        <v>0</v>
      </c>
      <c r="K253">
        <v>0</v>
      </c>
      <c r="L253" t="s">
        <v>27</v>
      </c>
      <c r="M253">
        <v>3</v>
      </c>
      <c r="N253" t="s">
        <v>28</v>
      </c>
      <c r="O253">
        <v>400</v>
      </c>
      <c r="P253">
        <v>70</v>
      </c>
      <c r="Q253">
        <v>15</v>
      </c>
    </row>
    <row r="254" spans="1:17" s="4" customFormat="1" x14ac:dyDescent="0.2">
      <c r="A254" s="4" t="s">
        <v>17</v>
      </c>
      <c r="B254" s="4" t="s">
        <v>62</v>
      </c>
      <c r="C254" s="4">
        <v>72</v>
      </c>
      <c r="D254" s="4">
        <v>42</v>
      </c>
      <c r="E254" s="4">
        <v>1</v>
      </c>
      <c r="F254" s="4">
        <v>1</v>
      </c>
      <c r="G254" s="4" t="s">
        <v>25</v>
      </c>
      <c r="H254" s="17">
        <v>174.4</v>
      </c>
      <c r="I254" s="4">
        <v>0</v>
      </c>
      <c r="J254" s="4">
        <v>0</v>
      </c>
      <c r="K254" s="4">
        <v>0</v>
      </c>
      <c r="L254" s="4" t="s">
        <v>12</v>
      </c>
      <c r="M254" s="4">
        <v>3</v>
      </c>
      <c r="N254" s="4" t="s">
        <v>28</v>
      </c>
      <c r="O254" s="4">
        <v>400</v>
      </c>
      <c r="P254" s="4">
        <v>70</v>
      </c>
      <c r="Q254" s="4">
        <v>15</v>
      </c>
    </row>
    <row r="255" spans="1:17" x14ac:dyDescent="0.2">
      <c r="A255" t="s">
        <v>17</v>
      </c>
      <c r="B255" t="s">
        <v>62</v>
      </c>
      <c r="C255">
        <v>73</v>
      </c>
      <c r="D255">
        <v>0</v>
      </c>
      <c r="E255">
        <v>1</v>
      </c>
      <c r="F255">
        <v>1</v>
      </c>
      <c r="G255" t="s">
        <v>25</v>
      </c>
      <c r="H255" s="16">
        <v>10.5</v>
      </c>
      <c r="I255">
        <v>0</v>
      </c>
      <c r="J255">
        <v>0</v>
      </c>
      <c r="K255">
        <v>0</v>
      </c>
      <c r="L255" t="s">
        <v>27</v>
      </c>
      <c r="M255">
        <v>3</v>
      </c>
      <c r="N255" t="s">
        <v>28</v>
      </c>
      <c r="O255">
        <v>400</v>
      </c>
      <c r="P255">
        <v>70</v>
      </c>
      <c r="Q255">
        <v>15</v>
      </c>
    </row>
    <row r="256" spans="1:17" x14ac:dyDescent="0.2">
      <c r="A256" t="s">
        <v>17</v>
      </c>
      <c r="B256" t="s">
        <v>62</v>
      </c>
      <c r="C256">
        <v>73</v>
      </c>
      <c r="D256">
        <v>14</v>
      </c>
      <c r="E256">
        <v>1</v>
      </c>
      <c r="F256">
        <v>1</v>
      </c>
      <c r="G256" t="s">
        <v>25</v>
      </c>
      <c r="H256" s="16">
        <v>23</v>
      </c>
      <c r="I256">
        <v>0</v>
      </c>
      <c r="J256">
        <v>0</v>
      </c>
      <c r="K256">
        <v>0</v>
      </c>
      <c r="L256" t="s">
        <v>12</v>
      </c>
      <c r="M256">
        <v>3</v>
      </c>
      <c r="N256" t="s">
        <v>28</v>
      </c>
      <c r="O256">
        <v>400</v>
      </c>
      <c r="P256">
        <v>70</v>
      </c>
      <c r="Q256">
        <v>15</v>
      </c>
    </row>
    <row r="257" spans="1:17" x14ac:dyDescent="0.2">
      <c r="A257" t="s">
        <v>17</v>
      </c>
      <c r="B257" t="s">
        <v>62</v>
      </c>
      <c r="C257">
        <v>73</v>
      </c>
      <c r="D257">
        <v>28</v>
      </c>
      <c r="E257">
        <v>1</v>
      </c>
      <c r="F257">
        <v>1</v>
      </c>
      <c r="G257" t="s">
        <v>25</v>
      </c>
      <c r="H257" s="16">
        <v>72</v>
      </c>
      <c r="I257">
        <v>0</v>
      </c>
      <c r="J257">
        <v>0</v>
      </c>
      <c r="K257">
        <v>0</v>
      </c>
      <c r="L257" t="s">
        <v>27</v>
      </c>
      <c r="M257">
        <v>3</v>
      </c>
      <c r="N257" t="s">
        <v>28</v>
      </c>
      <c r="O257">
        <v>400</v>
      </c>
      <c r="P257">
        <v>70</v>
      </c>
      <c r="Q257">
        <v>15</v>
      </c>
    </row>
    <row r="258" spans="1:17" s="4" customFormat="1" x14ac:dyDescent="0.2">
      <c r="A258" s="4" t="s">
        <v>17</v>
      </c>
      <c r="B258" s="4" t="s">
        <v>62</v>
      </c>
      <c r="C258" s="4">
        <v>73</v>
      </c>
      <c r="D258" s="4">
        <v>42</v>
      </c>
      <c r="E258" s="4">
        <v>1</v>
      </c>
      <c r="F258" s="4">
        <v>1</v>
      </c>
      <c r="G258" s="4" t="s">
        <v>25</v>
      </c>
      <c r="H258" s="17">
        <v>131.4</v>
      </c>
      <c r="I258" s="4">
        <v>0</v>
      </c>
      <c r="J258" s="4">
        <v>0</v>
      </c>
      <c r="K258" s="4">
        <v>0</v>
      </c>
      <c r="L258" s="4" t="s">
        <v>12</v>
      </c>
      <c r="M258" s="4">
        <v>3</v>
      </c>
      <c r="N258" s="4" t="s">
        <v>28</v>
      </c>
      <c r="O258" s="4">
        <v>400</v>
      </c>
      <c r="P258" s="4">
        <v>70</v>
      </c>
      <c r="Q258" s="4">
        <v>15</v>
      </c>
    </row>
    <row r="259" spans="1:17" x14ac:dyDescent="0.2">
      <c r="A259" t="s">
        <v>17</v>
      </c>
      <c r="B259" t="s">
        <v>62</v>
      </c>
      <c r="C259">
        <v>74</v>
      </c>
      <c r="D259">
        <v>0</v>
      </c>
      <c r="E259">
        <v>1</v>
      </c>
      <c r="F259">
        <v>1</v>
      </c>
      <c r="G259" t="s">
        <v>25</v>
      </c>
      <c r="H259" s="16">
        <v>11.1</v>
      </c>
      <c r="I259">
        <v>0</v>
      </c>
      <c r="J259">
        <v>0</v>
      </c>
      <c r="K259">
        <v>0</v>
      </c>
      <c r="L259" t="s">
        <v>27</v>
      </c>
      <c r="M259">
        <v>3</v>
      </c>
      <c r="N259" t="s">
        <v>28</v>
      </c>
      <c r="O259">
        <v>400</v>
      </c>
      <c r="P259">
        <v>70</v>
      </c>
      <c r="Q259">
        <v>15</v>
      </c>
    </row>
    <row r="260" spans="1:17" x14ac:dyDescent="0.2">
      <c r="A260" t="s">
        <v>17</v>
      </c>
      <c r="B260" t="s">
        <v>62</v>
      </c>
      <c r="C260">
        <v>74</v>
      </c>
      <c r="D260">
        <v>14</v>
      </c>
      <c r="E260">
        <v>1</v>
      </c>
      <c r="F260">
        <v>1</v>
      </c>
      <c r="G260" t="s">
        <v>25</v>
      </c>
      <c r="H260" s="16">
        <v>32.799999999999997</v>
      </c>
      <c r="I260">
        <v>0</v>
      </c>
      <c r="J260">
        <v>0</v>
      </c>
      <c r="K260">
        <v>0</v>
      </c>
      <c r="L260" t="s">
        <v>12</v>
      </c>
      <c r="M260">
        <v>3</v>
      </c>
      <c r="N260" t="s">
        <v>28</v>
      </c>
      <c r="O260">
        <v>400</v>
      </c>
      <c r="P260">
        <v>70</v>
      </c>
      <c r="Q260">
        <v>15</v>
      </c>
    </row>
    <row r="261" spans="1:17" x14ac:dyDescent="0.2">
      <c r="A261" t="s">
        <v>17</v>
      </c>
      <c r="B261" t="s">
        <v>62</v>
      </c>
      <c r="C261">
        <v>74</v>
      </c>
      <c r="D261">
        <v>28</v>
      </c>
      <c r="E261">
        <v>1</v>
      </c>
      <c r="F261">
        <v>1</v>
      </c>
      <c r="G261" t="s">
        <v>25</v>
      </c>
      <c r="H261" s="16">
        <v>100.2</v>
      </c>
      <c r="I261">
        <v>0</v>
      </c>
      <c r="J261">
        <v>0</v>
      </c>
      <c r="K261">
        <v>0</v>
      </c>
      <c r="L261" t="s">
        <v>27</v>
      </c>
      <c r="M261">
        <v>3</v>
      </c>
      <c r="N261" t="s">
        <v>28</v>
      </c>
      <c r="O261">
        <v>400</v>
      </c>
      <c r="P261">
        <v>70</v>
      </c>
      <c r="Q261">
        <v>15</v>
      </c>
    </row>
    <row r="262" spans="1:17" s="4" customFormat="1" x14ac:dyDescent="0.2">
      <c r="A262" s="4" t="s">
        <v>17</v>
      </c>
      <c r="B262" s="4" t="s">
        <v>62</v>
      </c>
      <c r="C262" s="4">
        <v>74</v>
      </c>
      <c r="D262" s="4">
        <v>42</v>
      </c>
      <c r="E262" s="4">
        <v>1</v>
      </c>
      <c r="F262" s="4">
        <v>1</v>
      </c>
      <c r="G262" s="4" t="s">
        <v>25</v>
      </c>
      <c r="H262" s="17">
        <v>172.4</v>
      </c>
      <c r="I262" s="4">
        <v>0</v>
      </c>
      <c r="J262" s="4">
        <v>0</v>
      </c>
      <c r="K262" s="4">
        <v>0</v>
      </c>
      <c r="L262" s="4" t="s">
        <v>12</v>
      </c>
      <c r="M262" s="4">
        <v>3</v>
      </c>
      <c r="N262" s="4" t="s">
        <v>28</v>
      </c>
      <c r="O262" s="4">
        <v>400</v>
      </c>
      <c r="P262" s="4">
        <v>70</v>
      </c>
      <c r="Q262" s="4">
        <v>15</v>
      </c>
    </row>
    <row r="263" spans="1:17" x14ac:dyDescent="0.2">
      <c r="A263" t="s">
        <v>17</v>
      </c>
      <c r="B263" t="s">
        <v>62</v>
      </c>
      <c r="C263">
        <v>75</v>
      </c>
      <c r="D263">
        <v>0</v>
      </c>
      <c r="E263">
        <v>1</v>
      </c>
      <c r="F263">
        <v>1</v>
      </c>
      <c r="G263" t="s">
        <v>25</v>
      </c>
      <c r="H263" s="16">
        <v>12.12</v>
      </c>
      <c r="I263">
        <v>0</v>
      </c>
      <c r="J263">
        <v>0</v>
      </c>
      <c r="K263">
        <v>0</v>
      </c>
      <c r="L263" t="s">
        <v>27</v>
      </c>
      <c r="M263">
        <v>3</v>
      </c>
      <c r="N263" t="s">
        <v>28</v>
      </c>
      <c r="O263">
        <v>400</v>
      </c>
      <c r="P263">
        <v>70</v>
      </c>
      <c r="Q263">
        <v>15</v>
      </c>
    </row>
    <row r="264" spans="1:17" x14ac:dyDescent="0.2">
      <c r="A264" t="s">
        <v>17</v>
      </c>
      <c r="B264" t="s">
        <v>62</v>
      </c>
      <c r="C264">
        <v>75</v>
      </c>
      <c r="D264">
        <v>14</v>
      </c>
      <c r="E264">
        <v>1</v>
      </c>
      <c r="F264">
        <v>1</v>
      </c>
      <c r="G264" t="s">
        <v>25</v>
      </c>
      <c r="H264" s="16">
        <v>37.200000000000003</v>
      </c>
      <c r="I264">
        <v>0</v>
      </c>
      <c r="J264">
        <v>0</v>
      </c>
      <c r="K264">
        <v>0</v>
      </c>
      <c r="L264" t="s">
        <v>12</v>
      </c>
      <c r="M264">
        <v>3</v>
      </c>
      <c r="N264" t="s">
        <v>28</v>
      </c>
      <c r="O264">
        <v>400</v>
      </c>
      <c r="P264">
        <v>70</v>
      </c>
      <c r="Q264">
        <v>15</v>
      </c>
    </row>
    <row r="265" spans="1:17" x14ac:dyDescent="0.2">
      <c r="A265" t="s">
        <v>17</v>
      </c>
      <c r="B265" t="s">
        <v>62</v>
      </c>
      <c r="C265">
        <v>75</v>
      </c>
      <c r="D265">
        <v>28</v>
      </c>
      <c r="E265">
        <v>1</v>
      </c>
      <c r="F265">
        <v>1</v>
      </c>
      <c r="G265" t="s">
        <v>25</v>
      </c>
      <c r="H265" s="16">
        <v>135.19999999999999</v>
      </c>
      <c r="I265">
        <v>0</v>
      </c>
      <c r="J265">
        <v>0</v>
      </c>
      <c r="K265">
        <v>0</v>
      </c>
      <c r="L265" t="s">
        <v>27</v>
      </c>
      <c r="M265">
        <v>3</v>
      </c>
      <c r="N265" t="s">
        <v>28</v>
      </c>
      <c r="O265">
        <v>400</v>
      </c>
      <c r="P265">
        <v>70</v>
      </c>
      <c r="Q265">
        <v>15</v>
      </c>
    </row>
    <row r="266" spans="1:17" s="4" customFormat="1" x14ac:dyDescent="0.2">
      <c r="A266" s="4" t="s">
        <v>17</v>
      </c>
      <c r="B266" s="4" t="s">
        <v>62</v>
      </c>
      <c r="C266" s="4">
        <v>75</v>
      </c>
      <c r="D266" s="4">
        <v>42</v>
      </c>
      <c r="E266" s="4">
        <v>1</v>
      </c>
      <c r="F266" s="4">
        <v>1</v>
      </c>
      <c r="G266" s="4" t="s">
        <v>25</v>
      </c>
      <c r="H266" s="17">
        <v>174.1</v>
      </c>
      <c r="I266" s="4">
        <v>0</v>
      </c>
      <c r="J266" s="4">
        <v>0</v>
      </c>
      <c r="K266" s="4">
        <v>0</v>
      </c>
      <c r="L266" s="4" t="s">
        <v>12</v>
      </c>
      <c r="M266" s="4">
        <v>3</v>
      </c>
      <c r="N266" s="4" t="s">
        <v>28</v>
      </c>
      <c r="O266" s="4">
        <v>400</v>
      </c>
      <c r="P266" s="4">
        <v>70</v>
      </c>
      <c r="Q266" s="4">
        <v>15</v>
      </c>
    </row>
    <row r="267" spans="1:17" x14ac:dyDescent="0.2">
      <c r="A267" t="s">
        <v>17</v>
      </c>
      <c r="B267" t="s">
        <v>62</v>
      </c>
      <c r="C267">
        <v>76</v>
      </c>
      <c r="D267">
        <v>0</v>
      </c>
      <c r="E267">
        <v>1</v>
      </c>
      <c r="F267">
        <v>1</v>
      </c>
      <c r="G267" t="s">
        <v>25</v>
      </c>
      <c r="H267" s="16">
        <v>7.7</v>
      </c>
      <c r="I267">
        <v>0</v>
      </c>
      <c r="J267">
        <v>0</v>
      </c>
      <c r="K267">
        <v>0</v>
      </c>
      <c r="L267" t="s">
        <v>27</v>
      </c>
      <c r="M267">
        <v>3</v>
      </c>
      <c r="N267" t="s">
        <v>28</v>
      </c>
      <c r="O267">
        <v>400</v>
      </c>
      <c r="P267">
        <v>70</v>
      </c>
      <c r="Q267">
        <v>15</v>
      </c>
    </row>
    <row r="268" spans="1:17" x14ac:dyDescent="0.2">
      <c r="A268" t="s">
        <v>17</v>
      </c>
      <c r="B268" t="s">
        <v>62</v>
      </c>
      <c r="C268">
        <v>76</v>
      </c>
      <c r="D268">
        <v>14</v>
      </c>
      <c r="E268">
        <v>1</v>
      </c>
      <c r="F268">
        <v>1</v>
      </c>
      <c r="G268" t="s">
        <v>25</v>
      </c>
      <c r="H268" s="16">
        <v>23.1</v>
      </c>
      <c r="I268">
        <v>0</v>
      </c>
      <c r="J268">
        <v>0</v>
      </c>
      <c r="K268">
        <v>0</v>
      </c>
      <c r="L268" t="s">
        <v>12</v>
      </c>
      <c r="M268">
        <v>3</v>
      </c>
      <c r="N268" t="s">
        <v>28</v>
      </c>
      <c r="O268">
        <v>400</v>
      </c>
      <c r="P268">
        <v>70</v>
      </c>
      <c r="Q268">
        <v>15</v>
      </c>
    </row>
    <row r="269" spans="1:17" x14ac:dyDescent="0.2">
      <c r="A269" t="s">
        <v>17</v>
      </c>
      <c r="B269" t="s">
        <v>62</v>
      </c>
      <c r="C269">
        <v>76</v>
      </c>
      <c r="D269">
        <v>28</v>
      </c>
      <c r="E269">
        <v>1</v>
      </c>
      <c r="F269">
        <v>1</v>
      </c>
      <c r="G269" t="s">
        <v>25</v>
      </c>
      <c r="H269" s="16">
        <v>76.2</v>
      </c>
      <c r="I269">
        <v>0</v>
      </c>
      <c r="J269">
        <v>0</v>
      </c>
      <c r="K269">
        <v>0</v>
      </c>
      <c r="L269" t="s">
        <v>27</v>
      </c>
      <c r="M269">
        <v>3</v>
      </c>
      <c r="N269" t="s">
        <v>28</v>
      </c>
      <c r="O269">
        <v>400</v>
      </c>
      <c r="P269">
        <v>70</v>
      </c>
      <c r="Q269">
        <v>15</v>
      </c>
    </row>
    <row r="270" spans="1:17" s="4" customFormat="1" x14ac:dyDescent="0.2">
      <c r="A270" s="4" t="s">
        <v>17</v>
      </c>
      <c r="B270" s="4" t="s">
        <v>62</v>
      </c>
      <c r="C270" s="4">
        <v>76</v>
      </c>
      <c r="D270" s="4">
        <v>42</v>
      </c>
      <c r="E270" s="4">
        <v>1</v>
      </c>
      <c r="F270" s="4">
        <v>1</v>
      </c>
      <c r="G270" s="4" t="s">
        <v>25</v>
      </c>
      <c r="H270" s="17">
        <v>130.80000000000001</v>
      </c>
      <c r="I270" s="4">
        <v>0</v>
      </c>
      <c r="J270" s="4">
        <v>0</v>
      </c>
      <c r="K270" s="4">
        <v>0</v>
      </c>
      <c r="L270" s="4" t="s">
        <v>12</v>
      </c>
      <c r="M270" s="4">
        <v>3</v>
      </c>
      <c r="N270" s="4" t="s">
        <v>28</v>
      </c>
      <c r="O270" s="4">
        <v>400</v>
      </c>
      <c r="P270" s="4">
        <v>70</v>
      </c>
      <c r="Q270" s="4">
        <v>15</v>
      </c>
    </row>
    <row r="271" spans="1:17" x14ac:dyDescent="0.2">
      <c r="A271" t="s">
        <v>17</v>
      </c>
      <c r="B271" t="s">
        <v>62</v>
      </c>
      <c r="C271">
        <v>77</v>
      </c>
      <c r="D271">
        <v>0</v>
      </c>
      <c r="E271">
        <v>1</v>
      </c>
      <c r="F271">
        <v>1</v>
      </c>
      <c r="G271" t="s">
        <v>25</v>
      </c>
      <c r="H271" s="16">
        <v>12.8</v>
      </c>
      <c r="I271">
        <v>0</v>
      </c>
      <c r="J271">
        <v>0</v>
      </c>
      <c r="K271">
        <v>0</v>
      </c>
      <c r="L271" t="s">
        <v>27</v>
      </c>
      <c r="M271">
        <v>3</v>
      </c>
      <c r="N271" t="s">
        <v>28</v>
      </c>
      <c r="O271">
        <v>400</v>
      </c>
      <c r="P271">
        <v>70</v>
      </c>
      <c r="Q271">
        <v>15</v>
      </c>
    </row>
    <row r="272" spans="1:17" x14ac:dyDescent="0.2">
      <c r="A272" t="s">
        <v>17</v>
      </c>
      <c r="B272" t="s">
        <v>62</v>
      </c>
      <c r="C272">
        <v>77</v>
      </c>
      <c r="D272">
        <v>14</v>
      </c>
      <c r="E272">
        <v>1</v>
      </c>
      <c r="F272">
        <v>1</v>
      </c>
      <c r="G272" t="s">
        <v>25</v>
      </c>
      <c r="H272" s="16">
        <v>36</v>
      </c>
      <c r="I272">
        <v>0</v>
      </c>
      <c r="J272">
        <v>0</v>
      </c>
      <c r="K272">
        <v>0</v>
      </c>
      <c r="L272" t="s">
        <v>12</v>
      </c>
      <c r="M272">
        <v>3</v>
      </c>
      <c r="N272" t="s">
        <v>28</v>
      </c>
      <c r="O272">
        <v>400</v>
      </c>
      <c r="P272">
        <v>70</v>
      </c>
      <c r="Q272">
        <v>15</v>
      </c>
    </row>
    <row r="273" spans="1:17" x14ac:dyDescent="0.2">
      <c r="A273" t="s">
        <v>17</v>
      </c>
      <c r="B273" t="s">
        <v>62</v>
      </c>
      <c r="C273">
        <v>77</v>
      </c>
      <c r="D273">
        <v>28</v>
      </c>
      <c r="E273">
        <v>1</v>
      </c>
      <c r="F273">
        <v>1</v>
      </c>
      <c r="G273" t="s">
        <v>25</v>
      </c>
      <c r="H273" s="16">
        <v>111.2</v>
      </c>
      <c r="I273">
        <v>0</v>
      </c>
      <c r="J273">
        <v>0</v>
      </c>
      <c r="K273">
        <v>0</v>
      </c>
      <c r="L273" t="s">
        <v>27</v>
      </c>
      <c r="M273">
        <v>3</v>
      </c>
      <c r="N273" t="s">
        <v>28</v>
      </c>
      <c r="O273">
        <v>400</v>
      </c>
      <c r="P273">
        <v>70</v>
      </c>
      <c r="Q273">
        <v>15</v>
      </c>
    </row>
    <row r="274" spans="1:17" s="4" customFormat="1" x14ac:dyDescent="0.2">
      <c r="A274" s="4" t="s">
        <v>17</v>
      </c>
      <c r="B274" s="4" t="s">
        <v>62</v>
      </c>
      <c r="C274" s="4">
        <v>77</v>
      </c>
      <c r="D274" s="4">
        <v>42</v>
      </c>
      <c r="E274" s="4">
        <v>1</v>
      </c>
      <c r="F274" s="4">
        <v>1</v>
      </c>
      <c r="G274" s="4" t="s">
        <v>25</v>
      </c>
      <c r="H274" s="17">
        <v>192.4</v>
      </c>
      <c r="I274" s="4">
        <v>0</v>
      </c>
      <c r="J274" s="4">
        <v>0</v>
      </c>
      <c r="K274" s="4">
        <v>0</v>
      </c>
      <c r="L274" s="4" t="s">
        <v>12</v>
      </c>
      <c r="M274" s="4">
        <v>3</v>
      </c>
      <c r="N274" s="4" t="s">
        <v>28</v>
      </c>
      <c r="O274" s="4">
        <v>400</v>
      </c>
      <c r="P274" s="4">
        <v>70</v>
      </c>
      <c r="Q274" s="4">
        <v>15</v>
      </c>
    </row>
    <row r="275" spans="1:17" x14ac:dyDescent="0.2">
      <c r="A275" t="s">
        <v>17</v>
      </c>
      <c r="B275" t="s">
        <v>62</v>
      </c>
      <c r="C275">
        <v>78</v>
      </c>
      <c r="D275">
        <v>0</v>
      </c>
      <c r="E275">
        <v>1</v>
      </c>
      <c r="F275">
        <v>1</v>
      </c>
      <c r="G275" t="s">
        <v>25</v>
      </c>
      <c r="H275" s="16">
        <v>13.5</v>
      </c>
      <c r="I275">
        <v>0</v>
      </c>
      <c r="J275">
        <v>0</v>
      </c>
      <c r="K275">
        <v>0</v>
      </c>
      <c r="L275" t="s">
        <v>27</v>
      </c>
      <c r="M275">
        <v>3</v>
      </c>
      <c r="N275" t="s">
        <v>28</v>
      </c>
      <c r="O275">
        <v>400</v>
      </c>
      <c r="P275">
        <v>70</v>
      </c>
      <c r="Q275">
        <v>15</v>
      </c>
    </row>
    <row r="276" spans="1:17" s="4" customFormat="1" x14ac:dyDescent="0.2">
      <c r="A276" s="4" t="s">
        <v>17</v>
      </c>
      <c r="B276" s="4" t="s">
        <v>62</v>
      </c>
      <c r="C276" s="4">
        <v>78</v>
      </c>
      <c r="D276" s="4">
        <v>14</v>
      </c>
      <c r="E276" s="4">
        <v>1</v>
      </c>
      <c r="F276" s="4">
        <v>1</v>
      </c>
      <c r="G276" s="4" t="s">
        <v>25</v>
      </c>
      <c r="H276" s="17">
        <v>38.1</v>
      </c>
      <c r="I276" s="4">
        <v>0</v>
      </c>
      <c r="J276" s="4">
        <v>0</v>
      </c>
      <c r="K276" s="4">
        <v>0</v>
      </c>
      <c r="L276" s="4" t="s">
        <v>12</v>
      </c>
      <c r="M276" s="4">
        <v>3</v>
      </c>
      <c r="N276" s="4" t="s">
        <v>28</v>
      </c>
      <c r="O276" s="4">
        <v>400</v>
      </c>
      <c r="P276" s="4">
        <v>70</v>
      </c>
      <c r="Q276" s="4">
        <v>15</v>
      </c>
    </row>
    <row r="277" spans="1:17" x14ac:dyDescent="0.2">
      <c r="A277" t="s">
        <v>17</v>
      </c>
      <c r="B277" t="s">
        <v>62</v>
      </c>
      <c r="C277">
        <v>79</v>
      </c>
      <c r="D277">
        <v>0</v>
      </c>
      <c r="E277">
        <v>1</v>
      </c>
      <c r="F277">
        <v>1</v>
      </c>
      <c r="G277" t="s">
        <v>25</v>
      </c>
      <c r="H277" s="16">
        <v>9.31</v>
      </c>
      <c r="I277">
        <v>0</v>
      </c>
      <c r="J277">
        <v>0</v>
      </c>
      <c r="K277">
        <v>0</v>
      </c>
      <c r="L277" t="s">
        <v>27</v>
      </c>
      <c r="M277">
        <v>3</v>
      </c>
      <c r="N277" t="s">
        <v>28</v>
      </c>
      <c r="O277">
        <v>400</v>
      </c>
      <c r="P277">
        <v>70</v>
      </c>
      <c r="Q277">
        <v>15</v>
      </c>
    </row>
    <row r="278" spans="1:17" s="4" customFormat="1" x14ac:dyDescent="0.2">
      <c r="A278" s="4" t="s">
        <v>17</v>
      </c>
      <c r="B278" s="4" t="s">
        <v>62</v>
      </c>
      <c r="C278" s="4">
        <v>79</v>
      </c>
      <c r="D278" s="4">
        <v>14</v>
      </c>
      <c r="E278" s="4">
        <v>1</v>
      </c>
      <c r="F278" s="4">
        <v>1</v>
      </c>
      <c r="G278" s="4" t="s">
        <v>25</v>
      </c>
      <c r="H278" s="17">
        <v>24.5</v>
      </c>
      <c r="I278" s="4">
        <v>0</v>
      </c>
      <c r="J278" s="4">
        <v>0</v>
      </c>
      <c r="K278" s="4">
        <v>0</v>
      </c>
      <c r="L278" s="4" t="s">
        <v>12</v>
      </c>
      <c r="M278" s="4">
        <v>3</v>
      </c>
      <c r="N278" s="4" t="s">
        <v>28</v>
      </c>
      <c r="O278" s="4">
        <v>400</v>
      </c>
      <c r="P278" s="4">
        <v>70</v>
      </c>
      <c r="Q278" s="4">
        <v>15</v>
      </c>
    </row>
    <row r="279" spans="1:17" x14ac:dyDescent="0.2">
      <c r="A279" t="s">
        <v>17</v>
      </c>
      <c r="B279" t="s">
        <v>62</v>
      </c>
      <c r="C279">
        <v>80</v>
      </c>
      <c r="D279">
        <v>0</v>
      </c>
      <c r="E279">
        <v>1</v>
      </c>
      <c r="F279">
        <v>1</v>
      </c>
      <c r="G279" t="s">
        <v>25</v>
      </c>
      <c r="H279" s="16">
        <v>12.4</v>
      </c>
      <c r="I279">
        <v>0</v>
      </c>
      <c r="J279">
        <v>0</v>
      </c>
      <c r="K279">
        <v>0</v>
      </c>
      <c r="L279" t="s">
        <v>27</v>
      </c>
      <c r="M279">
        <v>3</v>
      </c>
      <c r="N279" t="s">
        <v>28</v>
      </c>
      <c r="O279">
        <v>400</v>
      </c>
      <c r="P279">
        <v>70</v>
      </c>
      <c r="Q279">
        <v>15</v>
      </c>
    </row>
    <row r="280" spans="1:17" s="4" customFormat="1" x14ac:dyDescent="0.2">
      <c r="A280" s="4" t="s">
        <v>17</v>
      </c>
      <c r="B280" s="4" t="s">
        <v>62</v>
      </c>
      <c r="C280" s="4">
        <v>80</v>
      </c>
      <c r="D280" s="4">
        <v>14</v>
      </c>
      <c r="E280" s="4">
        <v>1</v>
      </c>
      <c r="F280" s="4">
        <v>1</v>
      </c>
      <c r="G280" s="4" t="s">
        <v>25</v>
      </c>
      <c r="H280" s="17">
        <v>31.2</v>
      </c>
      <c r="I280" s="4">
        <v>0</v>
      </c>
      <c r="J280" s="4">
        <v>0</v>
      </c>
      <c r="K280" s="4">
        <v>0</v>
      </c>
      <c r="L280" s="4" t="s">
        <v>12</v>
      </c>
      <c r="M280" s="4">
        <v>3</v>
      </c>
      <c r="N280" s="4" t="s">
        <v>28</v>
      </c>
      <c r="O280" s="4">
        <v>400</v>
      </c>
      <c r="P280" s="4">
        <v>70</v>
      </c>
      <c r="Q280" s="4">
        <v>15</v>
      </c>
    </row>
    <row r="281" spans="1:17" x14ac:dyDescent="0.2">
      <c r="A281" t="s">
        <v>17</v>
      </c>
      <c r="B281" t="s">
        <v>62</v>
      </c>
      <c r="C281">
        <v>81</v>
      </c>
      <c r="D281">
        <v>0</v>
      </c>
      <c r="E281">
        <v>1</v>
      </c>
      <c r="F281">
        <v>1</v>
      </c>
      <c r="G281" t="s">
        <v>25</v>
      </c>
      <c r="H281" s="16">
        <v>10.199999999999999</v>
      </c>
      <c r="I281">
        <v>0</v>
      </c>
      <c r="J281">
        <v>0</v>
      </c>
      <c r="K281">
        <v>0</v>
      </c>
      <c r="L281" t="s">
        <v>27</v>
      </c>
      <c r="M281">
        <v>3</v>
      </c>
      <c r="N281" t="s">
        <v>28</v>
      </c>
      <c r="O281">
        <v>400</v>
      </c>
      <c r="P281">
        <v>70</v>
      </c>
      <c r="Q281">
        <v>15</v>
      </c>
    </row>
    <row r="282" spans="1:17" s="4" customFormat="1" x14ac:dyDescent="0.2">
      <c r="A282" s="4" t="s">
        <v>17</v>
      </c>
      <c r="B282" s="4" t="s">
        <v>62</v>
      </c>
      <c r="C282" s="4">
        <v>81</v>
      </c>
      <c r="D282" s="4">
        <v>14</v>
      </c>
      <c r="E282" s="4">
        <v>1</v>
      </c>
      <c r="F282" s="4">
        <v>1</v>
      </c>
      <c r="G282" s="4" t="s">
        <v>25</v>
      </c>
      <c r="H282" s="17">
        <v>27.2</v>
      </c>
      <c r="I282" s="4">
        <v>0</v>
      </c>
      <c r="J282" s="4">
        <v>0</v>
      </c>
      <c r="K282" s="4">
        <v>0</v>
      </c>
      <c r="L282" s="4" t="s">
        <v>12</v>
      </c>
      <c r="M282" s="4">
        <v>3</v>
      </c>
      <c r="N282" s="4" t="s">
        <v>28</v>
      </c>
      <c r="O282" s="4">
        <v>400</v>
      </c>
      <c r="P282" s="4">
        <v>70</v>
      </c>
      <c r="Q282" s="4">
        <v>15</v>
      </c>
    </row>
    <row r="283" spans="1:17" x14ac:dyDescent="0.2">
      <c r="A283" t="s">
        <v>17</v>
      </c>
      <c r="B283" t="s">
        <v>62</v>
      </c>
      <c r="C283">
        <v>82</v>
      </c>
      <c r="D283">
        <v>0</v>
      </c>
      <c r="E283">
        <v>1</v>
      </c>
      <c r="F283">
        <v>1</v>
      </c>
      <c r="G283" t="s">
        <v>25</v>
      </c>
      <c r="H283" s="16">
        <v>10.4</v>
      </c>
      <c r="I283">
        <v>0</v>
      </c>
      <c r="J283">
        <v>0</v>
      </c>
      <c r="K283">
        <v>0</v>
      </c>
      <c r="L283" t="s">
        <v>27</v>
      </c>
      <c r="M283">
        <v>3</v>
      </c>
      <c r="N283" t="s">
        <v>28</v>
      </c>
      <c r="O283">
        <v>400</v>
      </c>
      <c r="P283">
        <v>70</v>
      </c>
      <c r="Q283">
        <v>15</v>
      </c>
    </row>
    <row r="284" spans="1:17" s="4" customFormat="1" x14ac:dyDescent="0.2">
      <c r="A284" s="4" t="s">
        <v>17</v>
      </c>
      <c r="B284" s="4" t="s">
        <v>62</v>
      </c>
      <c r="C284" s="4">
        <v>82</v>
      </c>
      <c r="D284" s="4">
        <v>14</v>
      </c>
      <c r="E284" s="4">
        <v>1</v>
      </c>
      <c r="F284" s="4">
        <v>1</v>
      </c>
      <c r="G284" s="4" t="s">
        <v>25</v>
      </c>
      <c r="H284" s="17">
        <v>23.2</v>
      </c>
      <c r="I284" s="4">
        <v>0</v>
      </c>
      <c r="J284" s="4">
        <v>0</v>
      </c>
      <c r="K284" s="4">
        <v>0</v>
      </c>
      <c r="L284" s="4" t="s">
        <v>12</v>
      </c>
      <c r="M284" s="4">
        <v>3</v>
      </c>
      <c r="N284" s="4" t="s">
        <v>28</v>
      </c>
      <c r="O284" s="4">
        <v>400</v>
      </c>
      <c r="P284" s="4">
        <v>70</v>
      </c>
      <c r="Q284" s="4">
        <v>15</v>
      </c>
    </row>
    <row r="285" spans="1:17" x14ac:dyDescent="0.2">
      <c r="A285" t="s">
        <v>17</v>
      </c>
      <c r="B285" t="s">
        <v>62</v>
      </c>
      <c r="C285">
        <v>83</v>
      </c>
      <c r="D285">
        <v>0</v>
      </c>
      <c r="E285">
        <v>1</v>
      </c>
      <c r="F285">
        <v>1</v>
      </c>
      <c r="G285" t="s">
        <v>25</v>
      </c>
      <c r="H285" s="16">
        <v>9.6999999999999993</v>
      </c>
      <c r="I285">
        <v>0</v>
      </c>
      <c r="J285">
        <v>0</v>
      </c>
      <c r="K285">
        <v>0</v>
      </c>
      <c r="L285" t="s">
        <v>27</v>
      </c>
      <c r="M285">
        <v>3</v>
      </c>
      <c r="N285" t="s">
        <v>28</v>
      </c>
      <c r="O285">
        <v>400</v>
      </c>
      <c r="P285">
        <v>70</v>
      </c>
      <c r="Q285">
        <v>15</v>
      </c>
    </row>
    <row r="286" spans="1:17" s="4" customFormat="1" x14ac:dyDescent="0.2">
      <c r="A286" s="4" t="s">
        <v>17</v>
      </c>
      <c r="B286" s="4" t="s">
        <v>62</v>
      </c>
      <c r="C286" s="4">
        <v>83</v>
      </c>
      <c r="D286" s="4">
        <v>14</v>
      </c>
      <c r="E286" s="4">
        <v>1</v>
      </c>
      <c r="F286" s="4">
        <v>1</v>
      </c>
      <c r="G286" s="4" t="s">
        <v>25</v>
      </c>
      <c r="H286" s="17">
        <v>23.6</v>
      </c>
      <c r="I286" s="4">
        <v>0</v>
      </c>
      <c r="J286" s="4">
        <v>0</v>
      </c>
      <c r="K286" s="4">
        <v>0</v>
      </c>
      <c r="L286" s="4" t="s">
        <v>12</v>
      </c>
      <c r="M286" s="4">
        <v>3</v>
      </c>
      <c r="N286" s="4" t="s">
        <v>28</v>
      </c>
      <c r="O286" s="4">
        <v>400</v>
      </c>
      <c r="P286" s="4">
        <v>70</v>
      </c>
      <c r="Q286" s="4">
        <v>15</v>
      </c>
    </row>
    <row r="287" spans="1:17" x14ac:dyDescent="0.2">
      <c r="A287" t="s">
        <v>17</v>
      </c>
      <c r="B287" t="s">
        <v>62</v>
      </c>
      <c r="C287">
        <v>84</v>
      </c>
      <c r="D287">
        <v>0</v>
      </c>
      <c r="E287">
        <v>1</v>
      </c>
      <c r="F287">
        <v>1</v>
      </c>
      <c r="G287" t="s">
        <v>25</v>
      </c>
      <c r="H287" s="16">
        <v>9.6</v>
      </c>
      <c r="I287">
        <v>0</v>
      </c>
      <c r="J287">
        <v>0</v>
      </c>
      <c r="K287">
        <v>0</v>
      </c>
      <c r="L287" t="s">
        <v>27</v>
      </c>
      <c r="M287">
        <v>3</v>
      </c>
      <c r="N287" t="s">
        <v>28</v>
      </c>
      <c r="O287">
        <v>400</v>
      </c>
      <c r="P287">
        <v>70</v>
      </c>
      <c r="Q287">
        <v>15</v>
      </c>
    </row>
    <row r="288" spans="1:17" s="4" customFormat="1" x14ac:dyDescent="0.2">
      <c r="A288" s="4" t="s">
        <v>17</v>
      </c>
      <c r="B288" s="4" t="s">
        <v>62</v>
      </c>
      <c r="C288" s="4">
        <v>84</v>
      </c>
      <c r="D288" s="4">
        <v>14</v>
      </c>
      <c r="E288" s="4">
        <v>1</v>
      </c>
      <c r="F288" s="4">
        <v>1</v>
      </c>
      <c r="G288" s="4" t="s">
        <v>25</v>
      </c>
      <c r="H288" s="17">
        <v>23.3</v>
      </c>
      <c r="I288" s="4">
        <v>0</v>
      </c>
      <c r="J288" s="4">
        <v>0</v>
      </c>
      <c r="K288" s="4">
        <v>0</v>
      </c>
      <c r="L288" s="4" t="s">
        <v>12</v>
      </c>
      <c r="M288" s="4">
        <v>3</v>
      </c>
      <c r="N288" s="4" t="s">
        <v>28</v>
      </c>
      <c r="O288" s="4">
        <v>400</v>
      </c>
      <c r="P288" s="4">
        <v>70</v>
      </c>
      <c r="Q288" s="4">
        <v>15</v>
      </c>
    </row>
    <row r="289" spans="1:17" x14ac:dyDescent="0.2">
      <c r="A289" t="s">
        <v>17</v>
      </c>
      <c r="B289" t="s">
        <v>62</v>
      </c>
      <c r="C289">
        <v>85</v>
      </c>
      <c r="D289">
        <v>0</v>
      </c>
      <c r="E289">
        <v>1</v>
      </c>
      <c r="F289">
        <v>1</v>
      </c>
      <c r="G289" t="s">
        <v>25</v>
      </c>
      <c r="H289" s="16">
        <v>8.3000000000000007</v>
      </c>
      <c r="I289">
        <v>0</v>
      </c>
      <c r="J289">
        <v>0</v>
      </c>
      <c r="K289">
        <v>0</v>
      </c>
      <c r="L289" t="s">
        <v>27</v>
      </c>
      <c r="M289">
        <v>3</v>
      </c>
      <c r="N289" t="s">
        <v>28</v>
      </c>
      <c r="O289">
        <v>400</v>
      </c>
      <c r="P289">
        <v>70</v>
      </c>
      <c r="Q289">
        <v>15</v>
      </c>
    </row>
    <row r="290" spans="1:17" x14ac:dyDescent="0.2">
      <c r="A290" t="s">
        <v>17</v>
      </c>
      <c r="B290" t="s">
        <v>62</v>
      </c>
      <c r="C290">
        <v>85</v>
      </c>
      <c r="D290">
        <v>14</v>
      </c>
      <c r="E290">
        <v>1</v>
      </c>
      <c r="F290">
        <v>1</v>
      </c>
      <c r="G290" t="s">
        <v>25</v>
      </c>
      <c r="H290" s="16">
        <v>25.8</v>
      </c>
      <c r="I290">
        <v>0</v>
      </c>
      <c r="J290">
        <v>0</v>
      </c>
      <c r="K290">
        <v>0</v>
      </c>
      <c r="L290" t="s">
        <v>12</v>
      </c>
      <c r="M290">
        <v>3</v>
      </c>
      <c r="N290" t="s">
        <v>28</v>
      </c>
      <c r="O290">
        <v>400</v>
      </c>
      <c r="P290">
        <v>70</v>
      </c>
      <c r="Q290">
        <v>15</v>
      </c>
    </row>
    <row r="291" spans="1:17" x14ac:dyDescent="0.2">
      <c r="A291" t="s">
        <v>17</v>
      </c>
      <c r="B291" t="s">
        <v>62</v>
      </c>
      <c r="C291">
        <v>85</v>
      </c>
      <c r="D291">
        <v>28</v>
      </c>
      <c r="E291">
        <v>1</v>
      </c>
      <c r="F291">
        <v>1</v>
      </c>
      <c r="G291" t="s">
        <v>25</v>
      </c>
      <c r="H291" s="16">
        <v>85.7</v>
      </c>
      <c r="I291">
        <v>0</v>
      </c>
      <c r="J291">
        <v>0</v>
      </c>
      <c r="K291">
        <v>0</v>
      </c>
      <c r="L291" t="s">
        <v>27</v>
      </c>
      <c r="M291">
        <v>3</v>
      </c>
      <c r="N291" t="s">
        <v>28</v>
      </c>
      <c r="O291">
        <v>400</v>
      </c>
      <c r="P291">
        <v>70</v>
      </c>
      <c r="Q291">
        <v>15</v>
      </c>
    </row>
    <row r="292" spans="1:17" s="4" customFormat="1" x14ac:dyDescent="0.2">
      <c r="A292" s="4" t="s">
        <v>17</v>
      </c>
      <c r="B292" s="4" t="s">
        <v>62</v>
      </c>
      <c r="C292" s="4">
        <v>85</v>
      </c>
      <c r="D292" s="4">
        <v>42</v>
      </c>
      <c r="E292" s="4">
        <v>1</v>
      </c>
      <c r="F292" s="4">
        <v>1</v>
      </c>
      <c r="G292" s="4" t="s">
        <v>25</v>
      </c>
      <c r="H292" s="17">
        <v>127.5</v>
      </c>
      <c r="I292" s="4">
        <v>0</v>
      </c>
      <c r="J292" s="4">
        <v>0</v>
      </c>
      <c r="K292" s="4">
        <v>0</v>
      </c>
      <c r="L292" s="4" t="s">
        <v>12</v>
      </c>
      <c r="M292" s="4">
        <v>3</v>
      </c>
      <c r="N292" s="4" t="s">
        <v>28</v>
      </c>
      <c r="O292" s="4">
        <v>400</v>
      </c>
      <c r="P292" s="4">
        <v>70</v>
      </c>
      <c r="Q292" s="4">
        <v>15</v>
      </c>
    </row>
    <row r="293" spans="1:17" x14ac:dyDescent="0.2">
      <c r="A293" t="s">
        <v>17</v>
      </c>
      <c r="B293" t="s">
        <v>62</v>
      </c>
      <c r="C293">
        <v>86</v>
      </c>
      <c r="D293">
        <v>0</v>
      </c>
      <c r="E293">
        <v>1</v>
      </c>
      <c r="F293">
        <v>1</v>
      </c>
      <c r="G293" t="s">
        <v>25</v>
      </c>
      <c r="H293" s="16">
        <v>14.3</v>
      </c>
      <c r="I293">
        <v>0</v>
      </c>
      <c r="J293">
        <v>0</v>
      </c>
      <c r="K293">
        <v>0</v>
      </c>
      <c r="L293" t="s">
        <v>27</v>
      </c>
      <c r="M293">
        <v>3</v>
      </c>
      <c r="N293" t="s">
        <v>28</v>
      </c>
      <c r="O293">
        <v>400</v>
      </c>
      <c r="P293">
        <v>70</v>
      </c>
      <c r="Q293">
        <v>15</v>
      </c>
    </row>
    <row r="294" spans="1:17" x14ac:dyDescent="0.2">
      <c r="A294" t="s">
        <v>17</v>
      </c>
      <c r="B294" t="s">
        <v>62</v>
      </c>
      <c r="C294">
        <v>86</v>
      </c>
      <c r="D294">
        <v>14</v>
      </c>
      <c r="E294">
        <v>1</v>
      </c>
      <c r="F294">
        <v>1</v>
      </c>
      <c r="G294" t="s">
        <v>25</v>
      </c>
      <c r="H294" s="16">
        <v>49.3</v>
      </c>
      <c r="I294">
        <v>0</v>
      </c>
      <c r="J294">
        <v>0</v>
      </c>
      <c r="K294">
        <v>0</v>
      </c>
      <c r="L294" t="s">
        <v>12</v>
      </c>
      <c r="M294">
        <v>3</v>
      </c>
      <c r="N294" t="s">
        <v>28</v>
      </c>
      <c r="O294">
        <v>400</v>
      </c>
      <c r="P294">
        <v>70</v>
      </c>
      <c r="Q294">
        <v>15</v>
      </c>
    </row>
    <row r="295" spans="1:17" x14ac:dyDescent="0.2">
      <c r="A295" t="s">
        <v>17</v>
      </c>
      <c r="B295" t="s">
        <v>62</v>
      </c>
      <c r="C295">
        <v>86</v>
      </c>
      <c r="D295">
        <v>28</v>
      </c>
      <c r="E295">
        <v>1</v>
      </c>
      <c r="F295">
        <v>1</v>
      </c>
      <c r="G295" t="s">
        <v>25</v>
      </c>
      <c r="H295" s="16">
        <v>128.69999999999999</v>
      </c>
      <c r="I295">
        <v>0</v>
      </c>
      <c r="J295">
        <v>0</v>
      </c>
      <c r="K295">
        <v>0</v>
      </c>
      <c r="L295" t="s">
        <v>27</v>
      </c>
      <c r="M295">
        <v>3</v>
      </c>
      <c r="N295" t="s">
        <v>28</v>
      </c>
      <c r="O295">
        <v>400</v>
      </c>
      <c r="P295">
        <v>70</v>
      </c>
      <c r="Q295">
        <v>15</v>
      </c>
    </row>
    <row r="296" spans="1:17" s="4" customFormat="1" x14ac:dyDescent="0.2">
      <c r="A296" s="4" t="s">
        <v>17</v>
      </c>
      <c r="B296" s="4" t="s">
        <v>62</v>
      </c>
      <c r="C296" s="4">
        <v>86</v>
      </c>
      <c r="D296" s="4">
        <v>42</v>
      </c>
      <c r="E296" s="4">
        <v>1</v>
      </c>
      <c r="F296" s="4">
        <v>1</v>
      </c>
      <c r="G296" s="4" t="s">
        <v>25</v>
      </c>
      <c r="H296" s="17">
        <v>201.6</v>
      </c>
      <c r="I296" s="4">
        <v>0</v>
      </c>
      <c r="J296" s="4">
        <v>0</v>
      </c>
      <c r="K296" s="4">
        <v>0</v>
      </c>
      <c r="L296" s="4" t="s">
        <v>12</v>
      </c>
      <c r="M296" s="4">
        <v>3</v>
      </c>
      <c r="N296" s="4" t="s">
        <v>28</v>
      </c>
      <c r="O296" s="4">
        <v>400</v>
      </c>
      <c r="P296" s="4">
        <v>70</v>
      </c>
      <c r="Q296" s="4">
        <v>15</v>
      </c>
    </row>
    <row r="297" spans="1:17" x14ac:dyDescent="0.2">
      <c r="A297" t="s">
        <v>17</v>
      </c>
      <c r="B297" t="s">
        <v>62</v>
      </c>
      <c r="C297">
        <v>87</v>
      </c>
      <c r="D297">
        <v>0</v>
      </c>
      <c r="E297">
        <v>1</v>
      </c>
      <c r="F297">
        <v>1</v>
      </c>
      <c r="G297" t="s">
        <v>25</v>
      </c>
      <c r="H297" s="16">
        <v>11.3</v>
      </c>
      <c r="I297">
        <v>0</v>
      </c>
      <c r="J297">
        <v>0</v>
      </c>
      <c r="K297">
        <v>0</v>
      </c>
      <c r="L297" t="s">
        <v>27</v>
      </c>
      <c r="M297">
        <v>3</v>
      </c>
      <c r="N297" t="s">
        <v>28</v>
      </c>
      <c r="O297">
        <v>400</v>
      </c>
      <c r="P297">
        <v>70</v>
      </c>
      <c r="Q297">
        <v>15</v>
      </c>
    </row>
    <row r="298" spans="1:17" x14ac:dyDescent="0.2">
      <c r="A298" t="s">
        <v>17</v>
      </c>
      <c r="B298" t="s">
        <v>62</v>
      </c>
      <c r="C298">
        <v>87</v>
      </c>
      <c r="D298">
        <v>14</v>
      </c>
      <c r="E298">
        <v>1</v>
      </c>
      <c r="F298">
        <v>1</v>
      </c>
      <c r="G298" t="s">
        <v>25</v>
      </c>
      <c r="H298" s="16">
        <v>26.1</v>
      </c>
      <c r="I298">
        <v>0</v>
      </c>
      <c r="J298">
        <v>0</v>
      </c>
      <c r="K298">
        <v>0</v>
      </c>
      <c r="L298" t="s">
        <v>12</v>
      </c>
      <c r="M298">
        <v>3</v>
      </c>
      <c r="N298" t="s">
        <v>28</v>
      </c>
      <c r="O298">
        <v>400</v>
      </c>
      <c r="P298">
        <v>70</v>
      </c>
      <c r="Q298">
        <v>15</v>
      </c>
    </row>
    <row r="299" spans="1:17" x14ac:dyDescent="0.2">
      <c r="A299" t="s">
        <v>17</v>
      </c>
      <c r="B299" t="s">
        <v>62</v>
      </c>
      <c r="C299">
        <v>87</v>
      </c>
      <c r="D299">
        <v>28</v>
      </c>
      <c r="E299">
        <v>1</v>
      </c>
      <c r="F299">
        <v>1</v>
      </c>
      <c r="G299" t="s">
        <v>25</v>
      </c>
      <c r="H299" s="16">
        <v>83.1</v>
      </c>
      <c r="I299">
        <v>0</v>
      </c>
      <c r="J299">
        <v>0</v>
      </c>
      <c r="K299">
        <v>0</v>
      </c>
      <c r="L299" t="s">
        <v>27</v>
      </c>
      <c r="M299">
        <v>3</v>
      </c>
      <c r="N299" t="s">
        <v>28</v>
      </c>
      <c r="O299">
        <v>400</v>
      </c>
      <c r="P299">
        <v>70</v>
      </c>
      <c r="Q299">
        <v>15</v>
      </c>
    </row>
    <row r="300" spans="1:17" s="4" customFormat="1" x14ac:dyDescent="0.2">
      <c r="A300" s="4" t="s">
        <v>17</v>
      </c>
      <c r="B300" s="4" t="s">
        <v>62</v>
      </c>
      <c r="C300" s="4">
        <v>87</v>
      </c>
      <c r="D300" s="4">
        <v>42</v>
      </c>
      <c r="E300" s="4">
        <v>1</v>
      </c>
      <c r="F300" s="4">
        <v>1</v>
      </c>
      <c r="G300" s="4" t="s">
        <v>25</v>
      </c>
      <c r="H300" s="17">
        <v>144.1</v>
      </c>
      <c r="I300" s="4">
        <v>0</v>
      </c>
      <c r="J300" s="4">
        <v>0</v>
      </c>
      <c r="K300" s="4">
        <v>0</v>
      </c>
      <c r="L300" s="4" t="s">
        <v>12</v>
      </c>
      <c r="M300" s="4">
        <v>3</v>
      </c>
      <c r="N300" s="4" t="s">
        <v>28</v>
      </c>
      <c r="O300" s="4">
        <v>400</v>
      </c>
      <c r="P300" s="4">
        <v>70</v>
      </c>
      <c r="Q300" s="4">
        <v>15</v>
      </c>
    </row>
    <row r="301" spans="1:17" x14ac:dyDescent="0.2">
      <c r="A301" t="s">
        <v>17</v>
      </c>
      <c r="B301" t="s">
        <v>62</v>
      </c>
      <c r="C301">
        <v>88</v>
      </c>
      <c r="D301">
        <v>0</v>
      </c>
      <c r="E301">
        <v>1</v>
      </c>
      <c r="F301">
        <v>1</v>
      </c>
      <c r="G301" t="s">
        <v>25</v>
      </c>
      <c r="H301" s="16">
        <v>12.4</v>
      </c>
      <c r="I301">
        <v>0</v>
      </c>
      <c r="J301">
        <v>0</v>
      </c>
      <c r="K301">
        <v>0</v>
      </c>
      <c r="L301" t="s">
        <v>27</v>
      </c>
      <c r="M301">
        <v>3</v>
      </c>
      <c r="N301" t="s">
        <v>28</v>
      </c>
      <c r="O301">
        <v>400</v>
      </c>
      <c r="P301">
        <v>70</v>
      </c>
      <c r="Q301">
        <v>15</v>
      </c>
    </row>
    <row r="302" spans="1:17" x14ac:dyDescent="0.2">
      <c r="A302" t="s">
        <v>17</v>
      </c>
      <c r="B302" t="s">
        <v>62</v>
      </c>
      <c r="C302">
        <v>88</v>
      </c>
      <c r="D302">
        <v>14</v>
      </c>
      <c r="E302">
        <v>1</v>
      </c>
      <c r="F302">
        <v>1</v>
      </c>
      <c r="G302" t="s">
        <v>25</v>
      </c>
      <c r="H302" s="16">
        <v>34</v>
      </c>
      <c r="I302">
        <v>0</v>
      </c>
      <c r="J302">
        <v>0</v>
      </c>
      <c r="K302">
        <v>0</v>
      </c>
      <c r="L302" t="s">
        <v>12</v>
      </c>
      <c r="M302">
        <v>3</v>
      </c>
      <c r="N302" t="s">
        <v>28</v>
      </c>
      <c r="O302">
        <v>400</v>
      </c>
      <c r="P302">
        <v>70</v>
      </c>
      <c r="Q302">
        <v>15</v>
      </c>
    </row>
    <row r="303" spans="1:17" x14ac:dyDescent="0.2">
      <c r="A303" t="s">
        <v>17</v>
      </c>
      <c r="B303" t="s">
        <v>62</v>
      </c>
      <c r="C303">
        <v>88</v>
      </c>
      <c r="D303">
        <v>28</v>
      </c>
      <c r="E303">
        <v>1</v>
      </c>
      <c r="F303">
        <v>1</v>
      </c>
      <c r="G303" t="s">
        <v>25</v>
      </c>
      <c r="H303" s="16">
        <v>99.8</v>
      </c>
      <c r="I303">
        <v>0</v>
      </c>
      <c r="J303">
        <v>0</v>
      </c>
      <c r="K303">
        <v>0</v>
      </c>
      <c r="L303" t="s">
        <v>27</v>
      </c>
      <c r="M303">
        <v>3</v>
      </c>
      <c r="N303" t="s">
        <v>28</v>
      </c>
      <c r="O303">
        <v>400</v>
      </c>
      <c r="P303">
        <v>70</v>
      </c>
      <c r="Q303">
        <v>15</v>
      </c>
    </row>
    <row r="304" spans="1:17" s="4" customFormat="1" x14ac:dyDescent="0.2">
      <c r="A304" s="4" t="s">
        <v>17</v>
      </c>
      <c r="B304" s="4" t="s">
        <v>62</v>
      </c>
      <c r="C304" s="4">
        <v>88</v>
      </c>
      <c r="D304" s="4">
        <v>42</v>
      </c>
      <c r="E304" s="4">
        <v>1</v>
      </c>
      <c r="F304" s="4">
        <v>1</v>
      </c>
      <c r="G304" s="4" t="s">
        <v>25</v>
      </c>
      <c r="H304" s="17">
        <v>153.69999999999999</v>
      </c>
      <c r="I304" s="4">
        <v>0</v>
      </c>
      <c r="J304" s="4">
        <v>0</v>
      </c>
      <c r="K304" s="4">
        <v>0</v>
      </c>
      <c r="L304" s="4" t="s">
        <v>12</v>
      </c>
      <c r="M304" s="4">
        <v>3</v>
      </c>
      <c r="N304" s="4" t="s">
        <v>28</v>
      </c>
      <c r="O304" s="4">
        <v>400</v>
      </c>
      <c r="P304" s="4">
        <v>70</v>
      </c>
      <c r="Q304" s="4">
        <v>15</v>
      </c>
    </row>
    <row r="305" spans="1:17" x14ac:dyDescent="0.2">
      <c r="A305" t="s">
        <v>17</v>
      </c>
      <c r="B305" t="s">
        <v>62</v>
      </c>
      <c r="C305">
        <v>89</v>
      </c>
      <c r="D305">
        <v>0</v>
      </c>
      <c r="E305">
        <v>1</v>
      </c>
      <c r="F305">
        <v>1</v>
      </c>
      <c r="G305" t="s">
        <v>25</v>
      </c>
      <c r="H305" s="16">
        <v>10.8</v>
      </c>
      <c r="I305">
        <v>0</v>
      </c>
      <c r="J305">
        <v>0</v>
      </c>
      <c r="K305">
        <v>0</v>
      </c>
      <c r="L305" t="s">
        <v>27</v>
      </c>
      <c r="M305">
        <v>3</v>
      </c>
      <c r="N305" t="s">
        <v>28</v>
      </c>
      <c r="O305">
        <v>400</v>
      </c>
      <c r="P305">
        <v>70</v>
      </c>
      <c r="Q305">
        <v>15</v>
      </c>
    </row>
    <row r="306" spans="1:17" x14ac:dyDescent="0.2">
      <c r="A306" t="s">
        <v>17</v>
      </c>
      <c r="B306" t="s">
        <v>62</v>
      </c>
      <c r="C306">
        <v>89</v>
      </c>
      <c r="D306">
        <v>14</v>
      </c>
      <c r="E306">
        <v>1</v>
      </c>
      <c r="F306">
        <v>1</v>
      </c>
      <c r="G306" t="s">
        <v>25</v>
      </c>
      <c r="H306" s="16">
        <v>36</v>
      </c>
      <c r="I306">
        <v>0</v>
      </c>
      <c r="J306">
        <v>0</v>
      </c>
      <c r="K306">
        <v>0</v>
      </c>
      <c r="L306" t="s">
        <v>12</v>
      </c>
      <c r="M306">
        <v>3</v>
      </c>
      <c r="N306" t="s">
        <v>28</v>
      </c>
      <c r="O306">
        <v>400</v>
      </c>
      <c r="P306">
        <v>70</v>
      </c>
      <c r="Q306">
        <v>15</v>
      </c>
    </row>
    <row r="307" spans="1:17" x14ac:dyDescent="0.2">
      <c r="A307" t="s">
        <v>17</v>
      </c>
      <c r="B307" t="s">
        <v>62</v>
      </c>
      <c r="C307">
        <v>89</v>
      </c>
      <c r="D307">
        <v>28</v>
      </c>
      <c r="E307">
        <v>1</v>
      </c>
      <c r="F307">
        <v>1</v>
      </c>
      <c r="G307" t="s">
        <v>25</v>
      </c>
      <c r="H307" s="16">
        <v>104.4</v>
      </c>
      <c r="I307">
        <v>0</v>
      </c>
      <c r="J307">
        <v>0</v>
      </c>
      <c r="K307">
        <v>0</v>
      </c>
      <c r="L307" t="s">
        <v>27</v>
      </c>
      <c r="M307">
        <v>3</v>
      </c>
      <c r="N307" t="s">
        <v>28</v>
      </c>
      <c r="O307">
        <v>400</v>
      </c>
      <c r="P307">
        <v>70</v>
      </c>
      <c r="Q307">
        <v>15</v>
      </c>
    </row>
    <row r="308" spans="1:17" s="4" customFormat="1" x14ac:dyDescent="0.2">
      <c r="A308" s="4" t="s">
        <v>17</v>
      </c>
      <c r="B308" s="4" t="s">
        <v>62</v>
      </c>
      <c r="C308" s="4">
        <v>89</v>
      </c>
      <c r="D308" s="4">
        <v>42</v>
      </c>
      <c r="E308" s="4">
        <v>1</v>
      </c>
      <c r="F308" s="4">
        <v>1</v>
      </c>
      <c r="G308" s="4" t="s">
        <v>25</v>
      </c>
      <c r="H308" s="17">
        <v>161.9</v>
      </c>
      <c r="I308" s="4">
        <v>0</v>
      </c>
      <c r="J308" s="4">
        <v>0</v>
      </c>
      <c r="K308" s="4">
        <v>0</v>
      </c>
      <c r="L308" s="4" t="s">
        <v>12</v>
      </c>
      <c r="M308" s="4">
        <v>3</v>
      </c>
      <c r="N308" s="4" t="s">
        <v>28</v>
      </c>
      <c r="O308" s="4">
        <v>400</v>
      </c>
      <c r="P308" s="4">
        <v>70</v>
      </c>
      <c r="Q308" s="4">
        <v>15</v>
      </c>
    </row>
    <row r="309" spans="1:17" x14ac:dyDescent="0.2">
      <c r="A309" t="s">
        <v>17</v>
      </c>
      <c r="B309" t="s">
        <v>62</v>
      </c>
      <c r="C309">
        <v>90</v>
      </c>
      <c r="D309">
        <v>0</v>
      </c>
      <c r="E309">
        <v>1</v>
      </c>
      <c r="F309">
        <v>1</v>
      </c>
      <c r="G309" t="s">
        <v>25</v>
      </c>
      <c r="H309" s="16">
        <v>11.8</v>
      </c>
      <c r="I309">
        <v>0</v>
      </c>
      <c r="J309">
        <v>0</v>
      </c>
      <c r="K309">
        <v>0</v>
      </c>
      <c r="L309" t="s">
        <v>27</v>
      </c>
      <c r="M309">
        <v>3</v>
      </c>
      <c r="N309" t="s">
        <v>28</v>
      </c>
      <c r="O309">
        <v>400</v>
      </c>
      <c r="P309">
        <v>70</v>
      </c>
      <c r="Q309">
        <v>15</v>
      </c>
    </row>
    <row r="310" spans="1:17" x14ac:dyDescent="0.2">
      <c r="A310" t="s">
        <v>17</v>
      </c>
      <c r="B310" t="s">
        <v>62</v>
      </c>
      <c r="C310">
        <v>90</v>
      </c>
      <c r="D310">
        <v>14</v>
      </c>
      <c r="E310">
        <v>1</v>
      </c>
      <c r="F310">
        <v>1</v>
      </c>
      <c r="G310" t="s">
        <v>25</v>
      </c>
      <c r="H310" s="16">
        <v>30.9</v>
      </c>
      <c r="I310">
        <v>0</v>
      </c>
      <c r="J310">
        <v>0</v>
      </c>
      <c r="K310">
        <v>0</v>
      </c>
      <c r="L310" t="s">
        <v>12</v>
      </c>
      <c r="M310">
        <v>3</v>
      </c>
      <c r="N310" t="s">
        <v>28</v>
      </c>
      <c r="O310">
        <v>400</v>
      </c>
      <c r="P310">
        <v>70</v>
      </c>
      <c r="Q310">
        <v>15</v>
      </c>
    </row>
    <row r="311" spans="1:17" x14ac:dyDescent="0.2">
      <c r="A311" t="s">
        <v>17</v>
      </c>
      <c r="B311" t="s">
        <v>62</v>
      </c>
      <c r="C311">
        <v>90</v>
      </c>
      <c r="D311">
        <v>28</v>
      </c>
      <c r="E311">
        <v>1</v>
      </c>
      <c r="F311">
        <v>1</v>
      </c>
      <c r="G311" t="s">
        <v>25</v>
      </c>
      <c r="H311" s="16">
        <v>80.8</v>
      </c>
      <c r="I311">
        <v>0</v>
      </c>
      <c r="J311">
        <v>0</v>
      </c>
      <c r="K311">
        <v>0</v>
      </c>
      <c r="L311" t="s">
        <v>27</v>
      </c>
      <c r="M311">
        <v>3</v>
      </c>
      <c r="N311" t="s">
        <v>28</v>
      </c>
      <c r="O311">
        <v>400</v>
      </c>
      <c r="P311">
        <v>70</v>
      </c>
      <c r="Q311">
        <v>15</v>
      </c>
    </row>
    <row r="312" spans="1:17" s="4" customFormat="1" x14ac:dyDescent="0.2">
      <c r="A312" s="4" t="s">
        <v>17</v>
      </c>
      <c r="B312" s="4" t="s">
        <v>62</v>
      </c>
      <c r="C312" s="4">
        <v>90</v>
      </c>
      <c r="D312" s="4">
        <v>42</v>
      </c>
      <c r="E312" s="4">
        <v>1</v>
      </c>
      <c r="F312" s="4">
        <v>1</v>
      </c>
      <c r="G312" s="4" t="s">
        <v>25</v>
      </c>
      <c r="H312" s="17">
        <v>130.5</v>
      </c>
      <c r="I312" s="4">
        <v>0</v>
      </c>
      <c r="J312" s="4">
        <v>0</v>
      </c>
      <c r="K312" s="4">
        <v>0</v>
      </c>
      <c r="L312" s="4" t="s">
        <v>12</v>
      </c>
      <c r="M312" s="4">
        <v>3</v>
      </c>
      <c r="N312" s="4" t="s">
        <v>28</v>
      </c>
      <c r="O312" s="4">
        <v>400</v>
      </c>
      <c r="P312" s="4">
        <v>70</v>
      </c>
      <c r="Q312" s="4">
        <v>15</v>
      </c>
    </row>
    <row r="313" spans="1:17" x14ac:dyDescent="0.2">
      <c r="A313" t="s">
        <v>17</v>
      </c>
      <c r="B313" t="s">
        <v>62</v>
      </c>
      <c r="C313">
        <v>91</v>
      </c>
      <c r="D313">
        <v>0</v>
      </c>
      <c r="E313">
        <v>1</v>
      </c>
      <c r="F313">
        <v>1</v>
      </c>
      <c r="G313" t="s">
        <v>25</v>
      </c>
      <c r="H313" s="16">
        <v>8.8000000000000007</v>
      </c>
      <c r="I313">
        <v>0</v>
      </c>
      <c r="J313">
        <v>0</v>
      </c>
      <c r="K313">
        <v>0</v>
      </c>
      <c r="L313" t="s">
        <v>27</v>
      </c>
      <c r="M313">
        <v>3</v>
      </c>
      <c r="N313" t="s">
        <v>28</v>
      </c>
      <c r="O313">
        <v>400</v>
      </c>
      <c r="P313">
        <v>70</v>
      </c>
      <c r="Q313">
        <v>15</v>
      </c>
    </row>
    <row r="314" spans="1:17" x14ac:dyDescent="0.2">
      <c r="A314" t="s">
        <v>17</v>
      </c>
      <c r="B314" t="s">
        <v>62</v>
      </c>
      <c r="C314">
        <v>91</v>
      </c>
      <c r="D314">
        <v>14</v>
      </c>
      <c r="E314">
        <v>1</v>
      </c>
      <c r="F314">
        <v>1</v>
      </c>
      <c r="G314" t="s">
        <v>25</v>
      </c>
      <c r="H314" s="16">
        <v>27.1</v>
      </c>
      <c r="I314">
        <v>0</v>
      </c>
      <c r="J314">
        <v>0</v>
      </c>
      <c r="K314">
        <v>0</v>
      </c>
      <c r="L314" t="s">
        <v>12</v>
      </c>
      <c r="M314">
        <v>3</v>
      </c>
      <c r="N314" t="s">
        <v>28</v>
      </c>
      <c r="O314">
        <v>400</v>
      </c>
      <c r="P314">
        <v>70</v>
      </c>
      <c r="Q314">
        <v>15</v>
      </c>
    </row>
    <row r="315" spans="1:17" x14ac:dyDescent="0.2">
      <c r="A315" t="s">
        <v>17</v>
      </c>
      <c r="B315" t="s">
        <v>62</v>
      </c>
      <c r="C315">
        <v>91</v>
      </c>
      <c r="D315">
        <v>28</v>
      </c>
      <c r="E315">
        <v>1</v>
      </c>
      <c r="F315">
        <v>1</v>
      </c>
      <c r="G315" t="s">
        <v>25</v>
      </c>
      <c r="H315" s="16">
        <v>74.7</v>
      </c>
      <c r="I315">
        <v>0</v>
      </c>
      <c r="J315">
        <v>0</v>
      </c>
      <c r="K315">
        <v>0</v>
      </c>
      <c r="L315" t="s">
        <v>27</v>
      </c>
      <c r="M315">
        <v>3</v>
      </c>
      <c r="N315" t="s">
        <v>28</v>
      </c>
      <c r="O315">
        <v>400</v>
      </c>
      <c r="P315">
        <v>70</v>
      </c>
      <c r="Q315">
        <v>15</v>
      </c>
    </row>
    <row r="316" spans="1:17" x14ac:dyDescent="0.2">
      <c r="A316" t="s">
        <v>17</v>
      </c>
      <c r="B316" t="s">
        <v>62</v>
      </c>
      <c r="C316">
        <v>91</v>
      </c>
      <c r="D316">
        <v>42</v>
      </c>
      <c r="E316">
        <v>1</v>
      </c>
      <c r="F316">
        <v>1</v>
      </c>
      <c r="G316" t="s">
        <v>25</v>
      </c>
      <c r="H316" s="16">
        <v>105.1</v>
      </c>
      <c r="I316">
        <v>0</v>
      </c>
      <c r="J316">
        <v>0</v>
      </c>
      <c r="K316">
        <v>0</v>
      </c>
      <c r="L316" t="s">
        <v>12</v>
      </c>
      <c r="M316">
        <v>3</v>
      </c>
      <c r="N316" t="s">
        <v>28</v>
      </c>
      <c r="O316">
        <v>400</v>
      </c>
      <c r="P316">
        <v>70</v>
      </c>
      <c r="Q316">
        <v>15</v>
      </c>
    </row>
  </sheetData>
  <autoFilter ref="A1:Q316" xr:uid="{B6EABC8A-6E62-324D-98FD-CEF8E6D4A18A}">
    <sortState xmlns:xlrd2="http://schemas.microsoft.com/office/spreadsheetml/2017/richdata2" ref="A2:Q316">
      <sortCondition ref="C2:C316"/>
    </sortState>
  </autoFilter>
  <conditionalFormatting sqref="G1">
    <cfRule type="cellIs" dxfId="53" priority="11" operator="equal">
      <formula>"J"</formula>
    </cfRule>
    <cfRule type="cellIs" dxfId="52" priority="12" operator="equal">
      <formula>"A"</formula>
    </cfRule>
  </conditionalFormatting>
  <conditionalFormatting sqref="G1">
    <cfRule type="cellIs" dxfId="51" priority="9" operator="equal">
      <formula>"J"</formula>
    </cfRule>
    <cfRule type="cellIs" dxfId="50" priority="10" operator="equal">
      <formula>"A"</formula>
    </cfRule>
  </conditionalFormatting>
  <conditionalFormatting sqref="G1">
    <cfRule type="cellIs" dxfId="49" priority="7" operator="equal">
      <formula>"A"</formula>
    </cfRule>
    <cfRule type="cellIs" dxfId="48" priority="8" operator="equal">
      <formula>"J"</formula>
    </cfRule>
  </conditionalFormatting>
  <conditionalFormatting sqref="G1">
    <cfRule type="cellIs" dxfId="47" priority="5" operator="equal">
      <formula>"J"</formula>
    </cfRule>
    <cfRule type="cellIs" dxfId="46" priority="6" operator="equal">
      <formula>"A"</formula>
    </cfRule>
  </conditionalFormatting>
  <conditionalFormatting sqref="G1">
    <cfRule type="cellIs" dxfId="45" priority="3" operator="equal">
      <formula>"J"</formula>
    </cfRule>
    <cfRule type="cellIs" dxfId="44" priority="4" operator="equal">
      <formula>"A"</formula>
    </cfRule>
  </conditionalFormatting>
  <conditionalFormatting sqref="G1:G1048576 I2:K316 M2:M316 O2:Q316">
    <cfRule type="cellIs" dxfId="43" priority="1" operator="equal">
      <formula>"J"</formula>
    </cfRule>
    <cfRule type="cellIs" dxfId="42" priority="2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E6D5-80F9-F549-9332-26E2B35A0260}">
  <dimension ref="A1:Q151"/>
  <sheetViews>
    <sheetView workbookViewId="0">
      <pane ySplit="1" topLeftCell="A2" activePane="bottomLeft" state="frozen"/>
      <selection pane="bottomLeft" activeCell="J158" sqref="J158"/>
    </sheetView>
  </sheetViews>
  <sheetFormatPr baseColWidth="10" defaultRowHeight="16" x14ac:dyDescent="0.2"/>
  <sheetData>
    <row r="1" spans="1:17" s="11" customFormat="1" x14ac:dyDescent="0.2">
      <c r="A1" s="11" t="s">
        <v>0</v>
      </c>
      <c r="B1" s="11" t="s">
        <v>1</v>
      </c>
      <c r="C1" s="12" t="s">
        <v>3</v>
      </c>
      <c r="D1" s="13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9</v>
      </c>
      <c r="J1" s="11" t="s">
        <v>10</v>
      </c>
      <c r="K1" s="11" t="s">
        <v>8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">
      <c r="A2" t="s">
        <v>64</v>
      </c>
      <c r="B2" t="s">
        <v>63</v>
      </c>
      <c r="C2">
        <v>1</v>
      </c>
      <c r="D2">
        <v>0</v>
      </c>
      <c r="E2">
        <v>1</v>
      </c>
      <c r="F2">
        <v>1</v>
      </c>
      <c r="G2" t="s">
        <v>25</v>
      </c>
      <c r="H2">
        <v>4.4000000000000004</v>
      </c>
      <c r="I2">
        <v>0</v>
      </c>
      <c r="J2">
        <v>0</v>
      </c>
      <c r="K2">
        <v>0</v>
      </c>
      <c r="L2" t="s">
        <v>27</v>
      </c>
      <c r="M2">
        <v>3</v>
      </c>
      <c r="N2" t="s">
        <v>65</v>
      </c>
      <c r="O2">
        <v>50</v>
      </c>
      <c r="P2">
        <v>70</v>
      </c>
      <c r="Q2">
        <v>15</v>
      </c>
    </row>
    <row r="3" spans="1:17" x14ac:dyDescent="0.2">
      <c r="A3" t="s">
        <v>64</v>
      </c>
      <c r="B3" t="s">
        <v>63</v>
      </c>
      <c r="C3">
        <v>1</v>
      </c>
      <c r="D3">
        <v>14</v>
      </c>
      <c r="E3">
        <v>1</v>
      </c>
      <c r="F3">
        <v>1</v>
      </c>
      <c r="G3" t="s">
        <v>66</v>
      </c>
      <c r="I3">
        <v>0</v>
      </c>
      <c r="J3">
        <v>0</v>
      </c>
      <c r="K3">
        <v>0</v>
      </c>
      <c r="L3" t="s">
        <v>12</v>
      </c>
      <c r="M3">
        <v>3</v>
      </c>
      <c r="N3" t="s">
        <v>65</v>
      </c>
      <c r="O3">
        <v>50</v>
      </c>
      <c r="P3">
        <v>70</v>
      </c>
      <c r="Q3">
        <v>15</v>
      </c>
    </row>
    <row r="4" spans="1:17" x14ac:dyDescent="0.2">
      <c r="A4" t="s">
        <v>64</v>
      </c>
      <c r="B4" t="s">
        <v>63</v>
      </c>
      <c r="C4">
        <v>1</v>
      </c>
      <c r="D4">
        <v>28</v>
      </c>
      <c r="E4">
        <v>1</v>
      </c>
      <c r="F4">
        <v>1</v>
      </c>
      <c r="G4" t="s">
        <v>66</v>
      </c>
      <c r="I4">
        <v>0</v>
      </c>
      <c r="J4">
        <v>0</v>
      </c>
      <c r="K4">
        <v>0</v>
      </c>
      <c r="L4" t="s">
        <v>27</v>
      </c>
      <c r="M4">
        <v>3</v>
      </c>
      <c r="N4" t="s">
        <v>65</v>
      </c>
      <c r="O4">
        <v>200</v>
      </c>
      <c r="P4">
        <v>70</v>
      </c>
      <c r="Q4">
        <v>15</v>
      </c>
    </row>
    <row r="5" spans="1:17" x14ac:dyDescent="0.2">
      <c r="A5" t="s">
        <v>64</v>
      </c>
      <c r="B5" t="s">
        <v>63</v>
      </c>
      <c r="C5">
        <v>1</v>
      </c>
      <c r="D5">
        <v>42</v>
      </c>
      <c r="E5">
        <v>1</v>
      </c>
      <c r="F5">
        <v>1</v>
      </c>
      <c r="G5" t="s">
        <v>66</v>
      </c>
      <c r="I5">
        <v>0</v>
      </c>
      <c r="J5">
        <v>0</v>
      </c>
      <c r="K5">
        <v>0</v>
      </c>
      <c r="L5" t="s">
        <v>12</v>
      </c>
      <c r="M5">
        <v>1</v>
      </c>
      <c r="N5" t="s">
        <v>65</v>
      </c>
      <c r="O5">
        <v>200</v>
      </c>
      <c r="P5">
        <v>70</v>
      </c>
      <c r="Q5">
        <v>15</v>
      </c>
    </row>
    <row r="6" spans="1:17" s="4" customFormat="1" x14ac:dyDescent="0.2">
      <c r="A6" s="4" t="s">
        <v>64</v>
      </c>
      <c r="B6" s="4" t="s">
        <v>63</v>
      </c>
      <c r="C6" s="4">
        <v>1</v>
      </c>
      <c r="D6" s="4">
        <v>56</v>
      </c>
      <c r="E6" s="4">
        <v>1</v>
      </c>
      <c r="F6" s="4">
        <v>1</v>
      </c>
      <c r="G6" s="4" t="s">
        <v>66</v>
      </c>
      <c r="I6" s="4">
        <v>0</v>
      </c>
      <c r="J6" s="4">
        <v>0</v>
      </c>
      <c r="K6" s="4">
        <v>0</v>
      </c>
      <c r="L6" s="4" t="s">
        <v>27</v>
      </c>
      <c r="M6" s="4">
        <v>1</v>
      </c>
      <c r="N6" s="4" t="s">
        <v>65</v>
      </c>
      <c r="O6" s="4">
        <v>200</v>
      </c>
      <c r="P6" s="4">
        <v>70</v>
      </c>
      <c r="Q6" s="4">
        <v>15</v>
      </c>
    </row>
    <row r="7" spans="1:17" x14ac:dyDescent="0.2">
      <c r="A7" t="s">
        <v>64</v>
      </c>
      <c r="B7" t="s">
        <v>63</v>
      </c>
      <c r="C7">
        <v>2</v>
      </c>
      <c r="D7">
        <v>0</v>
      </c>
      <c r="E7">
        <v>1</v>
      </c>
      <c r="F7">
        <v>1</v>
      </c>
      <c r="G7" t="s">
        <v>25</v>
      </c>
      <c r="H7">
        <v>7.1</v>
      </c>
      <c r="I7">
        <v>0</v>
      </c>
      <c r="J7">
        <v>0</v>
      </c>
      <c r="K7">
        <v>0</v>
      </c>
      <c r="L7" t="s">
        <v>27</v>
      </c>
      <c r="M7">
        <v>3</v>
      </c>
      <c r="N7" t="s">
        <v>65</v>
      </c>
      <c r="O7">
        <v>50</v>
      </c>
      <c r="P7">
        <v>70</v>
      </c>
      <c r="Q7">
        <v>15</v>
      </c>
    </row>
    <row r="8" spans="1:17" x14ac:dyDescent="0.2">
      <c r="A8" t="s">
        <v>64</v>
      </c>
      <c r="B8" t="s">
        <v>63</v>
      </c>
      <c r="C8">
        <v>2</v>
      </c>
      <c r="D8">
        <v>14</v>
      </c>
      <c r="E8">
        <v>1</v>
      </c>
      <c r="F8">
        <v>1</v>
      </c>
      <c r="G8" t="s">
        <v>25</v>
      </c>
      <c r="H8">
        <v>18.2</v>
      </c>
      <c r="I8">
        <v>0</v>
      </c>
      <c r="J8">
        <v>0</v>
      </c>
      <c r="K8">
        <v>0</v>
      </c>
      <c r="L8" t="s">
        <v>12</v>
      </c>
      <c r="M8">
        <v>3</v>
      </c>
      <c r="N8" t="s">
        <v>65</v>
      </c>
      <c r="O8">
        <v>50</v>
      </c>
      <c r="P8">
        <v>70</v>
      </c>
      <c r="Q8">
        <v>15</v>
      </c>
    </row>
    <row r="9" spans="1:17" x14ac:dyDescent="0.2">
      <c r="A9" t="s">
        <v>64</v>
      </c>
      <c r="B9" t="s">
        <v>63</v>
      </c>
      <c r="C9">
        <v>2</v>
      </c>
      <c r="D9">
        <v>28</v>
      </c>
      <c r="E9">
        <v>1</v>
      </c>
      <c r="F9">
        <v>1</v>
      </c>
      <c r="G9" t="s">
        <v>25</v>
      </c>
      <c r="H9">
        <v>61.8</v>
      </c>
      <c r="I9">
        <v>0</v>
      </c>
      <c r="J9">
        <v>0</v>
      </c>
      <c r="K9">
        <v>0</v>
      </c>
      <c r="L9" t="s">
        <v>27</v>
      </c>
      <c r="M9">
        <v>3</v>
      </c>
      <c r="N9" t="s">
        <v>65</v>
      </c>
      <c r="O9">
        <v>200</v>
      </c>
      <c r="P9">
        <v>70</v>
      </c>
      <c r="Q9">
        <v>15</v>
      </c>
    </row>
    <row r="10" spans="1:17" x14ac:dyDescent="0.2">
      <c r="A10" t="s">
        <v>64</v>
      </c>
      <c r="B10" t="s">
        <v>63</v>
      </c>
      <c r="C10">
        <v>2</v>
      </c>
      <c r="D10">
        <v>42</v>
      </c>
      <c r="E10">
        <v>1</v>
      </c>
      <c r="F10">
        <v>1</v>
      </c>
      <c r="G10" t="s">
        <v>25</v>
      </c>
      <c r="H10">
        <v>108.9</v>
      </c>
      <c r="I10">
        <v>0</v>
      </c>
      <c r="J10">
        <v>0</v>
      </c>
      <c r="K10">
        <v>0</v>
      </c>
      <c r="L10" t="s">
        <v>12</v>
      </c>
      <c r="M10">
        <v>1</v>
      </c>
      <c r="N10" t="s">
        <v>65</v>
      </c>
      <c r="O10">
        <v>200</v>
      </c>
      <c r="P10">
        <v>70</v>
      </c>
      <c r="Q10">
        <v>15</v>
      </c>
    </row>
    <row r="11" spans="1:17" s="4" customFormat="1" x14ac:dyDescent="0.2">
      <c r="A11" s="4" t="s">
        <v>64</v>
      </c>
      <c r="B11" s="4" t="s">
        <v>63</v>
      </c>
      <c r="C11" s="4">
        <v>2</v>
      </c>
      <c r="D11" s="4">
        <v>56</v>
      </c>
      <c r="E11" s="4">
        <v>1</v>
      </c>
      <c r="F11" s="4">
        <v>1</v>
      </c>
      <c r="G11" s="4" t="s">
        <v>25</v>
      </c>
      <c r="H11" s="4">
        <v>341.8</v>
      </c>
      <c r="I11" s="4">
        <v>0</v>
      </c>
      <c r="J11" s="4">
        <v>0</v>
      </c>
      <c r="K11" s="4">
        <v>0</v>
      </c>
      <c r="L11" s="4" t="s">
        <v>27</v>
      </c>
      <c r="M11" s="4">
        <v>1</v>
      </c>
      <c r="N11" s="4" t="s">
        <v>65</v>
      </c>
      <c r="O11" s="4">
        <v>200</v>
      </c>
      <c r="P11" s="4">
        <v>70</v>
      </c>
      <c r="Q11" s="4">
        <v>15</v>
      </c>
    </row>
    <row r="12" spans="1:17" x14ac:dyDescent="0.2">
      <c r="A12" t="s">
        <v>64</v>
      </c>
      <c r="B12" t="s">
        <v>63</v>
      </c>
      <c r="C12">
        <v>3</v>
      </c>
      <c r="D12">
        <v>0</v>
      </c>
      <c r="E12">
        <v>1</v>
      </c>
      <c r="F12">
        <v>1</v>
      </c>
      <c r="G12" t="s">
        <v>25</v>
      </c>
      <c r="H12">
        <v>8.1</v>
      </c>
      <c r="I12">
        <v>0</v>
      </c>
      <c r="J12">
        <v>0</v>
      </c>
      <c r="K12">
        <v>0</v>
      </c>
      <c r="L12" t="s">
        <v>27</v>
      </c>
      <c r="M12">
        <v>3</v>
      </c>
      <c r="N12" t="s">
        <v>65</v>
      </c>
      <c r="O12">
        <v>50</v>
      </c>
      <c r="P12">
        <v>70</v>
      </c>
      <c r="Q12">
        <v>15</v>
      </c>
    </row>
    <row r="13" spans="1:17" x14ac:dyDescent="0.2">
      <c r="A13" t="s">
        <v>64</v>
      </c>
      <c r="B13" t="s">
        <v>63</v>
      </c>
      <c r="C13">
        <v>3</v>
      </c>
      <c r="D13">
        <v>14</v>
      </c>
      <c r="E13">
        <v>1</v>
      </c>
      <c r="F13">
        <v>1</v>
      </c>
      <c r="G13" t="s">
        <v>25</v>
      </c>
      <c r="H13">
        <v>23.6</v>
      </c>
      <c r="I13">
        <v>0</v>
      </c>
      <c r="J13">
        <v>0</v>
      </c>
      <c r="K13">
        <v>0</v>
      </c>
      <c r="L13" t="s">
        <v>12</v>
      </c>
      <c r="M13">
        <v>3</v>
      </c>
      <c r="N13" t="s">
        <v>65</v>
      </c>
      <c r="O13">
        <v>50</v>
      </c>
      <c r="P13">
        <v>70</v>
      </c>
      <c r="Q13">
        <v>15</v>
      </c>
    </row>
    <row r="14" spans="1:17" x14ac:dyDescent="0.2">
      <c r="A14" t="s">
        <v>64</v>
      </c>
      <c r="B14" t="s">
        <v>63</v>
      </c>
      <c r="C14">
        <v>3</v>
      </c>
      <c r="D14">
        <v>28</v>
      </c>
      <c r="E14">
        <v>1</v>
      </c>
      <c r="F14">
        <v>1</v>
      </c>
      <c r="G14" t="s">
        <v>25</v>
      </c>
      <c r="H14">
        <v>70.400000000000006</v>
      </c>
      <c r="I14">
        <v>0</v>
      </c>
      <c r="J14">
        <v>0</v>
      </c>
      <c r="K14">
        <v>0</v>
      </c>
      <c r="L14" t="s">
        <v>27</v>
      </c>
      <c r="M14">
        <v>3</v>
      </c>
      <c r="N14" t="s">
        <v>65</v>
      </c>
      <c r="O14">
        <v>200</v>
      </c>
      <c r="P14">
        <v>70</v>
      </c>
      <c r="Q14">
        <v>15</v>
      </c>
    </row>
    <row r="15" spans="1:17" x14ac:dyDescent="0.2">
      <c r="A15" t="s">
        <v>64</v>
      </c>
      <c r="B15" t="s">
        <v>63</v>
      </c>
      <c r="C15">
        <v>3</v>
      </c>
      <c r="D15">
        <v>42</v>
      </c>
      <c r="E15">
        <v>1</v>
      </c>
      <c r="F15">
        <v>1</v>
      </c>
      <c r="G15" t="s">
        <v>25</v>
      </c>
      <c r="H15">
        <v>126.4</v>
      </c>
      <c r="I15">
        <v>0</v>
      </c>
      <c r="J15">
        <v>0</v>
      </c>
      <c r="K15">
        <v>0</v>
      </c>
      <c r="L15" t="s">
        <v>12</v>
      </c>
      <c r="M15">
        <v>1</v>
      </c>
      <c r="N15" t="s">
        <v>65</v>
      </c>
      <c r="O15">
        <v>200</v>
      </c>
      <c r="P15">
        <v>70</v>
      </c>
      <c r="Q15">
        <v>15</v>
      </c>
    </row>
    <row r="16" spans="1:17" s="4" customFormat="1" x14ac:dyDescent="0.2">
      <c r="A16" s="4" t="s">
        <v>64</v>
      </c>
      <c r="B16" s="4" t="s">
        <v>63</v>
      </c>
      <c r="C16" s="4">
        <v>3</v>
      </c>
      <c r="D16" s="4">
        <v>56</v>
      </c>
      <c r="E16" s="4">
        <v>1</v>
      </c>
      <c r="F16" s="4">
        <v>1</v>
      </c>
      <c r="G16" s="4" t="s">
        <v>25</v>
      </c>
      <c r="H16" s="4">
        <v>323.2</v>
      </c>
      <c r="I16" s="4">
        <v>0</v>
      </c>
      <c r="J16" s="4">
        <v>0</v>
      </c>
      <c r="K16" s="4">
        <v>0</v>
      </c>
      <c r="L16" s="4" t="s">
        <v>27</v>
      </c>
      <c r="M16" s="4">
        <v>1</v>
      </c>
      <c r="N16" s="4" t="s">
        <v>65</v>
      </c>
      <c r="O16" s="4">
        <v>200</v>
      </c>
      <c r="P16" s="4">
        <v>70</v>
      </c>
      <c r="Q16" s="4">
        <v>15</v>
      </c>
    </row>
    <row r="17" spans="1:17" x14ac:dyDescent="0.2">
      <c r="A17" t="s">
        <v>64</v>
      </c>
      <c r="B17" t="s">
        <v>63</v>
      </c>
      <c r="C17">
        <v>4</v>
      </c>
      <c r="D17">
        <v>0</v>
      </c>
      <c r="E17">
        <v>1</v>
      </c>
      <c r="F17">
        <v>1</v>
      </c>
      <c r="G17" t="s">
        <v>25</v>
      </c>
      <c r="H17">
        <v>8.1999999999999993</v>
      </c>
      <c r="I17">
        <v>0</v>
      </c>
      <c r="J17">
        <v>0</v>
      </c>
      <c r="K17">
        <v>0</v>
      </c>
      <c r="L17" t="s">
        <v>27</v>
      </c>
      <c r="M17">
        <v>3</v>
      </c>
      <c r="N17" t="s">
        <v>65</v>
      </c>
      <c r="O17">
        <v>50</v>
      </c>
      <c r="P17">
        <v>70</v>
      </c>
      <c r="Q17">
        <v>15</v>
      </c>
    </row>
    <row r="18" spans="1:17" x14ac:dyDescent="0.2">
      <c r="A18" t="s">
        <v>64</v>
      </c>
      <c r="B18" t="s">
        <v>63</v>
      </c>
      <c r="C18">
        <v>4</v>
      </c>
      <c r="D18">
        <v>14</v>
      </c>
      <c r="E18">
        <v>1</v>
      </c>
      <c r="F18">
        <v>1</v>
      </c>
      <c r="G18" t="s">
        <v>25</v>
      </c>
      <c r="H18">
        <v>25.6</v>
      </c>
      <c r="I18">
        <v>0</v>
      </c>
      <c r="J18">
        <v>0</v>
      </c>
      <c r="K18">
        <v>0</v>
      </c>
      <c r="L18" t="s">
        <v>12</v>
      </c>
      <c r="M18">
        <v>3</v>
      </c>
      <c r="N18" t="s">
        <v>65</v>
      </c>
      <c r="O18">
        <v>50</v>
      </c>
      <c r="P18">
        <v>70</v>
      </c>
      <c r="Q18">
        <v>15</v>
      </c>
    </row>
    <row r="19" spans="1:17" x14ac:dyDescent="0.2">
      <c r="A19" t="s">
        <v>64</v>
      </c>
      <c r="B19" t="s">
        <v>63</v>
      </c>
      <c r="C19">
        <v>4</v>
      </c>
      <c r="D19">
        <v>28</v>
      </c>
      <c r="E19">
        <v>1</v>
      </c>
      <c r="F19">
        <v>1</v>
      </c>
      <c r="G19" t="s">
        <v>25</v>
      </c>
      <c r="H19">
        <v>90.7</v>
      </c>
      <c r="I19">
        <v>0</v>
      </c>
      <c r="J19">
        <v>0</v>
      </c>
      <c r="K19">
        <v>0</v>
      </c>
      <c r="L19" t="s">
        <v>27</v>
      </c>
      <c r="M19">
        <v>3</v>
      </c>
      <c r="N19" t="s">
        <v>65</v>
      </c>
      <c r="O19">
        <v>200</v>
      </c>
      <c r="P19">
        <v>70</v>
      </c>
      <c r="Q19">
        <v>15</v>
      </c>
    </row>
    <row r="20" spans="1:17" x14ac:dyDescent="0.2">
      <c r="A20" t="s">
        <v>64</v>
      </c>
      <c r="B20" t="s">
        <v>63</v>
      </c>
      <c r="C20">
        <v>4</v>
      </c>
      <c r="D20">
        <v>42</v>
      </c>
      <c r="E20">
        <v>1</v>
      </c>
      <c r="F20">
        <v>1</v>
      </c>
      <c r="G20" t="s">
        <v>25</v>
      </c>
      <c r="H20">
        <v>142.5</v>
      </c>
      <c r="I20">
        <v>0</v>
      </c>
      <c r="J20">
        <v>0</v>
      </c>
      <c r="K20">
        <v>0</v>
      </c>
      <c r="L20" t="s">
        <v>12</v>
      </c>
      <c r="M20">
        <v>1</v>
      </c>
      <c r="N20" t="s">
        <v>65</v>
      </c>
      <c r="O20">
        <v>200</v>
      </c>
      <c r="P20">
        <v>70</v>
      </c>
      <c r="Q20">
        <v>15</v>
      </c>
    </row>
    <row r="21" spans="1:17" s="4" customFormat="1" x14ac:dyDescent="0.2">
      <c r="A21" s="4" t="s">
        <v>64</v>
      </c>
      <c r="B21" s="4" t="s">
        <v>63</v>
      </c>
      <c r="C21" s="4">
        <v>4</v>
      </c>
      <c r="D21" s="4">
        <v>56</v>
      </c>
      <c r="E21" s="4">
        <v>1</v>
      </c>
      <c r="F21" s="4">
        <v>1</v>
      </c>
      <c r="G21" s="4" t="s">
        <v>25</v>
      </c>
      <c r="H21" s="4">
        <v>326</v>
      </c>
      <c r="I21" s="4">
        <v>0</v>
      </c>
      <c r="J21" s="4">
        <v>0</v>
      </c>
      <c r="K21" s="4">
        <v>0</v>
      </c>
      <c r="L21" s="4" t="s">
        <v>27</v>
      </c>
      <c r="M21" s="4">
        <v>1</v>
      </c>
      <c r="N21" s="4" t="s">
        <v>65</v>
      </c>
      <c r="O21" s="4">
        <v>200</v>
      </c>
      <c r="P21" s="4">
        <v>70</v>
      </c>
      <c r="Q21" s="4">
        <v>15</v>
      </c>
    </row>
    <row r="22" spans="1:17" x14ac:dyDescent="0.2">
      <c r="A22" t="s">
        <v>64</v>
      </c>
      <c r="B22" t="s">
        <v>63</v>
      </c>
      <c r="C22">
        <v>5</v>
      </c>
      <c r="D22">
        <v>0</v>
      </c>
      <c r="E22">
        <v>1</v>
      </c>
      <c r="F22">
        <v>1</v>
      </c>
      <c r="G22" t="s">
        <v>25</v>
      </c>
      <c r="H22">
        <v>9</v>
      </c>
      <c r="I22">
        <v>0</v>
      </c>
      <c r="J22">
        <v>0</v>
      </c>
      <c r="K22">
        <v>0</v>
      </c>
      <c r="L22" t="s">
        <v>27</v>
      </c>
      <c r="M22">
        <v>3</v>
      </c>
      <c r="N22" t="s">
        <v>65</v>
      </c>
      <c r="O22">
        <v>50</v>
      </c>
      <c r="P22">
        <v>70</v>
      </c>
      <c r="Q22">
        <v>15</v>
      </c>
    </row>
    <row r="23" spans="1:17" x14ac:dyDescent="0.2">
      <c r="A23" t="s">
        <v>64</v>
      </c>
      <c r="B23" t="s">
        <v>63</v>
      </c>
      <c r="C23">
        <v>5</v>
      </c>
      <c r="D23">
        <v>14</v>
      </c>
      <c r="E23">
        <v>1</v>
      </c>
      <c r="F23">
        <v>1</v>
      </c>
      <c r="G23" t="s">
        <v>25</v>
      </c>
      <c r="H23">
        <v>30.4</v>
      </c>
      <c r="I23">
        <v>0</v>
      </c>
      <c r="J23">
        <v>0</v>
      </c>
      <c r="K23">
        <v>0</v>
      </c>
      <c r="L23" t="s">
        <v>12</v>
      </c>
      <c r="M23">
        <v>3</v>
      </c>
      <c r="N23" t="s">
        <v>65</v>
      </c>
      <c r="O23">
        <v>50</v>
      </c>
      <c r="P23">
        <v>70</v>
      </c>
      <c r="Q23">
        <v>15</v>
      </c>
    </row>
    <row r="24" spans="1:17" x14ac:dyDescent="0.2">
      <c r="A24" t="s">
        <v>64</v>
      </c>
      <c r="B24" t="s">
        <v>63</v>
      </c>
      <c r="C24">
        <v>5</v>
      </c>
      <c r="D24">
        <v>28</v>
      </c>
      <c r="E24">
        <v>1</v>
      </c>
      <c r="F24">
        <v>1</v>
      </c>
      <c r="G24" t="s">
        <v>25</v>
      </c>
      <c r="H24">
        <v>86</v>
      </c>
      <c r="I24">
        <v>0</v>
      </c>
      <c r="J24">
        <v>0</v>
      </c>
      <c r="K24">
        <v>0</v>
      </c>
      <c r="L24" t="s">
        <v>27</v>
      </c>
      <c r="M24">
        <v>3</v>
      </c>
      <c r="N24" t="s">
        <v>65</v>
      </c>
      <c r="O24">
        <v>200</v>
      </c>
      <c r="P24">
        <v>70</v>
      </c>
      <c r="Q24">
        <v>15</v>
      </c>
    </row>
    <row r="25" spans="1:17" x14ac:dyDescent="0.2">
      <c r="A25" t="s">
        <v>64</v>
      </c>
      <c r="B25" t="s">
        <v>63</v>
      </c>
      <c r="C25">
        <v>5</v>
      </c>
      <c r="D25">
        <v>42</v>
      </c>
      <c r="E25">
        <v>1</v>
      </c>
      <c r="F25">
        <v>1</v>
      </c>
      <c r="G25" t="s">
        <v>25</v>
      </c>
      <c r="H25">
        <v>148.9</v>
      </c>
      <c r="I25">
        <v>0</v>
      </c>
      <c r="J25">
        <v>0</v>
      </c>
      <c r="K25">
        <v>0</v>
      </c>
      <c r="L25" t="s">
        <v>12</v>
      </c>
      <c r="M25">
        <v>1</v>
      </c>
      <c r="N25" t="s">
        <v>65</v>
      </c>
      <c r="O25">
        <v>200</v>
      </c>
      <c r="P25">
        <v>70</v>
      </c>
      <c r="Q25">
        <v>15</v>
      </c>
    </row>
    <row r="26" spans="1:17" s="4" customFormat="1" x14ac:dyDescent="0.2">
      <c r="A26" s="4" t="s">
        <v>64</v>
      </c>
      <c r="B26" s="4" t="s">
        <v>63</v>
      </c>
      <c r="C26" s="4">
        <v>5</v>
      </c>
      <c r="D26" s="4">
        <v>56</v>
      </c>
      <c r="E26" s="4">
        <v>1</v>
      </c>
      <c r="F26" s="4">
        <v>1</v>
      </c>
      <c r="G26" s="4" t="s">
        <v>25</v>
      </c>
      <c r="H26" s="4">
        <v>362.3</v>
      </c>
      <c r="I26" s="4">
        <v>0</v>
      </c>
      <c r="J26" s="4">
        <v>0</v>
      </c>
      <c r="K26" s="4">
        <v>0</v>
      </c>
      <c r="L26" s="4" t="s">
        <v>27</v>
      </c>
      <c r="M26" s="4">
        <v>1</v>
      </c>
      <c r="N26" s="4" t="s">
        <v>65</v>
      </c>
      <c r="O26" s="4">
        <v>200</v>
      </c>
      <c r="P26" s="4">
        <v>70</v>
      </c>
      <c r="Q26" s="4">
        <v>15</v>
      </c>
    </row>
    <row r="27" spans="1:17" x14ac:dyDescent="0.2">
      <c r="A27" t="s">
        <v>64</v>
      </c>
      <c r="B27" t="s">
        <v>63</v>
      </c>
      <c r="C27">
        <v>6</v>
      </c>
      <c r="D27">
        <v>0</v>
      </c>
      <c r="E27">
        <v>1</v>
      </c>
      <c r="F27">
        <v>1</v>
      </c>
      <c r="G27" t="s">
        <v>25</v>
      </c>
      <c r="H27">
        <v>9.6</v>
      </c>
      <c r="I27">
        <v>0</v>
      </c>
      <c r="J27">
        <v>0</v>
      </c>
      <c r="K27">
        <v>0</v>
      </c>
      <c r="L27" t="s">
        <v>27</v>
      </c>
      <c r="M27">
        <v>3</v>
      </c>
      <c r="N27" t="s">
        <v>65</v>
      </c>
      <c r="O27">
        <v>50</v>
      </c>
      <c r="P27">
        <v>70</v>
      </c>
      <c r="Q27">
        <v>15</v>
      </c>
    </row>
    <row r="28" spans="1:17" x14ac:dyDescent="0.2">
      <c r="A28" t="s">
        <v>64</v>
      </c>
      <c r="B28" t="s">
        <v>63</v>
      </c>
      <c r="C28">
        <v>6</v>
      </c>
      <c r="D28">
        <v>14</v>
      </c>
      <c r="E28">
        <v>1</v>
      </c>
      <c r="F28">
        <v>1</v>
      </c>
      <c r="G28" t="s">
        <v>25</v>
      </c>
      <c r="H28">
        <v>37.700000000000003</v>
      </c>
      <c r="I28">
        <v>0</v>
      </c>
      <c r="J28">
        <v>0</v>
      </c>
      <c r="K28">
        <v>0</v>
      </c>
      <c r="L28" t="s">
        <v>12</v>
      </c>
      <c r="M28">
        <v>3</v>
      </c>
      <c r="N28" t="s">
        <v>65</v>
      </c>
      <c r="O28">
        <v>50</v>
      </c>
      <c r="P28">
        <v>70</v>
      </c>
      <c r="Q28">
        <v>15</v>
      </c>
    </row>
    <row r="29" spans="1:17" x14ac:dyDescent="0.2">
      <c r="A29" t="s">
        <v>64</v>
      </c>
      <c r="B29" t="s">
        <v>63</v>
      </c>
      <c r="C29">
        <v>6</v>
      </c>
      <c r="D29">
        <v>28</v>
      </c>
      <c r="E29">
        <v>1</v>
      </c>
      <c r="F29">
        <v>1</v>
      </c>
      <c r="G29" t="s">
        <v>25</v>
      </c>
      <c r="H29">
        <v>102.7</v>
      </c>
      <c r="I29">
        <v>0</v>
      </c>
      <c r="J29">
        <v>0</v>
      </c>
      <c r="K29">
        <v>0</v>
      </c>
      <c r="L29" t="s">
        <v>27</v>
      </c>
      <c r="M29">
        <v>3</v>
      </c>
      <c r="N29" t="s">
        <v>65</v>
      </c>
      <c r="O29">
        <v>200</v>
      </c>
      <c r="P29">
        <v>70</v>
      </c>
      <c r="Q29">
        <v>15</v>
      </c>
    </row>
    <row r="30" spans="1:17" x14ac:dyDescent="0.2">
      <c r="A30" t="s">
        <v>64</v>
      </c>
      <c r="B30" t="s">
        <v>63</v>
      </c>
      <c r="C30">
        <v>6</v>
      </c>
      <c r="D30">
        <v>42</v>
      </c>
      <c r="E30">
        <v>1</v>
      </c>
      <c r="F30">
        <v>1</v>
      </c>
      <c r="G30" t="s">
        <v>25</v>
      </c>
      <c r="H30">
        <v>207.2</v>
      </c>
      <c r="I30">
        <v>0</v>
      </c>
      <c r="J30">
        <v>0</v>
      </c>
      <c r="K30">
        <v>0</v>
      </c>
      <c r="L30" t="s">
        <v>12</v>
      </c>
      <c r="M30">
        <v>1</v>
      </c>
      <c r="N30" t="s">
        <v>65</v>
      </c>
      <c r="O30">
        <v>200</v>
      </c>
      <c r="P30">
        <v>70</v>
      </c>
      <c r="Q30">
        <v>15</v>
      </c>
    </row>
    <row r="31" spans="1:17" s="4" customFormat="1" x14ac:dyDescent="0.2">
      <c r="A31" s="4" t="s">
        <v>64</v>
      </c>
      <c r="B31" s="4" t="s">
        <v>63</v>
      </c>
      <c r="C31" s="4">
        <v>6</v>
      </c>
      <c r="D31" s="4">
        <v>56</v>
      </c>
      <c r="E31" s="4">
        <v>1</v>
      </c>
      <c r="F31" s="4">
        <v>1</v>
      </c>
      <c r="G31" s="4" t="s">
        <v>25</v>
      </c>
      <c r="H31" s="4">
        <v>489.1</v>
      </c>
      <c r="I31" s="4">
        <v>0</v>
      </c>
      <c r="J31" s="4">
        <v>0</v>
      </c>
      <c r="K31" s="4">
        <v>0</v>
      </c>
      <c r="L31" s="4" t="s">
        <v>27</v>
      </c>
      <c r="M31" s="4">
        <v>1</v>
      </c>
      <c r="N31" s="4" t="s">
        <v>65</v>
      </c>
      <c r="O31" s="4">
        <v>200</v>
      </c>
      <c r="P31" s="4">
        <v>70</v>
      </c>
      <c r="Q31" s="4">
        <v>15</v>
      </c>
    </row>
    <row r="32" spans="1:17" x14ac:dyDescent="0.2">
      <c r="A32" t="s">
        <v>64</v>
      </c>
      <c r="B32" t="s">
        <v>63</v>
      </c>
      <c r="C32">
        <v>7</v>
      </c>
      <c r="D32">
        <v>0</v>
      </c>
      <c r="E32">
        <v>1</v>
      </c>
      <c r="F32">
        <v>1</v>
      </c>
      <c r="G32" t="s">
        <v>25</v>
      </c>
      <c r="H32">
        <v>9.9</v>
      </c>
      <c r="I32">
        <v>0</v>
      </c>
      <c r="J32">
        <v>0</v>
      </c>
      <c r="K32">
        <v>0</v>
      </c>
      <c r="L32" t="s">
        <v>27</v>
      </c>
      <c r="M32">
        <v>3</v>
      </c>
      <c r="N32" t="s">
        <v>65</v>
      </c>
      <c r="O32">
        <v>50</v>
      </c>
      <c r="P32">
        <v>70</v>
      </c>
      <c r="Q32">
        <v>15</v>
      </c>
    </row>
    <row r="33" spans="1:17" x14ac:dyDescent="0.2">
      <c r="A33" t="s">
        <v>64</v>
      </c>
      <c r="B33" t="s">
        <v>63</v>
      </c>
      <c r="C33">
        <v>7</v>
      </c>
      <c r="D33">
        <v>14</v>
      </c>
      <c r="E33">
        <v>1</v>
      </c>
      <c r="F33">
        <v>1</v>
      </c>
      <c r="G33" t="s">
        <v>25</v>
      </c>
      <c r="H33">
        <v>17.2</v>
      </c>
      <c r="I33">
        <v>0</v>
      </c>
      <c r="J33">
        <v>0</v>
      </c>
      <c r="K33">
        <v>0</v>
      </c>
      <c r="L33" t="s">
        <v>12</v>
      </c>
      <c r="M33">
        <v>3</v>
      </c>
      <c r="N33" t="s">
        <v>65</v>
      </c>
      <c r="O33">
        <v>50</v>
      </c>
      <c r="P33">
        <v>70</v>
      </c>
      <c r="Q33">
        <v>15</v>
      </c>
    </row>
    <row r="34" spans="1:17" x14ac:dyDescent="0.2">
      <c r="A34" t="s">
        <v>64</v>
      </c>
      <c r="B34" t="s">
        <v>63</v>
      </c>
      <c r="C34">
        <v>7</v>
      </c>
      <c r="D34">
        <v>28</v>
      </c>
      <c r="E34">
        <v>1</v>
      </c>
      <c r="F34">
        <v>1</v>
      </c>
      <c r="G34" t="s">
        <v>25</v>
      </c>
      <c r="H34">
        <v>45.2</v>
      </c>
      <c r="I34">
        <v>0</v>
      </c>
      <c r="J34">
        <v>0</v>
      </c>
      <c r="K34">
        <v>0</v>
      </c>
      <c r="L34" t="s">
        <v>27</v>
      </c>
      <c r="M34">
        <v>3</v>
      </c>
      <c r="N34" t="s">
        <v>65</v>
      </c>
      <c r="O34">
        <v>200</v>
      </c>
      <c r="P34">
        <v>70</v>
      </c>
      <c r="Q34">
        <v>15</v>
      </c>
    </row>
    <row r="35" spans="1:17" x14ac:dyDescent="0.2">
      <c r="A35" t="s">
        <v>64</v>
      </c>
      <c r="B35" t="s">
        <v>63</v>
      </c>
      <c r="C35">
        <v>7</v>
      </c>
      <c r="D35">
        <v>42</v>
      </c>
      <c r="E35">
        <v>1</v>
      </c>
      <c r="F35">
        <v>1</v>
      </c>
      <c r="G35" t="s">
        <v>25</v>
      </c>
      <c r="H35">
        <v>85.4</v>
      </c>
      <c r="I35">
        <v>0</v>
      </c>
      <c r="J35">
        <v>0</v>
      </c>
      <c r="K35">
        <v>0</v>
      </c>
      <c r="L35" t="s">
        <v>12</v>
      </c>
      <c r="M35">
        <v>1</v>
      </c>
      <c r="N35" t="s">
        <v>65</v>
      </c>
      <c r="O35">
        <v>200</v>
      </c>
      <c r="P35">
        <v>70</v>
      </c>
      <c r="Q35">
        <v>15</v>
      </c>
    </row>
    <row r="36" spans="1:17" s="4" customFormat="1" x14ac:dyDescent="0.2">
      <c r="A36" s="4" t="s">
        <v>64</v>
      </c>
      <c r="B36" s="4" t="s">
        <v>63</v>
      </c>
      <c r="C36" s="4">
        <v>7</v>
      </c>
      <c r="D36" s="4">
        <v>56</v>
      </c>
      <c r="E36" s="4">
        <v>1</v>
      </c>
      <c r="F36" s="4">
        <v>1</v>
      </c>
      <c r="G36" s="4" t="s">
        <v>25</v>
      </c>
      <c r="H36" s="4">
        <v>235.9</v>
      </c>
      <c r="I36" s="4">
        <v>0</v>
      </c>
      <c r="J36" s="4">
        <v>0</v>
      </c>
      <c r="K36" s="4">
        <v>0</v>
      </c>
      <c r="L36" s="4" t="s">
        <v>27</v>
      </c>
      <c r="M36" s="4">
        <v>1</v>
      </c>
      <c r="N36" s="4" t="s">
        <v>65</v>
      </c>
      <c r="O36" s="4">
        <v>200</v>
      </c>
      <c r="P36" s="4">
        <v>70</v>
      </c>
      <c r="Q36" s="4">
        <v>15</v>
      </c>
    </row>
    <row r="37" spans="1:17" x14ac:dyDescent="0.2">
      <c r="A37" t="s">
        <v>64</v>
      </c>
      <c r="B37" t="s">
        <v>63</v>
      </c>
      <c r="C37">
        <v>8</v>
      </c>
      <c r="D37">
        <v>0</v>
      </c>
      <c r="E37">
        <v>1</v>
      </c>
      <c r="F37">
        <v>1</v>
      </c>
      <c r="G37" t="s">
        <v>25</v>
      </c>
      <c r="H37">
        <v>10.8</v>
      </c>
      <c r="I37">
        <v>0</v>
      </c>
      <c r="J37">
        <v>0</v>
      </c>
      <c r="K37">
        <v>0</v>
      </c>
      <c r="L37" t="s">
        <v>27</v>
      </c>
      <c r="M37">
        <v>3</v>
      </c>
      <c r="N37" t="s">
        <v>65</v>
      </c>
      <c r="O37">
        <v>50</v>
      </c>
      <c r="P37">
        <v>70</v>
      </c>
      <c r="Q37">
        <v>15</v>
      </c>
    </row>
    <row r="38" spans="1:17" x14ac:dyDescent="0.2">
      <c r="A38" t="s">
        <v>64</v>
      </c>
      <c r="B38" t="s">
        <v>63</v>
      </c>
      <c r="C38">
        <v>8</v>
      </c>
      <c r="D38">
        <v>14</v>
      </c>
      <c r="E38">
        <v>1</v>
      </c>
      <c r="F38">
        <v>1</v>
      </c>
      <c r="G38" t="s">
        <v>25</v>
      </c>
      <c r="H38">
        <v>37.9</v>
      </c>
      <c r="I38">
        <v>0</v>
      </c>
      <c r="J38">
        <v>0</v>
      </c>
      <c r="K38">
        <v>0</v>
      </c>
      <c r="L38" t="s">
        <v>12</v>
      </c>
      <c r="M38">
        <v>3</v>
      </c>
      <c r="N38" t="s">
        <v>65</v>
      </c>
      <c r="O38">
        <v>50</v>
      </c>
      <c r="P38">
        <v>70</v>
      </c>
      <c r="Q38">
        <v>15</v>
      </c>
    </row>
    <row r="39" spans="1:17" x14ac:dyDescent="0.2">
      <c r="A39" t="s">
        <v>64</v>
      </c>
      <c r="B39" t="s">
        <v>63</v>
      </c>
      <c r="C39">
        <v>8</v>
      </c>
      <c r="D39">
        <v>28</v>
      </c>
      <c r="E39">
        <v>1</v>
      </c>
      <c r="F39">
        <v>1</v>
      </c>
      <c r="G39" t="s">
        <v>25</v>
      </c>
      <c r="H39">
        <v>113.7</v>
      </c>
      <c r="I39">
        <v>0</v>
      </c>
      <c r="J39">
        <v>0</v>
      </c>
      <c r="K39">
        <v>0</v>
      </c>
      <c r="L39" t="s">
        <v>27</v>
      </c>
      <c r="M39">
        <v>3</v>
      </c>
      <c r="N39" t="s">
        <v>65</v>
      </c>
      <c r="O39">
        <v>200</v>
      </c>
      <c r="P39">
        <v>70</v>
      </c>
      <c r="Q39">
        <v>15</v>
      </c>
    </row>
    <row r="40" spans="1:17" x14ac:dyDescent="0.2">
      <c r="A40" t="s">
        <v>64</v>
      </c>
      <c r="B40" t="s">
        <v>63</v>
      </c>
      <c r="C40">
        <v>8</v>
      </c>
      <c r="D40">
        <v>42</v>
      </c>
      <c r="E40">
        <v>1</v>
      </c>
      <c r="F40">
        <v>1</v>
      </c>
      <c r="G40" t="s">
        <v>25</v>
      </c>
      <c r="H40">
        <v>184.5</v>
      </c>
      <c r="I40">
        <v>0</v>
      </c>
      <c r="J40">
        <v>0</v>
      </c>
      <c r="K40">
        <v>0</v>
      </c>
      <c r="L40" t="s">
        <v>12</v>
      </c>
      <c r="M40">
        <v>1</v>
      </c>
      <c r="N40" t="s">
        <v>65</v>
      </c>
      <c r="O40">
        <v>200</v>
      </c>
      <c r="P40">
        <v>70</v>
      </c>
      <c r="Q40">
        <v>15</v>
      </c>
    </row>
    <row r="41" spans="1:17" s="4" customFormat="1" x14ac:dyDescent="0.2">
      <c r="A41" s="4" t="s">
        <v>64</v>
      </c>
      <c r="B41" s="4" t="s">
        <v>63</v>
      </c>
      <c r="C41" s="4">
        <v>8</v>
      </c>
      <c r="D41" s="4">
        <v>56</v>
      </c>
      <c r="E41" s="4">
        <v>1</v>
      </c>
      <c r="F41" s="4">
        <v>1</v>
      </c>
      <c r="G41" s="4" t="s">
        <v>25</v>
      </c>
      <c r="H41" s="4">
        <v>505.5</v>
      </c>
      <c r="I41" s="4">
        <v>0</v>
      </c>
      <c r="J41" s="4">
        <v>0</v>
      </c>
      <c r="K41" s="4">
        <v>0</v>
      </c>
      <c r="L41" s="4" t="s">
        <v>27</v>
      </c>
      <c r="M41" s="4">
        <v>1</v>
      </c>
      <c r="N41" s="4" t="s">
        <v>65</v>
      </c>
      <c r="O41" s="4">
        <v>200</v>
      </c>
      <c r="P41" s="4">
        <v>70</v>
      </c>
      <c r="Q41" s="4">
        <v>15</v>
      </c>
    </row>
    <row r="42" spans="1:17" x14ac:dyDescent="0.2">
      <c r="A42" t="s">
        <v>64</v>
      </c>
      <c r="B42" t="s">
        <v>63</v>
      </c>
      <c r="C42">
        <v>9</v>
      </c>
      <c r="D42">
        <v>0</v>
      </c>
      <c r="E42">
        <v>1</v>
      </c>
      <c r="F42">
        <v>1</v>
      </c>
      <c r="G42" t="s">
        <v>25</v>
      </c>
      <c r="H42">
        <v>10.8</v>
      </c>
      <c r="I42">
        <v>0</v>
      </c>
      <c r="J42">
        <v>0</v>
      </c>
      <c r="K42">
        <v>0</v>
      </c>
      <c r="L42" t="s">
        <v>27</v>
      </c>
      <c r="M42">
        <v>3</v>
      </c>
      <c r="N42" t="s">
        <v>65</v>
      </c>
      <c r="O42">
        <v>50</v>
      </c>
      <c r="P42">
        <v>70</v>
      </c>
      <c r="Q42">
        <v>15</v>
      </c>
    </row>
    <row r="43" spans="1:17" x14ac:dyDescent="0.2">
      <c r="A43" t="s">
        <v>64</v>
      </c>
      <c r="B43" t="s">
        <v>63</v>
      </c>
      <c r="C43">
        <v>9</v>
      </c>
      <c r="D43">
        <v>14</v>
      </c>
      <c r="E43">
        <v>1</v>
      </c>
      <c r="F43">
        <v>1</v>
      </c>
      <c r="G43" t="s">
        <v>66</v>
      </c>
      <c r="I43">
        <v>0</v>
      </c>
      <c r="J43">
        <v>0</v>
      </c>
      <c r="K43">
        <v>0</v>
      </c>
      <c r="L43" t="s">
        <v>12</v>
      </c>
      <c r="M43">
        <v>3</v>
      </c>
      <c r="N43" t="s">
        <v>65</v>
      </c>
      <c r="O43">
        <v>50</v>
      </c>
      <c r="P43">
        <v>70</v>
      </c>
      <c r="Q43">
        <v>15</v>
      </c>
    </row>
    <row r="44" spans="1:17" x14ac:dyDescent="0.2">
      <c r="A44" t="s">
        <v>64</v>
      </c>
      <c r="B44" t="s">
        <v>63</v>
      </c>
      <c r="C44">
        <v>9</v>
      </c>
      <c r="D44">
        <v>28</v>
      </c>
      <c r="E44">
        <v>1</v>
      </c>
      <c r="F44">
        <v>1</v>
      </c>
      <c r="G44" t="s">
        <v>66</v>
      </c>
      <c r="I44">
        <v>0</v>
      </c>
      <c r="J44">
        <v>0</v>
      </c>
      <c r="K44">
        <v>0</v>
      </c>
      <c r="L44" t="s">
        <v>27</v>
      </c>
      <c r="M44">
        <v>3</v>
      </c>
      <c r="N44" t="s">
        <v>65</v>
      </c>
      <c r="O44">
        <v>200</v>
      </c>
      <c r="P44">
        <v>70</v>
      </c>
      <c r="Q44">
        <v>15</v>
      </c>
    </row>
    <row r="45" spans="1:17" x14ac:dyDescent="0.2">
      <c r="A45" t="s">
        <v>64</v>
      </c>
      <c r="B45" t="s">
        <v>63</v>
      </c>
      <c r="C45">
        <v>9</v>
      </c>
      <c r="D45">
        <v>42</v>
      </c>
      <c r="E45">
        <v>1</v>
      </c>
      <c r="F45">
        <v>1</v>
      </c>
      <c r="G45" t="s">
        <v>66</v>
      </c>
      <c r="I45">
        <v>0</v>
      </c>
      <c r="J45">
        <v>0</v>
      </c>
      <c r="K45">
        <v>0</v>
      </c>
      <c r="L45" t="s">
        <v>12</v>
      </c>
      <c r="M45">
        <v>1</v>
      </c>
      <c r="N45" t="s">
        <v>65</v>
      </c>
      <c r="O45">
        <v>200</v>
      </c>
      <c r="P45">
        <v>70</v>
      </c>
      <c r="Q45">
        <v>15</v>
      </c>
    </row>
    <row r="46" spans="1:17" s="4" customFormat="1" x14ac:dyDescent="0.2">
      <c r="A46" s="4" t="s">
        <v>64</v>
      </c>
      <c r="B46" s="4" t="s">
        <v>63</v>
      </c>
      <c r="C46" s="4">
        <v>9</v>
      </c>
      <c r="D46" s="4">
        <v>56</v>
      </c>
      <c r="E46" s="4">
        <v>1</v>
      </c>
      <c r="F46" s="4">
        <v>1</v>
      </c>
      <c r="G46" s="4" t="s">
        <v>66</v>
      </c>
      <c r="I46" s="4">
        <v>0</v>
      </c>
      <c r="J46" s="4">
        <v>0</v>
      </c>
      <c r="K46" s="4">
        <v>0</v>
      </c>
      <c r="L46" s="4" t="s">
        <v>27</v>
      </c>
      <c r="M46" s="4">
        <v>1</v>
      </c>
      <c r="N46" s="4" t="s">
        <v>65</v>
      </c>
      <c r="O46" s="4">
        <v>200</v>
      </c>
      <c r="P46" s="4">
        <v>70</v>
      </c>
      <c r="Q46" s="4">
        <v>15</v>
      </c>
    </row>
    <row r="47" spans="1:17" x14ac:dyDescent="0.2">
      <c r="A47" t="s">
        <v>64</v>
      </c>
      <c r="B47" t="s">
        <v>63</v>
      </c>
      <c r="C47">
        <v>10</v>
      </c>
      <c r="D47">
        <v>0</v>
      </c>
      <c r="E47">
        <v>1</v>
      </c>
      <c r="F47">
        <v>1</v>
      </c>
      <c r="G47" t="s">
        <v>25</v>
      </c>
      <c r="H47">
        <v>11.3</v>
      </c>
      <c r="I47">
        <v>0</v>
      </c>
      <c r="J47">
        <v>0</v>
      </c>
      <c r="K47">
        <v>0</v>
      </c>
      <c r="L47" t="s">
        <v>27</v>
      </c>
      <c r="M47">
        <v>3</v>
      </c>
      <c r="N47" t="s">
        <v>65</v>
      </c>
      <c r="O47">
        <v>50</v>
      </c>
      <c r="P47">
        <v>70</v>
      </c>
      <c r="Q47">
        <v>15</v>
      </c>
    </row>
    <row r="48" spans="1:17" x14ac:dyDescent="0.2">
      <c r="A48" t="s">
        <v>64</v>
      </c>
      <c r="B48" t="s">
        <v>63</v>
      </c>
      <c r="C48">
        <v>10</v>
      </c>
      <c r="D48">
        <v>14</v>
      </c>
      <c r="E48">
        <v>1</v>
      </c>
      <c r="F48">
        <v>1</v>
      </c>
      <c r="G48" t="s">
        <v>25</v>
      </c>
      <c r="H48">
        <v>38.4</v>
      </c>
      <c r="I48">
        <v>0</v>
      </c>
      <c r="J48">
        <v>0</v>
      </c>
      <c r="K48">
        <v>0</v>
      </c>
      <c r="L48" t="s">
        <v>12</v>
      </c>
      <c r="M48">
        <v>3</v>
      </c>
      <c r="N48" t="s">
        <v>65</v>
      </c>
      <c r="O48">
        <v>50</v>
      </c>
      <c r="P48">
        <v>70</v>
      </c>
      <c r="Q48">
        <v>15</v>
      </c>
    </row>
    <row r="49" spans="1:17" x14ac:dyDescent="0.2">
      <c r="A49" t="s">
        <v>64</v>
      </c>
      <c r="B49" t="s">
        <v>63</v>
      </c>
      <c r="C49">
        <v>10</v>
      </c>
      <c r="D49">
        <v>28</v>
      </c>
      <c r="E49">
        <v>1</v>
      </c>
      <c r="F49">
        <v>1</v>
      </c>
      <c r="G49" t="s">
        <v>25</v>
      </c>
      <c r="H49">
        <v>107.5</v>
      </c>
      <c r="I49">
        <v>0</v>
      </c>
      <c r="J49">
        <v>0</v>
      </c>
      <c r="K49">
        <v>0</v>
      </c>
      <c r="L49" t="s">
        <v>27</v>
      </c>
      <c r="M49">
        <v>3</v>
      </c>
      <c r="N49" t="s">
        <v>65</v>
      </c>
      <c r="O49">
        <v>200</v>
      </c>
      <c r="P49">
        <v>70</v>
      </c>
      <c r="Q49">
        <v>15</v>
      </c>
    </row>
    <row r="50" spans="1:17" x14ac:dyDescent="0.2">
      <c r="A50" t="s">
        <v>64</v>
      </c>
      <c r="B50" t="s">
        <v>63</v>
      </c>
      <c r="C50">
        <v>10</v>
      </c>
      <c r="D50">
        <v>42</v>
      </c>
      <c r="E50">
        <v>1</v>
      </c>
      <c r="F50">
        <v>1</v>
      </c>
      <c r="G50" t="s">
        <v>25</v>
      </c>
      <c r="H50">
        <v>156.1</v>
      </c>
      <c r="I50">
        <v>0</v>
      </c>
      <c r="J50">
        <v>0</v>
      </c>
      <c r="K50">
        <v>0</v>
      </c>
      <c r="L50" t="s">
        <v>12</v>
      </c>
      <c r="M50">
        <v>1</v>
      </c>
      <c r="N50" t="s">
        <v>65</v>
      </c>
      <c r="O50">
        <v>200</v>
      </c>
      <c r="P50">
        <v>70</v>
      </c>
      <c r="Q50">
        <v>15</v>
      </c>
    </row>
    <row r="51" spans="1:17" s="4" customFormat="1" x14ac:dyDescent="0.2">
      <c r="A51" s="4" t="s">
        <v>64</v>
      </c>
      <c r="B51" s="4" t="s">
        <v>63</v>
      </c>
      <c r="C51" s="4">
        <v>10</v>
      </c>
      <c r="D51" s="4">
        <v>56</v>
      </c>
      <c r="E51" s="4">
        <v>1</v>
      </c>
      <c r="F51" s="4">
        <v>1</v>
      </c>
      <c r="G51" s="4" t="s">
        <v>25</v>
      </c>
      <c r="H51" s="4">
        <v>416.2</v>
      </c>
      <c r="I51" s="4">
        <v>0</v>
      </c>
      <c r="J51" s="4">
        <v>0</v>
      </c>
      <c r="K51" s="4">
        <v>0</v>
      </c>
      <c r="L51" s="4" t="s">
        <v>27</v>
      </c>
      <c r="M51" s="4">
        <v>1</v>
      </c>
      <c r="N51" s="4" t="s">
        <v>65</v>
      </c>
      <c r="O51" s="4">
        <v>200</v>
      </c>
      <c r="P51" s="4">
        <v>70</v>
      </c>
      <c r="Q51" s="4">
        <v>15</v>
      </c>
    </row>
    <row r="52" spans="1:17" x14ac:dyDescent="0.2">
      <c r="A52" t="s">
        <v>64</v>
      </c>
      <c r="B52" t="s">
        <v>63</v>
      </c>
      <c r="C52">
        <v>11</v>
      </c>
      <c r="D52">
        <v>0</v>
      </c>
      <c r="E52">
        <v>1</v>
      </c>
      <c r="F52">
        <v>1</v>
      </c>
      <c r="G52" t="s">
        <v>25</v>
      </c>
      <c r="H52">
        <v>11.4</v>
      </c>
      <c r="I52">
        <v>0</v>
      </c>
      <c r="J52">
        <v>0</v>
      </c>
      <c r="K52">
        <v>0</v>
      </c>
      <c r="L52" t="s">
        <v>27</v>
      </c>
      <c r="M52">
        <v>3</v>
      </c>
      <c r="N52" t="s">
        <v>65</v>
      </c>
      <c r="O52">
        <v>50</v>
      </c>
      <c r="P52">
        <v>70</v>
      </c>
      <c r="Q52">
        <v>15</v>
      </c>
    </row>
    <row r="53" spans="1:17" x14ac:dyDescent="0.2">
      <c r="A53" t="s">
        <v>64</v>
      </c>
      <c r="B53" t="s">
        <v>63</v>
      </c>
      <c r="C53">
        <v>11</v>
      </c>
      <c r="D53">
        <v>14</v>
      </c>
      <c r="E53">
        <v>1</v>
      </c>
      <c r="F53">
        <v>1</v>
      </c>
      <c r="G53" t="s">
        <v>25</v>
      </c>
      <c r="H53">
        <v>21.4</v>
      </c>
      <c r="I53">
        <v>0</v>
      </c>
      <c r="J53">
        <v>0</v>
      </c>
      <c r="K53">
        <v>0</v>
      </c>
      <c r="L53" t="s">
        <v>12</v>
      </c>
      <c r="M53">
        <v>3</v>
      </c>
      <c r="N53" t="s">
        <v>65</v>
      </c>
      <c r="O53">
        <v>50</v>
      </c>
      <c r="P53">
        <v>70</v>
      </c>
      <c r="Q53">
        <v>15</v>
      </c>
    </row>
    <row r="54" spans="1:17" x14ac:dyDescent="0.2">
      <c r="A54" t="s">
        <v>64</v>
      </c>
      <c r="B54" t="s">
        <v>63</v>
      </c>
      <c r="C54">
        <v>11</v>
      </c>
      <c r="D54">
        <v>28</v>
      </c>
      <c r="E54">
        <v>1</v>
      </c>
      <c r="F54">
        <v>1</v>
      </c>
      <c r="G54" t="s">
        <v>25</v>
      </c>
      <c r="H54">
        <v>79.7</v>
      </c>
      <c r="I54">
        <v>0</v>
      </c>
      <c r="J54">
        <v>0</v>
      </c>
      <c r="K54">
        <v>0</v>
      </c>
      <c r="L54" t="s">
        <v>27</v>
      </c>
      <c r="M54">
        <v>3</v>
      </c>
      <c r="N54" t="s">
        <v>65</v>
      </c>
      <c r="O54">
        <v>200</v>
      </c>
      <c r="P54">
        <v>70</v>
      </c>
      <c r="Q54">
        <v>15</v>
      </c>
    </row>
    <row r="55" spans="1:17" x14ac:dyDescent="0.2">
      <c r="A55" t="s">
        <v>64</v>
      </c>
      <c r="B55" t="s">
        <v>63</v>
      </c>
      <c r="C55">
        <v>11</v>
      </c>
      <c r="D55">
        <v>42</v>
      </c>
      <c r="E55">
        <v>1</v>
      </c>
      <c r="F55">
        <v>1</v>
      </c>
      <c r="G55" t="s">
        <v>25</v>
      </c>
      <c r="H55">
        <v>142.30000000000001</v>
      </c>
      <c r="I55">
        <v>0</v>
      </c>
      <c r="J55">
        <v>0</v>
      </c>
      <c r="K55">
        <v>0</v>
      </c>
      <c r="L55" t="s">
        <v>12</v>
      </c>
      <c r="M55">
        <v>1</v>
      </c>
      <c r="N55" t="s">
        <v>65</v>
      </c>
      <c r="O55">
        <v>200</v>
      </c>
      <c r="P55">
        <v>70</v>
      </c>
      <c r="Q55">
        <v>15</v>
      </c>
    </row>
    <row r="56" spans="1:17" s="4" customFormat="1" x14ac:dyDescent="0.2">
      <c r="A56" s="4" t="s">
        <v>64</v>
      </c>
      <c r="B56" s="4" t="s">
        <v>63</v>
      </c>
      <c r="C56" s="4">
        <v>11</v>
      </c>
      <c r="D56" s="4">
        <v>56</v>
      </c>
      <c r="E56" s="4">
        <v>1</v>
      </c>
      <c r="F56" s="4">
        <v>1</v>
      </c>
      <c r="G56" s="4" t="s">
        <v>25</v>
      </c>
      <c r="H56" s="4">
        <v>306.60000000000002</v>
      </c>
      <c r="I56" s="4">
        <v>0</v>
      </c>
      <c r="J56" s="4">
        <v>0</v>
      </c>
      <c r="K56" s="4">
        <v>0</v>
      </c>
      <c r="L56" s="4" t="s">
        <v>27</v>
      </c>
      <c r="M56" s="4">
        <v>1</v>
      </c>
      <c r="N56" s="4" t="s">
        <v>65</v>
      </c>
      <c r="O56" s="4">
        <v>200</v>
      </c>
      <c r="P56" s="4">
        <v>70</v>
      </c>
      <c r="Q56" s="4">
        <v>15</v>
      </c>
    </row>
    <row r="57" spans="1:17" x14ac:dyDescent="0.2">
      <c r="A57" t="s">
        <v>64</v>
      </c>
      <c r="B57" t="s">
        <v>63</v>
      </c>
      <c r="C57">
        <v>12</v>
      </c>
      <c r="D57">
        <v>0</v>
      </c>
      <c r="E57">
        <v>1</v>
      </c>
      <c r="F57">
        <v>1</v>
      </c>
      <c r="G57" t="s">
        <v>25</v>
      </c>
      <c r="H57">
        <v>11.4</v>
      </c>
      <c r="I57">
        <v>0</v>
      </c>
      <c r="J57">
        <v>0</v>
      </c>
      <c r="K57">
        <v>0</v>
      </c>
      <c r="L57" t="s">
        <v>27</v>
      </c>
      <c r="M57">
        <v>3</v>
      </c>
      <c r="N57" t="s">
        <v>65</v>
      </c>
      <c r="O57">
        <v>50</v>
      </c>
      <c r="P57">
        <v>70</v>
      </c>
      <c r="Q57">
        <v>15</v>
      </c>
    </row>
    <row r="58" spans="1:17" x14ac:dyDescent="0.2">
      <c r="A58" t="s">
        <v>64</v>
      </c>
      <c r="B58" t="s">
        <v>63</v>
      </c>
      <c r="C58">
        <v>12</v>
      </c>
      <c r="D58">
        <v>14</v>
      </c>
      <c r="E58">
        <v>1</v>
      </c>
      <c r="F58">
        <v>1</v>
      </c>
      <c r="G58" t="s">
        <v>25</v>
      </c>
      <c r="H58">
        <v>26.4</v>
      </c>
      <c r="I58">
        <v>0</v>
      </c>
      <c r="J58">
        <v>0</v>
      </c>
      <c r="K58">
        <v>0</v>
      </c>
      <c r="L58" t="s">
        <v>12</v>
      </c>
      <c r="M58">
        <v>3</v>
      </c>
      <c r="N58" t="s">
        <v>65</v>
      </c>
      <c r="O58">
        <v>50</v>
      </c>
      <c r="P58">
        <v>70</v>
      </c>
      <c r="Q58">
        <v>15</v>
      </c>
    </row>
    <row r="59" spans="1:17" x14ac:dyDescent="0.2">
      <c r="A59" t="s">
        <v>64</v>
      </c>
      <c r="B59" t="s">
        <v>63</v>
      </c>
      <c r="C59">
        <v>12</v>
      </c>
      <c r="D59">
        <v>28</v>
      </c>
      <c r="E59">
        <v>1</v>
      </c>
      <c r="F59">
        <v>1</v>
      </c>
      <c r="G59" t="s">
        <v>25</v>
      </c>
      <c r="H59">
        <v>72.5</v>
      </c>
      <c r="I59">
        <v>0</v>
      </c>
      <c r="J59">
        <v>0</v>
      </c>
      <c r="K59">
        <v>0</v>
      </c>
      <c r="L59" t="s">
        <v>27</v>
      </c>
      <c r="M59">
        <v>3</v>
      </c>
      <c r="N59" t="s">
        <v>65</v>
      </c>
      <c r="O59">
        <v>200</v>
      </c>
      <c r="P59">
        <v>70</v>
      </c>
      <c r="Q59">
        <v>15</v>
      </c>
    </row>
    <row r="60" spans="1:17" x14ac:dyDescent="0.2">
      <c r="A60" t="s">
        <v>64</v>
      </c>
      <c r="B60" t="s">
        <v>63</v>
      </c>
      <c r="C60">
        <v>12</v>
      </c>
      <c r="D60">
        <v>42</v>
      </c>
      <c r="E60">
        <v>1</v>
      </c>
      <c r="F60">
        <v>1</v>
      </c>
      <c r="G60" t="s">
        <v>25</v>
      </c>
      <c r="H60">
        <v>138.69999999999999</v>
      </c>
      <c r="I60">
        <v>0</v>
      </c>
      <c r="J60">
        <v>0</v>
      </c>
      <c r="K60">
        <v>0</v>
      </c>
      <c r="L60" t="s">
        <v>12</v>
      </c>
      <c r="M60">
        <v>1</v>
      </c>
      <c r="N60" t="s">
        <v>65</v>
      </c>
      <c r="O60">
        <v>200</v>
      </c>
      <c r="P60">
        <v>70</v>
      </c>
      <c r="Q60">
        <v>15</v>
      </c>
    </row>
    <row r="61" spans="1:17" s="4" customFormat="1" x14ac:dyDescent="0.2">
      <c r="A61" s="4" t="s">
        <v>64</v>
      </c>
      <c r="B61" s="4" t="s">
        <v>63</v>
      </c>
      <c r="C61" s="4">
        <v>12</v>
      </c>
      <c r="D61" s="4">
        <v>56</v>
      </c>
      <c r="E61" s="4">
        <v>1</v>
      </c>
      <c r="F61" s="4">
        <v>1</v>
      </c>
      <c r="G61" s="4" t="s">
        <v>25</v>
      </c>
      <c r="H61" s="4">
        <v>295.60000000000002</v>
      </c>
      <c r="I61" s="4">
        <v>0</v>
      </c>
      <c r="J61" s="4">
        <v>0</v>
      </c>
      <c r="K61" s="4">
        <v>0</v>
      </c>
      <c r="L61" s="4" t="s">
        <v>27</v>
      </c>
      <c r="M61" s="4">
        <v>1</v>
      </c>
      <c r="N61" s="4" t="s">
        <v>65</v>
      </c>
      <c r="O61" s="4">
        <v>200</v>
      </c>
      <c r="P61" s="4">
        <v>70</v>
      </c>
      <c r="Q61" s="4">
        <v>15</v>
      </c>
    </row>
    <row r="62" spans="1:17" x14ac:dyDescent="0.2">
      <c r="A62" t="s">
        <v>64</v>
      </c>
      <c r="B62" t="s">
        <v>63</v>
      </c>
      <c r="C62">
        <v>13</v>
      </c>
      <c r="D62">
        <v>0</v>
      </c>
      <c r="E62">
        <v>1</v>
      </c>
      <c r="F62">
        <v>1</v>
      </c>
      <c r="G62" t="s">
        <v>25</v>
      </c>
      <c r="H62">
        <v>11.6</v>
      </c>
      <c r="I62">
        <v>0</v>
      </c>
      <c r="J62">
        <v>0</v>
      </c>
      <c r="K62">
        <v>0</v>
      </c>
      <c r="L62" t="s">
        <v>27</v>
      </c>
      <c r="M62">
        <v>3</v>
      </c>
      <c r="N62" t="s">
        <v>65</v>
      </c>
      <c r="O62">
        <v>50</v>
      </c>
      <c r="P62">
        <v>70</v>
      </c>
      <c r="Q62">
        <v>15</v>
      </c>
    </row>
    <row r="63" spans="1:17" x14ac:dyDescent="0.2">
      <c r="A63" t="s">
        <v>64</v>
      </c>
      <c r="B63" t="s">
        <v>63</v>
      </c>
      <c r="C63">
        <v>13</v>
      </c>
      <c r="D63">
        <v>14</v>
      </c>
      <c r="E63">
        <v>1</v>
      </c>
      <c r="F63">
        <v>1</v>
      </c>
      <c r="G63" t="s">
        <v>25</v>
      </c>
      <c r="H63">
        <v>24.2</v>
      </c>
      <c r="I63">
        <v>0</v>
      </c>
      <c r="J63">
        <v>0</v>
      </c>
      <c r="K63">
        <v>0</v>
      </c>
      <c r="L63" t="s">
        <v>12</v>
      </c>
      <c r="M63">
        <v>3</v>
      </c>
      <c r="N63" t="s">
        <v>65</v>
      </c>
      <c r="O63">
        <v>50</v>
      </c>
      <c r="P63">
        <v>70</v>
      </c>
      <c r="Q63">
        <v>15</v>
      </c>
    </row>
    <row r="64" spans="1:17" x14ac:dyDescent="0.2">
      <c r="A64" t="s">
        <v>64</v>
      </c>
      <c r="B64" t="s">
        <v>63</v>
      </c>
      <c r="C64">
        <v>13</v>
      </c>
      <c r="D64">
        <v>28</v>
      </c>
      <c r="E64">
        <v>1</v>
      </c>
      <c r="F64">
        <v>1</v>
      </c>
      <c r="G64" t="s">
        <v>25</v>
      </c>
      <c r="H64">
        <v>74.599999999999994</v>
      </c>
      <c r="I64">
        <v>0</v>
      </c>
      <c r="J64">
        <v>0</v>
      </c>
      <c r="K64">
        <v>0</v>
      </c>
      <c r="L64" t="s">
        <v>27</v>
      </c>
      <c r="M64">
        <v>3</v>
      </c>
      <c r="N64" t="s">
        <v>65</v>
      </c>
      <c r="O64">
        <v>200</v>
      </c>
      <c r="P64">
        <v>70</v>
      </c>
      <c r="Q64">
        <v>15</v>
      </c>
    </row>
    <row r="65" spans="1:17" x14ac:dyDescent="0.2">
      <c r="A65" t="s">
        <v>64</v>
      </c>
      <c r="B65" t="s">
        <v>63</v>
      </c>
      <c r="C65">
        <v>13</v>
      </c>
      <c r="D65">
        <v>42</v>
      </c>
      <c r="E65">
        <v>1</v>
      </c>
      <c r="F65">
        <v>1</v>
      </c>
      <c r="G65" t="s">
        <v>25</v>
      </c>
      <c r="H65">
        <v>138.19999999999999</v>
      </c>
      <c r="I65">
        <v>0</v>
      </c>
      <c r="J65">
        <v>0</v>
      </c>
      <c r="K65">
        <v>0</v>
      </c>
      <c r="L65" t="s">
        <v>12</v>
      </c>
      <c r="M65">
        <v>1</v>
      </c>
      <c r="N65" t="s">
        <v>65</v>
      </c>
      <c r="O65">
        <v>200</v>
      </c>
      <c r="P65">
        <v>70</v>
      </c>
      <c r="Q65">
        <v>15</v>
      </c>
    </row>
    <row r="66" spans="1:17" s="4" customFormat="1" x14ac:dyDescent="0.2">
      <c r="A66" s="4" t="s">
        <v>64</v>
      </c>
      <c r="B66" s="4" t="s">
        <v>63</v>
      </c>
      <c r="C66" s="4">
        <v>13</v>
      </c>
      <c r="D66" s="4">
        <v>56</v>
      </c>
      <c r="E66" s="4">
        <v>1</v>
      </c>
      <c r="F66" s="4">
        <v>1</v>
      </c>
      <c r="G66" s="4" t="s">
        <v>25</v>
      </c>
      <c r="H66" s="4">
        <v>344.7</v>
      </c>
      <c r="I66" s="4">
        <v>0</v>
      </c>
      <c r="J66" s="4">
        <v>0</v>
      </c>
      <c r="K66" s="4">
        <v>0</v>
      </c>
      <c r="L66" s="4" t="s">
        <v>27</v>
      </c>
      <c r="M66" s="4">
        <v>1</v>
      </c>
      <c r="N66" s="4" t="s">
        <v>65</v>
      </c>
      <c r="O66" s="4">
        <v>200</v>
      </c>
      <c r="P66" s="4">
        <v>70</v>
      </c>
      <c r="Q66" s="4">
        <v>15</v>
      </c>
    </row>
    <row r="67" spans="1:17" x14ac:dyDescent="0.2">
      <c r="A67" t="s">
        <v>64</v>
      </c>
      <c r="B67" t="s">
        <v>63</v>
      </c>
      <c r="C67">
        <v>14</v>
      </c>
      <c r="D67">
        <v>0</v>
      </c>
      <c r="E67">
        <v>1</v>
      </c>
      <c r="F67">
        <v>1</v>
      </c>
      <c r="G67" t="s">
        <v>25</v>
      </c>
      <c r="H67">
        <v>11.6</v>
      </c>
      <c r="I67">
        <v>0</v>
      </c>
      <c r="J67">
        <v>0</v>
      </c>
      <c r="K67">
        <v>0</v>
      </c>
      <c r="L67" t="s">
        <v>27</v>
      </c>
      <c r="M67">
        <v>3</v>
      </c>
      <c r="N67" t="s">
        <v>65</v>
      </c>
      <c r="O67">
        <v>50</v>
      </c>
      <c r="P67">
        <v>70</v>
      </c>
      <c r="Q67">
        <v>15</v>
      </c>
    </row>
    <row r="68" spans="1:17" x14ac:dyDescent="0.2">
      <c r="A68" t="s">
        <v>64</v>
      </c>
      <c r="B68" t="s">
        <v>63</v>
      </c>
      <c r="C68">
        <v>14</v>
      </c>
      <c r="D68">
        <v>14</v>
      </c>
      <c r="E68">
        <v>1</v>
      </c>
      <c r="F68">
        <v>1</v>
      </c>
      <c r="G68" t="s">
        <v>25</v>
      </c>
      <c r="H68">
        <v>27.1</v>
      </c>
      <c r="I68">
        <v>0</v>
      </c>
      <c r="J68">
        <v>0</v>
      </c>
      <c r="K68">
        <v>0</v>
      </c>
      <c r="L68" t="s">
        <v>12</v>
      </c>
      <c r="M68">
        <v>3</v>
      </c>
      <c r="N68" t="s">
        <v>65</v>
      </c>
      <c r="O68">
        <v>50</v>
      </c>
      <c r="P68">
        <v>70</v>
      </c>
      <c r="Q68">
        <v>15</v>
      </c>
    </row>
    <row r="69" spans="1:17" x14ac:dyDescent="0.2">
      <c r="A69" t="s">
        <v>64</v>
      </c>
      <c r="B69" t="s">
        <v>63</v>
      </c>
      <c r="C69">
        <v>14</v>
      </c>
      <c r="D69">
        <v>28</v>
      </c>
      <c r="E69">
        <v>1</v>
      </c>
      <c r="F69">
        <v>1</v>
      </c>
      <c r="G69" t="s">
        <v>25</v>
      </c>
      <c r="H69">
        <v>75.599999999999994</v>
      </c>
      <c r="I69">
        <v>0</v>
      </c>
      <c r="J69">
        <v>0</v>
      </c>
      <c r="K69">
        <v>0</v>
      </c>
      <c r="L69" t="s">
        <v>27</v>
      </c>
      <c r="M69">
        <v>3</v>
      </c>
      <c r="N69" t="s">
        <v>65</v>
      </c>
      <c r="O69">
        <v>200</v>
      </c>
      <c r="P69">
        <v>70</v>
      </c>
      <c r="Q69">
        <v>15</v>
      </c>
    </row>
    <row r="70" spans="1:17" x14ac:dyDescent="0.2">
      <c r="A70" t="s">
        <v>64</v>
      </c>
      <c r="B70" t="s">
        <v>63</v>
      </c>
      <c r="C70">
        <v>14</v>
      </c>
      <c r="D70">
        <v>42</v>
      </c>
      <c r="E70">
        <v>1</v>
      </c>
      <c r="F70">
        <v>1</v>
      </c>
      <c r="G70" t="s">
        <v>25</v>
      </c>
      <c r="H70">
        <v>141.9</v>
      </c>
      <c r="I70">
        <v>0</v>
      </c>
      <c r="J70">
        <v>0</v>
      </c>
      <c r="K70">
        <v>0</v>
      </c>
      <c r="L70" t="s">
        <v>12</v>
      </c>
      <c r="M70">
        <v>1</v>
      </c>
      <c r="N70" t="s">
        <v>65</v>
      </c>
      <c r="O70">
        <v>200</v>
      </c>
      <c r="P70">
        <v>70</v>
      </c>
      <c r="Q70">
        <v>15</v>
      </c>
    </row>
    <row r="71" spans="1:17" s="4" customFormat="1" x14ac:dyDescent="0.2">
      <c r="A71" s="4" t="s">
        <v>64</v>
      </c>
      <c r="B71" s="4" t="s">
        <v>63</v>
      </c>
      <c r="C71" s="4">
        <v>14</v>
      </c>
      <c r="D71" s="4">
        <v>56</v>
      </c>
      <c r="E71" s="4">
        <v>1</v>
      </c>
      <c r="F71" s="4">
        <v>1</v>
      </c>
      <c r="G71" s="4" t="s">
        <v>25</v>
      </c>
      <c r="H71" s="4">
        <v>321.8</v>
      </c>
      <c r="I71" s="4">
        <v>0</v>
      </c>
      <c r="J71" s="4">
        <v>0</v>
      </c>
      <c r="K71" s="4">
        <v>0</v>
      </c>
      <c r="L71" s="4" t="s">
        <v>27</v>
      </c>
      <c r="M71" s="4">
        <v>1</v>
      </c>
      <c r="N71" s="4" t="s">
        <v>65</v>
      </c>
      <c r="O71" s="4">
        <v>200</v>
      </c>
      <c r="P71" s="4">
        <v>70</v>
      </c>
      <c r="Q71" s="4">
        <v>15</v>
      </c>
    </row>
    <row r="72" spans="1:17" x14ac:dyDescent="0.2">
      <c r="A72" t="s">
        <v>64</v>
      </c>
      <c r="B72" t="s">
        <v>63</v>
      </c>
      <c r="C72">
        <v>15</v>
      </c>
      <c r="D72">
        <v>0</v>
      </c>
      <c r="E72">
        <v>1</v>
      </c>
      <c r="F72">
        <v>1</v>
      </c>
      <c r="G72" t="s">
        <v>25</v>
      </c>
      <c r="H72">
        <v>11.7</v>
      </c>
      <c r="I72">
        <v>0</v>
      </c>
      <c r="J72">
        <v>0</v>
      </c>
      <c r="K72">
        <v>0</v>
      </c>
      <c r="L72" t="s">
        <v>27</v>
      </c>
      <c r="M72">
        <v>3</v>
      </c>
      <c r="N72" t="s">
        <v>65</v>
      </c>
      <c r="O72">
        <v>50</v>
      </c>
      <c r="P72">
        <v>70</v>
      </c>
      <c r="Q72">
        <v>15</v>
      </c>
    </row>
    <row r="73" spans="1:17" x14ac:dyDescent="0.2">
      <c r="A73" t="s">
        <v>64</v>
      </c>
      <c r="B73" t="s">
        <v>63</v>
      </c>
      <c r="C73">
        <v>15</v>
      </c>
      <c r="D73">
        <v>14</v>
      </c>
      <c r="E73">
        <v>1</v>
      </c>
      <c r="F73">
        <v>1</v>
      </c>
      <c r="G73" t="s">
        <v>25</v>
      </c>
      <c r="H73">
        <v>42</v>
      </c>
      <c r="I73">
        <v>0</v>
      </c>
      <c r="J73">
        <v>0</v>
      </c>
      <c r="K73">
        <v>0</v>
      </c>
      <c r="L73" t="s">
        <v>12</v>
      </c>
      <c r="M73">
        <v>3</v>
      </c>
      <c r="N73" t="s">
        <v>65</v>
      </c>
      <c r="O73">
        <v>50</v>
      </c>
      <c r="P73">
        <v>70</v>
      </c>
      <c r="Q73">
        <v>15</v>
      </c>
    </row>
    <row r="74" spans="1:17" x14ac:dyDescent="0.2">
      <c r="A74" t="s">
        <v>64</v>
      </c>
      <c r="B74" t="s">
        <v>63</v>
      </c>
      <c r="C74">
        <v>15</v>
      </c>
      <c r="D74">
        <v>28</v>
      </c>
      <c r="E74">
        <v>1</v>
      </c>
      <c r="F74">
        <v>1</v>
      </c>
      <c r="G74" t="s">
        <v>25</v>
      </c>
      <c r="H74">
        <v>114.1</v>
      </c>
      <c r="I74">
        <v>0</v>
      </c>
      <c r="J74">
        <v>0</v>
      </c>
      <c r="K74">
        <v>0</v>
      </c>
      <c r="L74" t="s">
        <v>27</v>
      </c>
      <c r="M74">
        <v>3</v>
      </c>
      <c r="N74" t="s">
        <v>65</v>
      </c>
      <c r="O74">
        <v>200</v>
      </c>
      <c r="P74">
        <v>70</v>
      </c>
      <c r="Q74">
        <v>15</v>
      </c>
    </row>
    <row r="75" spans="1:17" x14ac:dyDescent="0.2">
      <c r="A75" t="s">
        <v>64</v>
      </c>
      <c r="B75" t="s">
        <v>63</v>
      </c>
      <c r="C75">
        <v>15</v>
      </c>
      <c r="D75">
        <v>42</v>
      </c>
      <c r="E75">
        <v>1</v>
      </c>
      <c r="F75">
        <v>1</v>
      </c>
      <c r="G75" t="s">
        <v>25</v>
      </c>
      <c r="H75">
        <v>182</v>
      </c>
      <c r="I75">
        <v>0</v>
      </c>
      <c r="J75">
        <v>0</v>
      </c>
      <c r="K75">
        <v>0</v>
      </c>
      <c r="L75" t="s">
        <v>12</v>
      </c>
      <c r="M75">
        <v>1</v>
      </c>
      <c r="N75" t="s">
        <v>65</v>
      </c>
      <c r="O75">
        <v>200</v>
      </c>
      <c r="P75">
        <v>70</v>
      </c>
      <c r="Q75">
        <v>15</v>
      </c>
    </row>
    <row r="76" spans="1:17" s="4" customFormat="1" x14ac:dyDescent="0.2">
      <c r="A76" s="4" t="s">
        <v>64</v>
      </c>
      <c r="B76" s="4" t="s">
        <v>63</v>
      </c>
      <c r="C76" s="4">
        <v>15</v>
      </c>
      <c r="D76" s="4">
        <v>56</v>
      </c>
      <c r="E76" s="4">
        <v>1</v>
      </c>
      <c r="F76" s="4">
        <v>1</v>
      </c>
      <c r="G76" s="4" t="s">
        <v>25</v>
      </c>
      <c r="H76" s="4">
        <v>448.7</v>
      </c>
      <c r="I76" s="4">
        <v>0</v>
      </c>
      <c r="J76" s="4">
        <v>0</v>
      </c>
      <c r="K76" s="4">
        <v>0</v>
      </c>
      <c r="L76" s="4" t="s">
        <v>27</v>
      </c>
      <c r="M76" s="4">
        <v>1</v>
      </c>
      <c r="N76" s="4" t="s">
        <v>65</v>
      </c>
      <c r="O76" s="4">
        <v>200</v>
      </c>
      <c r="P76" s="4">
        <v>70</v>
      </c>
      <c r="Q76" s="4">
        <v>15</v>
      </c>
    </row>
    <row r="77" spans="1:17" x14ac:dyDescent="0.2">
      <c r="A77" t="s">
        <v>64</v>
      </c>
      <c r="B77" t="s">
        <v>63</v>
      </c>
      <c r="C77">
        <v>16</v>
      </c>
      <c r="D77">
        <v>0</v>
      </c>
      <c r="E77">
        <v>1</v>
      </c>
      <c r="F77">
        <v>1</v>
      </c>
      <c r="G77" t="s">
        <v>25</v>
      </c>
      <c r="H77">
        <v>11.8</v>
      </c>
      <c r="I77">
        <v>0</v>
      </c>
      <c r="J77">
        <v>0</v>
      </c>
      <c r="K77">
        <v>0</v>
      </c>
      <c r="L77" t="s">
        <v>27</v>
      </c>
      <c r="M77">
        <v>3</v>
      </c>
      <c r="N77" t="s">
        <v>65</v>
      </c>
      <c r="O77">
        <v>50</v>
      </c>
      <c r="P77">
        <v>70</v>
      </c>
      <c r="Q77">
        <v>15</v>
      </c>
    </row>
    <row r="78" spans="1:17" x14ac:dyDescent="0.2">
      <c r="A78" t="s">
        <v>64</v>
      </c>
      <c r="B78" t="s">
        <v>63</v>
      </c>
      <c r="C78">
        <v>16</v>
      </c>
      <c r="D78">
        <v>14</v>
      </c>
      <c r="E78">
        <v>1</v>
      </c>
      <c r="F78">
        <v>1</v>
      </c>
      <c r="G78" t="s">
        <v>25</v>
      </c>
      <c r="H78">
        <v>34.5</v>
      </c>
      <c r="I78">
        <v>0</v>
      </c>
      <c r="J78">
        <v>0</v>
      </c>
      <c r="K78">
        <v>0</v>
      </c>
      <c r="L78" t="s">
        <v>12</v>
      </c>
      <c r="M78">
        <v>3</v>
      </c>
      <c r="N78" t="s">
        <v>65</v>
      </c>
      <c r="O78">
        <v>50</v>
      </c>
      <c r="P78">
        <v>70</v>
      </c>
      <c r="Q78">
        <v>15</v>
      </c>
    </row>
    <row r="79" spans="1:17" x14ac:dyDescent="0.2">
      <c r="A79" t="s">
        <v>64</v>
      </c>
      <c r="B79" t="s">
        <v>63</v>
      </c>
      <c r="C79">
        <v>16</v>
      </c>
      <c r="D79">
        <v>28</v>
      </c>
      <c r="E79">
        <v>1</v>
      </c>
      <c r="F79">
        <v>1</v>
      </c>
      <c r="G79" t="s">
        <v>25</v>
      </c>
      <c r="H79">
        <v>93.7</v>
      </c>
      <c r="I79">
        <v>0</v>
      </c>
      <c r="J79">
        <v>0</v>
      </c>
      <c r="K79">
        <v>0</v>
      </c>
      <c r="L79" t="s">
        <v>27</v>
      </c>
      <c r="M79">
        <v>3</v>
      </c>
      <c r="N79" t="s">
        <v>65</v>
      </c>
      <c r="O79">
        <v>200</v>
      </c>
      <c r="P79">
        <v>70</v>
      </c>
      <c r="Q79">
        <v>15</v>
      </c>
    </row>
    <row r="80" spans="1:17" x14ac:dyDescent="0.2">
      <c r="A80" t="s">
        <v>64</v>
      </c>
      <c r="B80" t="s">
        <v>63</v>
      </c>
      <c r="C80">
        <v>16</v>
      </c>
      <c r="D80">
        <v>42</v>
      </c>
      <c r="E80">
        <v>1</v>
      </c>
      <c r="F80">
        <v>1</v>
      </c>
      <c r="G80" t="s">
        <v>25</v>
      </c>
      <c r="H80">
        <v>163.69999999999999</v>
      </c>
      <c r="I80">
        <v>0</v>
      </c>
      <c r="J80">
        <v>0</v>
      </c>
      <c r="K80">
        <v>0</v>
      </c>
      <c r="L80" t="s">
        <v>12</v>
      </c>
      <c r="M80">
        <v>1</v>
      </c>
      <c r="N80" t="s">
        <v>65</v>
      </c>
      <c r="O80">
        <v>200</v>
      </c>
      <c r="P80">
        <v>70</v>
      </c>
      <c r="Q80">
        <v>15</v>
      </c>
    </row>
    <row r="81" spans="1:17" s="4" customFormat="1" x14ac:dyDescent="0.2">
      <c r="A81" s="4" t="s">
        <v>64</v>
      </c>
      <c r="B81" s="4" t="s">
        <v>63</v>
      </c>
      <c r="C81" s="4">
        <v>16</v>
      </c>
      <c r="D81" s="4">
        <v>56</v>
      </c>
      <c r="E81" s="4">
        <v>1</v>
      </c>
      <c r="F81" s="4">
        <v>1</v>
      </c>
      <c r="G81" s="4" t="s">
        <v>25</v>
      </c>
      <c r="H81" s="4">
        <v>394</v>
      </c>
      <c r="I81" s="4">
        <v>0</v>
      </c>
      <c r="J81" s="4">
        <v>0</v>
      </c>
      <c r="K81" s="4">
        <v>0</v>
      </c>
      <c r="L81" s="4" t="s">
        <v>27</v>
      </c>
      <c r="M81" s="4">
        <v>1</v>
      </c>
      <c r="N81" s="4" t="s">
        <v>65</v>
      </c>
      <c r="O81" s="4">
        <v>200</v>
      </c>
      <c r="P81" s="4">
        <v>70</v>
      </c>
      <c r="Q81" s="4">
        <v>15</v>
      </c>
    </row>
    <row r="82" spans="1:17" x14ac:dyDescent="0.2">
      <c r="A82" t="s">
        <v>64</v>
      </c>
      <c r="B82" t="s">
        <v>63</v>
      </c>
      <c r="C82">
        <v>17</v>
      </c>
      <c r="D82">
        <v>0</v>
      </c>
      <c r="E82">
        <v>1</v>
      </c>
      <c r="F82">
        <v>1</v>
      </c>
      <c r="G82" t="s">
        <v>25</v>
      </c>
      <c r="H82">
        <v>12</v>
      </c>
      <c r="I82">
        <v>0</v>
      </c>
      <c r="J82">
        <v>0</v>
      </c>
      <c r="K82">
        <v>0</v>
      </c>
      <c r="L82" t="s">
        <v>27</v>
      </c>
      <c r="M82">
        <v>3</v>
      </c>
      <c r="N82" t="s">
        <v>65</v>
      </c>
      <c r="O82">
        <v>50</v>
      </c>
      <c r="P82">
        <v>70</v>
      </c>
      <c r="Q82">
        <v>15</v>
      </c>
    </row>
    <row r="83" spans="1:17" x14ac:dyDescent="0.2">
      <c r="A83" t="s">
        <v>64</v>
      </c>
      <c r="B83" t="s">
        <v>63</v>
      </c>
      <c r="C83">
        <v>17</v>
      </c>
      <c r="D83">
        <v>14</v>
      </c>
      <c r="E83">
        <v>1</v>
      </c>
      <c r="F83">
        <v>1</v>
      </c>
      <c r="G83" t="s">
        <v>25</v>
      </c>
      <c r="H83">
        <v>43.2</v>
      </c>
      <c r="I83">
        <v>0</v>
      </c>
      <c r="J83">
        <v>0</v>
      </c>
      <c r="K83">
        <v>0</v>
      </c>
      <c r="L83" t="s">
        <v>12</v>
      </c>
      <c r="M83">
        <v>3</v>
      </c>
      <c r="N83" t="s">
        <v>65</v>
      </c>
      <c r="O83">
        <v>50</v>
      </c>
      <c r="P83">
        <v>70</v>
      </c>
      <c r="Q83">
        <v>15</v>
      </c>
    </row>
    <row r="84" spans="1:17" x14ac:dyDescent="0.2">
      <c r="A84" t="s">
        <v>64</v>
      </c>
      <c r="B84" t="s">
        <v>63</v>
      </c>
      <c r="C84">
        <v>17</v>
      </c>
      <c r="D84">
        <v>28</v>
      </c>
      <c r="E84">
        <v>1</v>
      </c>
      <c r="F84">
        <v>1</v>
      </c>
      <c r="G84" t="s">
        <v>25</v>
      </c>
      <c r="H84">
        <v>108.7</v>
      </c>
      <c r="I84">
        <v>0</v>
      </c>
      <c r="J84">
        <v>0</v>
      </c>
      <c r="K84">
        <v>0</v>
      </c>
      <c r="L84" t="s">
        <v>27</v>
      </c>
      <c r="M84">
        <v>3</v>
      </c>
      <c r="N84" t="s">
        <v>65</v>
      </c>
      <c r="O84">
        <v>200</v>
      </c>
      <c r="P84">
        <v>70</v>
      </c>
      <c r="Q84">
        <v>15</v>
      </c>
    </row>
    <row r="85" spans="1:17" x14ac:dyDescent="0.2">
      <c r="A85" t="s">
        <v>64</v>
      </c>
      <c r="B85" t="s">
        <v>63</v>
      </c>
      <c r="C85">
        <v>17</v>
      </c>
      <c r="D85">
        <v>42</v>
      </c>
      <c r="E85">
        <v>1</v>
      </c>
      <c r="F85">
        <v>1</v>
      </c>
      <c r="G85" t="s">
        <v>25</v>
      </c>
      <c r="H85">
        <v>154.30000000000001</v>
      </c>
      <c r="I85">
        <v>0</v>
      </c>
      <c r="J85">
        <v>0</v>
      </c>
      <c r="K85">
        <v>0</v>
      </c>
      <c r="L85" t="s">
        <v>12</v>
      </c>
      <c r="M85">
        <v>1</v>
      </c>
      <c r="N85" t="s">
        <v>65</v>
      </c>
      <c r="O85">
        <v>200</v>
      </c>
      <c r="P85">
        <v>70</v>
      </c>
      <c r="Q85">
        <v>15</v>
      </c>
    </row>
    <row r="86" spans="1:17" s="4" customFormat="1" x14ac:dyDescent="0.2">
      <c r="A86" s="4" t="s">
        <v>64</v>
      </c>
      <c r="B86" s="4" t="s">
        <v>63</v>
      </c>
      <c r="C86" s="4">
        <v>17</v>
      </c>
      <c r="D86" s="4">
        <v>56</v>
      </c>
      <c r="E86" s="4">
        <v>1</v>
      </c>
      <c r="F86" s="4">
        <v>1</v>
      </c>
      <c r="G86" s="4" t="s">
        <v>25</v>
      </c>
      <c r="H86" s="4">
        <v>347.8</v>
      </c>
      <c r="I86" s="4">
        <v>0</v>
      </c>
      <c r="J86" s="4">
        <v>0</v>
      </c>
      <c r="K86" s="4">
        <v>0</v>
      </c>
      <c r="L86" s="4" t="s">
        <v>27</v>
      </c>
      <c r="M86" s="4">
        <v>1</v>
      </c>
      <c r="N86" s="4" t="s">
        <v>65</v>
      </c>
      <c r="O86" s="4">
        <v>200</v>
      </c>
      <c r="P86" s="4">
        <v>70</v>
      </c>
      <c r="Q86" s="4">
        <v>15</v>
      </c>
    </row>
    <row r="87" spans="1:17" x14ac:dyDescent="0.2">
      <c r="A87" t="s">
        <v>64</v>
      </c>
      <c r="B87" t="s">
        <v>63</v>
      </c>
      <c r="C87">
        <v>18</v>
      </c>
      <c r="D87">
        <v>0</v>
      </c>
      <c r="E87">
        <v>1</v>
      </c>
      <c r="F87">
        <v>1</v>
      </c>
      <c r="G87" t="s">
        <v>25</v>
      </c>
      <c r="H87">
        <v>12.3</v>
      </c>
      <c r="I87">
        <v>0</v>
      </c>
      <c r="J87">
        <v>0</v>
      </c>
      <c r="K87">
        <v>0</v>
      </c>
      <c r="L87" t="s">
        <v>27</v>
      </c>
      <c r="M87">
        <v>3</v>
      </c>
      <c r="N87" t="s">
        <v>65</v>
      </c>
      <c r="O87">
        <v>50</v>
      </c>
      <c r="P87">
        <v>70</v>
      </c>
      <c r="Q87">
        <v>15</v>
      </c>
    </row>
    <row r="88" spans="1:17" x14ac:dyDescent="0.2">
      <c r="A88" t="s">
        <v>64</v>
      </c>
      <c r="B88" t="s">
        <v>63</v>
      </c>
      <c r="C88">
        <v>18</v>
      </c>
      <c r="D88">
        <v>14</v>
      </c>
      <c r="E88">
        <v>1</v>
      </c>
      <c r="F88">
        <v>1</v>
      </c>
      <c r="G88" t="s">
        <v>25</v>
      </c>
      <c r="H88">
        <v>23.2</v>
      </c>
      <c r="I88">
        <v>0</v>
      </c>
      <c r="J88">
        <v>0</v>
      </c>
      <c r="K88">
        <v>0</v>
      </c>
      <c r="L88" t="s">
        <v>12</v>
      </c>
      <c r="M88">
        <v>3</v>
      </c>
      <c r="N88" t="s">
        <v>65</v>
      </c>
      <c r="O88">
        <v>50</v>
      </c>
      <c r="P88">
        <v>70</v>
      </c>
      <c r="Q88">
        <v>15</v>
      </c>
    </row>
    <row r="89" spans="1:17" x14ac:dyDescent="0.2">
      <c r="A89" t="s">
        <v>64</v>
      </c>
      <c r="B89" t="s">
        <v>63</v>
      </c>
      <c r="C89">
        <v>18</v>
      </c>
      <c r="D89">
        <v>28</v>
      </c>
      <c r="E89">
        <v>1</v>
      </c>
      <c r="F89">
        <v>1</v>
      </c>
      <c r="G89" t="s">
        <v>25</v>
      </c>
      <c r="H89">
        <v>59.8</v>
      </c>
      <c r="I89">
        <v>0</v>
      </c>
      <c r="J89">
        <v>0</v>
      </c>
      <c r="K89">
        <v>0</v>
      </c>
      <c r="L89" t="s">
        <v>27</v>
      </c>
      <c r="M89">
        <v>3</v>
      </c>
      <c r="N89" t="s">
        <v>65</v>
      </c>
      <c r="O89">
        <v>200</v>
      </c>
      <c r="P89">
        <v>70</v>
      </c>
      <c r="Q89">
        <v>15</v>
      </c>
    </row>
    <row r="90" spans="1:17" x14ac:dyDescent="0.2">
      <c r="A90" t="s">
        <v>64</v>
      </c>
      <c r="B90" t="s">
        <v>63</v>
      </c>
      <c r="C90">
        <v>18</v>
      </c>
      <c r="D90">
        <v>42</v>
      </c>
      <c r="E90">
        <v>1</v>
      </c>
      <c r="F90">
        <v>1</v>
      </c>
      <c r="G90" t="s">
        <v>25</v>
      </c>
      <c r="H90">
        <v>108.1</v>
      </c>
      <c r="I90">
        <v>0</v>
      </c>
      <c r="J90">
        <v>0</v>
      </c>
      <c r="K90">
        <v>0</v>
      </c>
      <c r="L90" t="s">
        <v>12</v>
      </c>
      <c r="M90">
        <v>1</v>
      </c>
      <c r="N90" t="s">
        <v>65</v>
      </c>
      <c r="O90">
        <v>200</v>
      </c>
      <c r="P90">
        <v>70</v>
      </c>
      <c r="Q90">
        <v>15</v>
      </c>
    </row>
    <row r="91" spans="1:17" s="4" customFormat="1" x14ac:dyDescent="0.2">
      <c r="A91" s="4" t="s">
        <v>64</v>
      </c>
      <c r="B91" s="4" t="s">
        <v>63</v>
      </c>
      <c r="C91" s="4">
        <v>18</v>
      </c>
      <c r="D91" s="4">
        <v>56</v>
      </c>
      <c r="E91" s="4">
        <v>1</v>
      </c>
      <c r="F91" s="4">
        <v>1</v>
      </c>
      <c r="G91" s="4" t="s">
        <v>25</v>
      </c>
      <c r="H91" s="4">
        <v>238.6</v>
      </c>
      <c r="I91" s="4">
        <v>0</v>
      </c>
      <c r="J91" s="4">
        <v>0</v>
      </c>
      <c r="K91" s="4">
        <v>0</v>
      </c>
      <c r="L91" s="4" t="s">
        <v>27</v>
      </c>
      <c r="M91" s="4">
        <v>1</v>
      </c>
      <c r="N91" s="4" t="s">
        <v>65</v>
      </c>
      <c r="O91" s="4">
        <v>200</v>
      </c>
      <c r="P91" s="4">
        <v>70</v>
      </c>
      <c r="Q91" s="4">
        <v>15</v>
      </c>
    </row>
    <row r="92" spans="1:17" x14ac:dyDescent="0.2">
      <c r="A92" t="s">
        <v>64</v>
      </c>
      <c r="B92" t="s">
        <v>63</v>
      </c>
      <c r="C92">
        <v>19</v>
      </c>
      <c r="D92">
        <v>0</v>
      </c>
      <c r="E92">
        <v>1</v>
      </c>
      <c r="F92">
        <v>1</v>
      </c>
      <c r="G92" t="s">
        <v>25</v>
      </c>
      <c r="H92">
        <v>12.4</v>
      </c>
      <c r="I92">
        <v>0</v>
      </c>
      <c r="J92">
        <v>0</v>
      </c>
      <c r="K92">
        <v>0</v>
      </c>
      <c r="L92" t="s">
        <v>27</v>
      </c>
      <c r="M92">
        <v>3</v>
      </c>
      <c r="N92" t="s">
        <v>65</v>
      </c>
      <c r="O92">
        <v>50</v>
      </c>
      <c r="P92">
        <v>70</v>
      </c>
      <c r="Q92">
        <v>15</v>
      </c>
    </row>
    <row r="93" spans="1:17" x14ac:dyDescent="0.2">
      <c r="A93" t="s">
        <v>64</v>
      </c>
      <c r="B93" t="s">
        <v>63</v>
      </c>
      <c r="C93">
        <v>19</v>
      </c>
      <c r="D93">
        <v>14</v>
      </c>
      <c r="E93">
        <v>1</v>
      </c>
      <c r="F93">
        <v>1</v>
      </c>
      <c r="G93" t="s">
        <v>25</v>
      </c>
      <c r="H93">
        <v>34.5</v>
      </c>
      <c r="I93">
        <v>0</v>
      </c>
      <c r="J93">
        <v>0</v>
      </c>
      <c r="K93">
        <v>0</v>
      </c>
      <c r="L93" t="s">
        <v>12</v>
      </c>
      <c r="M93">
        <v>3</v>
      </c>
      <c r="N93" t="s">
        <v>65</v>
      </c>
      <c r="O93">
        <v>50</v>
      </c>
      <c r="P93">
        <v>70</v>
      </c>
      <c r="Q93">
        <v>15</v>
      </c>
    </row>
    <row r="94" spans="1:17" x14ac:dyDescent="0.2">
      <c r="A94" t="s">
        <v>64</v>
      </c>
      <c r="B94" t="s">
        <v>63</v>
      </c>
      <c r="C94">
        <v>19</v>
      </c>
      <c r="D94">
        <v>28</v>
      </c>
      <c r="E94">
        <v>1</v>
      </c>
      <c r="F94">
        <v>1</v>
      </c>
      <c r="G94" t="s">
        <v>25</v>
      </c>
      <c r="H94">
        <v>102</v>
      </c>
      <c r="I94">
        <v>0</v>
      </c>
      <c r="J94">
        <v>0</v>
      </c>
      <c r="K94">
        <v>0</v>
      </c>
      <c r="L94" t="s">
        <v>27</v>
      </c>
      <c r="M94">
        <v>3</v>
      </c>
      <c r="N94" t="s">
        <v>65</v>
      </c>
      <c r="O94">
        <v>200</v>
      </c>
      <c r="P94">
        <v>70</v>
      </c>
      <c r="Q94">
        <v>15</v>
      </c>
    </row>
    <row r="95" spans="1:17" x14ac:dyDescent="0.2">
      <c r="A95" t="s">
        <v>64</v>
      </c>
      <c r="B95" t="s">
        <v>63</v>
      </c>
      <c r="C95">
        <v>19</v>
      </c>
      <c r="D95">
        <v>42</v>
      </c>
      <c r="E95">
        <v>1</v>
      </c>
      <c r="F95">
        <v>1</v>
      </c>
      <c r="G95" t="s">
        <v>25</v>
      </c>
      <c r="H95">
        <v>169.8</v>
      </c>
      <c r="I95">
        <v>0</v>
      </c>
      <c r="J95">
        <v>0</v>
      </c>
      <c r="K95">
        <v>0</v>
      </c>
      <c r="L95" t="s">
        <v>12</v>
      </c>
      <c r="M95">
        <v>1</v>
      </c>
      <c r="N95" t="s">
        <v>65</v>
      </c>
      <c r="O95">
        <v>200</v>
      </c>
      <c r="P95">
        <v>70</v>
      </c>
      <c r="Q95">
        <v>15</v>
      </c>
    </row>
    <row r="96" spans="1:17" s="4" customFormat="1" x14ac:dyDescent="0.2">
      <c r="A96" s="4" t="s">
        <v>64</v>
      </c>
      <c r="B96" s="4" t="s">
        <v>63</v>
      </c>
      <c r="C96" s="4">
        <v>19</v>
      </c>
      <c r="D96" s="4">
        <v>56</v>
      </c>
      <c r="E96" s="4">
        <v>1</v>
      </c>
      <c r="F96" s="4">
        <v>1</v>
      </c>
      <c r="G96" s="4" t="s">
        <v>25</v>
      </c>
      <c r="H96" s="4">
        <v>351.3</v>
      </c>
      <c r="I96" s="4">
        <v>0</v>
      </c>
      <c r="J96" s="4">
        <v>0</v>
      </c>
      <c r="K96" s="4">
        <v>0</v>
      </c>
      <c r="L96" s="4" t="s">
        <v>27</v>
      </c>
      <c r="M96" s="4">
        <v>1</v>
      </c>
      <c r="N96" s="4" t="s">
        <v>65</v>
      </c>
      <c r="O96" s="4">
        <v>200</v>
      </c>
      <c r="P96" s="4">
        <v>70</v>
      </c>
      <c r="Q96" s="4">
        <v>15</v>
      </c>
    </row>
    <row r="97" spans="1:17" x14ac:dyDescent="0.2">
      <c r="A97" t="s">
        <v>64</v>
      </c>
      <c r="B97" t="s">
        <v>63</v>
      </c>
      <c r="C97">
        <v>20</v>
      </c>
      <c r="D97">
        <v>0</v>
      </c>
      <c r="E97">
        <v>1</v>
      </c>
      <c r="F97">
        <v>1</v>
      </c>
      <c r="G97" t="s">
        <v>25</v>
      </c>
      <c r="H97">
        <v>12.9</v>
      </c>
      <c r="I97">
        <v>0</v>
      </c>
      <c r="J97">
        <v>0</v>
      </c>
      <c r="K97">
        <v>0</v>
      </c>
      <c r="L97" t="s">
        <v>27</v>
      </c>
      <c r="M97">
        <v>3</v>
      </c>
      <c r="N97" t="s">
        <v>65</v>
      </c>
      <c r="O97">
        <v>50</v>
      </c>
      <c r="P97">
        <v>70</v>
      </c>
      <c r="Q97">
        <v>15</v>
      </c>
    </row>
    <row r="98" spans="1:17" x14ac:dyDescent="0.2">
      <c r="A98" t="s">
        <v>64</v>
      </c>
      <c r="B98" t="s">
        <v>63</v>
      </c>
      <c r="C98">
        <v>20</v>
      </c>
      <c r="D98">
        <v>14</v>
      </c>
      <c r="E98">
        <v>1</v>
      </c>
      <c r="F98">
        <v>1</v>
      </c>
      <c r="G98" t="s">
        <v>25</v>
      </c>
      <c r="H98">
        <v>33.200000000000003</v>
      </c>
      <c r="I98">
        <v>0</v>
      </c>
      <c r="J98">
        <v>0</v>
      </c>
      <c r="K98">
        <v>0</v>
      </c>
      <c r="L98" t="s">
        <v>12</v>
      </c>
      <c r="M98">
        <v>3</v>
      </c>
      <c r="N98" t="s">
        <v>65</v>
      </c>
      <c r="O98">
        <v>50</v>
      </c>
      <c r="P98">
        <v>70</v>
      </c>
      <c r="Q98">
        <v>15</v>
      </c>
    </row>
    <row r="99" spans="1:17" x14ac:dyDescent="0.2">
      <c r="A99" t="s">
        <v>64</v>
      </c>
      <c r="B99" t="s">
        <v>63</v>
      </c>
      <c r="C99">
        <v>20</v>
      </c>
      <c r="D99">
        <v>28</v>
      </c>
      <c r="E99">
        <v>1</v>
      </c>
      <c r="F99">
        <v>1</v>
      </c>
      <c r="G99" t="s">
        <v>25</v>
      </c>
      <c r="H99">
        <v>95.7</v>
      </c>
      <c r="I99">
        <v>0</v>
      </c>
      <c r="J99">
        <v>0</v>
      </c>
      <c r="K99">
        <v>0</v>
      </c>
      <c r="L99" t="s">
        <v>27</v>
      </c>
      <c r="M99">
        <v>3</v>
      </c>
      <c r="N99" t="s">
        <v>65</v>
      </c>
      <c r="O99">
        <v>200</v>
      </c>
      <c r="P99">
        <v>70</v>
      </c>
      <c r="Q99">
        <v>15</v>
      </c>
    </row>
    <row r="100" spans="1:17" x14ac:dyDescent="0.2">
      <c r="A100" t="s">
        <v>64</v>
      </c>
      <c r="B100" t="s">
        <v>63</v>
      </c>
      <c r="C100">
        <v>20</v>
      </c>
      <c r="D100">
        <v>42</v>
      </c>
      <c r="E100">
        <v>1</v>
      </c>
      <c r="F100">
        <v>1</v>
      </c>
      <c r="G100" t="s">
        <v>25</v>
      </c>
      <c r="H100">
        <v>154.1</v>
      </c>
      <c r="I100">
        <v>0</v>
      </c>
      <c r="J100">
        <v>0</v>
      </c>
      <c r="K100">
        <v>0</v>
      </c>
      <c r="L100" t="s">
        <v>12</v>
      </c>
      <c r="M100">
        <v>1</v>
      </c>
      <c r="N100" t="s">
        <v>65</v>
      </c>
      <c r="O100">
        <v>200</v>
      </c>
      <c r="P100">
        <v>70</v>
      </c>
      <c r="Q100">
        <v>15</v>
      </c>
    </row>
    <row r="101" spans="1:17" s="4" customFormat="1" x14ac:dyDescent="0.2">
      <c r="A101" s="4" t="s">
        <v>64</v>
      </c>
      <c r="B101" s="4" t="s">
        <v>63</v>
      </c>
      <c r="C101" s="4">
        <v>20</v>
      </c>
      <c r="D101" s="4">
        <v>56</v>
      </c>
      <c r="E101" s="4">
        <v>1</v>
      </c>
      <c r="F101" s="4">
        <v>1</v>
      </c>
      <c r="G101" s="4" t="s">
        <v>25</v>
      </c>
      <c r="H101" s="4">
        <v>387.7</v>
      </c>
      <c r="I101" s="4">
        <v>0</v>
      </c>
      <c r="J101" s="4">
        <v>0</v>
      </c>
      <c r="K101" s="4">
        <v>0</v>
      </c>
      <c r="L101" s="4" t="s">
        <v>27</v>
      </c>
      <c r="M101" s="4">
        <v>1</v>
      </c>
      <c r="N101" s="4" t="s">
        <v>65</v>
      </c>
      <c r="O101" s="4">
        <v>200</v>
      </c>
      <c r="P101" s="4">
        <v>70</v>
      </c>
      <c r="Q101" s="4">
        <v>15</v>
      </c>
    </row>
    <row r="102" spans="1:17" x14ac:dyDescent="0.2">
      <c r="A102" t="s">
        <v>64</v>
      </c>
      <c r="B102" t="s">
        <v>63</v>
      </c>
      <c r="C102">
        <v>21</v>
      </c>
      <c r="D102">
        <v>0</v>
      </c>
      <c r="E102">
        <v>1</v>
      </c>
      <c r="F102">
        <v>1</v>
      </c>
      <c r="G102" t="s">
        <v>25</v>
      </c>
      <c r="H102">
        <v>13</v>
      </c>
      <c r="I102">
        <v>0</v>
      </c>
      <c r="J102">
        <v>0</v>
      </c>
      <c r="K102">
        <v>0</v>
      </c>
      <c r="L102" t="s">
        <v>27</v>
      </c>
      <c r="M102">
        <v>3</v>
      </c>
      <c r="N102" t="s">
        <v>65</v>
      </c>
      <c r="O102">
        <v>50</v>
      </c>
      <c r="P102">
        <v>70</v>
      </c>
      <c r="Q102">
        <v>15</v>
      </c>
    </row>
    <row r="103" spans="1:17" x14ac:dyDescent="0.2">
      <c r="A103" t="s">
        <v>64</v>
      </c>
      <c r="B103" t="s">
        <v>63</v>
      </c>
      <c r="C103">
        <v>21</v>
      </c>
      <c r="D103">
        <v>14</v>
      </c>
      <c r="E103">
        <v>1</v>
      </c>
      <c r="F103">
        <v>1</v>
      </c>
      <c r="G103" t="s">
        <v>25</v>
      </c>
      <c r="H103">
        <v>45.2</v>
      </c>
      <c r="I103">
        <v>0</v>
      </c>
      <c r="J103">
        <v>0</v>
      </c>
      <c r="K103">
        <v>0</v>
      </c>
      <c r="L103" t="s">
        <v>12</v>
      </c>
      <c r="M103">
        <v>3</v>
      </c>
      <c r="N103" t="s">
        <v>65</v>
      </c>
      <c r="O103">
        <v>50</v>
      </c>
      <c r="P103">
        <v>70</v>
      </c>
      <c r="Q103">
        <v>15</v>
      </c>
    </row>
    <row r="104" spans="1:17" x14ac:dyDescent="0.2">
      <c r="A104" t="s">
        <v>64</v>
      </c>
      <c r="B104" t="s">
        <v>63</v>
      </c>
      <c r="C104">
        <v>21</v>
      </c>
      <c r="D104">
        <v>28</v>
      </c>
      <c r="E104">
        <v>1</v>
      </c>
      <c r="F104">
        <v>1</v>
      </c>
      <c r="G104" t="s">
        <v>25</v>
      </c>
      <c r="H104">
        <v>123.1</v>
      </c>
      <c r="I104">
        <v>0</v>
      </c>
      <c r="J104">
        <v>0</v>
      </c>
      <c r="K104">
        <v>0</v>
      </c>
      <c r="L104" t="s">
        <v>27</v>
      </c>
      <c r="M104">
        <v>3</v>
      </c>
      <c r="N104" t="s">
        <v>65</v>
      </c>
      <c r="O104">
        <v>200</v>
      </c>
      <c r="P104">
        <v>70</v>
      </c>
      <c r="Q104">
        <v>15</v>
      </c>
    </row>
    <row r="105" spans="1:17" x14ac:dyDescent="0.2">
      <c r="A105" t="s">
        <v>64</v>
      </c>
      <c r="B105" t="s">
        <v>63</v>
      </c>
      <c r="C105">
        <v>21</v>
      </c>
      <c r="D105">
        <v>42</v>
      </c>
      <c r="E105">
        <v>1</v>
      </c>
      <c r="F105">
        <v>1</v>
      </c>
      <c r="G105" t="s">
        <v>25</v>
      </c>
      <c r="H105">
        <v>200.3</v>
      </c>
      <c r="I105">
        <v>0</v>
      </c>
      <c r="J105">
        <v>0</v>
      </c>
      <c r="K105">
        <v>0</v>
      </c>
      <c r="L105" t="s">
        <v>12</v>
      </c>
      <c r="M105">
        <v>1</v>
      </c>
      <c r="N105" t="s">
        <v>65</v>
      </c>
      <c r="O105">
        <v>200</v>
      </c>
      <c r="P105">
        <v>70</v>
      </c>
      <c r="Q105">
        <v>15</v>
      </c>
    </row>
    <row r="106" spans="1:17" s="4" customFormat="1" x14ac:dyDescent="0.2">
      <c r="A106" s="4" t="s">
        <v>64</v>
      </c>
      <c r="B106" s="4" t="s">
        <v>63</v>
      </c>
      <c r="C106" s="4">
        <v>21</v>
      </c>
      <c r="D106" s="4">
        <v>56</v>
      </c>
      <c r="E106" s="4">
        <v>1</v>
      </c>
      <c r="F106" s="4">
        <v>1</v>
      </c>
      <c r="G106" s="4" t="s">
        <v>25</v>
      </c>
      <c r="H106" s="4">
        <v>487.3</v>
      </c>
      <c r="I106" s="4">
        <v>0</v>
      </c>
      <c r="J106" s="4">
        <v>0</v>
      </c>
      <c r="K106" s="4">
        <v>0</v>
      </c>
      <c r="L106" s="4" t="s">
        <v>27</v>
      </c>
      <c r="M106" s="4">
        <v>1</v>
      </c>
      <c r="N106" s="4" t="s">
        <v>65</v>
      </c>
      <c r="O106" s="4">
        <v>200</v>
      </c>
      <c r="P106" s="4">
        <v>70</v>
      </c>
      <c r="Q106" s="4">
        <v>15</v>
      </c>
    </row>
    <row r="107" spans="1:17" x14ac:dyDescent="0.2">
      <c r="A107" t="s">
        <v>64</v>
      </c>
      <c r="B107" t="s">
        <v>63</v>
      </c>
      <c r="C107">
        <v>22</v>
      </c>
      <c r="D107">
        <v>0</v>
      </c>
      <c r="E107">
        <v>1</v>
      </c>
      <c r="F107">
        <v>1</v>
      </c>
      <c r="G107" t="s">
        <v>25</v>
      </c>
      <c r="H107">
        <v>13.4</v>
      </c>
      <c r="I107">
        <v>0</v>
      </c>
      <c r="J107">
        <v>0</v>
      </c>
      <c r="K107">
        <v>0</v>
      </c>
      <c r="L107" t="s">
        <v>27</v>
      </c>
      <c r="M107">
        <v>3</v>
      </c>
      <c r="N107" t="s">
        <v>65</v>
      </c>
      <c r="O107">
        <v>50</v>
      </c>
      <c r="P107">
        <v>70</v>
      </c>
      <c r="Q107">
        <v>15</v>
      </c>
    </row>
    <row r="108" spans="1:17" x14ac:dyDescent="0.2">
      <c r="A108" t="s">
        <v>64</v>
      </c>
      <c r="B108" t="s">
        <v>63</v>
      </c>
      <c r="C108">
        <v>22</v>
      </c>
      <c r="D108">
        <v>14</v>
      </c>
      <c r="E108">
        <v>1</v>
      </c>
      <c r="F108">
        <v>1</v>
      </c>
      <c r="G108" t="s">
        <v>25</v>
      </c>
      <c r="H108">
        <v>27.2</v>
      </c>
      <c r="I108">
        <v>0</v>
      </c>
      <c r="J108">
        <v>0</v>
      </c>
      <c r="K108">
        <v>0</v>
      </c>
      <c r="L108" t="s">
        <v>12</v>
      </c>
      <c r="M108">
        <v>3</v>
      </c>
      <c r="N108" t="s">
        <v>65</v>
      </c>
      <c r="O108">
        <v>50</v>
      </c>
      <c r="P108">
        <v>70</v>
      </c>
      <c r="Q108">
        <v>15</v>
      </c>
    </row>
    <row r="109" spans="1:17" x14ac:dyDescent="0.2">
      <c r="A109" t="s">
        <v>64</v>
      </c>
      <c r="B109" t="s">
        <v>63</v>
      </c>
      <c r="C109">
        <v>22</v>
      </c>
      <c r="D109">
        <v>28</v>
      </c>
      <c r="E109">
        <v>1</v>
      </c>
      <c r="F109">
        <v>1</v>
      </c>
      <c r="G109" t="s">
        <v>25</v>
      </c>
      <c r="H109">
        <v>103.3</v>
      </c>
      <c r="I109">
        <v>0</v>
      </c>
      <c r="J109">
        <v>0</v>
      </c>
      <c r="K109">
        <v>0</v>
      </c>
      <c r="L109" t="s">
        <v>27</v>
      </c>
      <c r="M109">
        <v>3</v>
      </c>
      <c r="N109" t="s">
        <v>65</v>
      </c>
      <c r="O109">
        <v>200</v>
      </c>
      <c r="P109">
        <v>70</v>
      </c>
      <c r="Q109">
        <v>15</v>
      </c>
    </row>
    <row r="110" spans="1:17" x14ac:dyDescent="0.2">
      <c r="A110" t="s">
        <v>64</v>
      </c>
      <c r="B110" t="s">
        <v>63</v>
      </c>
      <c r="C110">
        <v>22</v>
      </c>
      <c r="D110">
        <v>42</v>
      </c>
      <c r="E110">
        <v>1</v>
      </c>
      <c r="F110">
        <v>1</v>
      </c>
      <c r="G110" t="s">
        <v>25</v>
      </c>
      <c r="H110">
        <v>134.6</v>
      </c>
      <c r="I110">
        <v>0</v>
      </c>
      <c r="J110">
        <v>0</v>
      </c>
      <c r="K110">
        <v>0</v>
      </c>
      <c r="L110" t="s">
        <v>12</v>
      </c>
      <c r="M110">
        <v>1</v>
      </c>
      <c r="N110" t="s">
        <v>65</v>
      </c>
      <c r="O110">
        <v>200</v>
      </c>
      <c r="P110">
        <v>70</v>
      </c>
      <c r="Q110">
        <v>15</v>
      </c>
    </row>
    <row r="111" spans="1:17" s="4" customFormat="1" x14ac:dyDescent="0.2">
      <c r="A111" s="4" t="s">
        <v>64</v>
      </c>
      <c r="B111" s="4" t="s">
        <v>63</v>
      </c>
      <c r="C111" s="4">
        <v>22</v>
      </c>
      <c r="D111" s="4">
        <v>56</v>
      </c>
      <c r="E111" s="4">
        <v>1</v>
      </c>
      <c r="F111" s="4">
        <v>1</v>
      </c>
      <c r="G111" s="4" t="s">
        <v>25</v>
      </c>
      <c r="H111" s="4">
        <v>343.4</v>
      </c>
      <c r="I111" s="4">
        <v>0</v>
      </c>
      <c r="J111" s="4">
        <v>0</v>
      </c>
      <c r="K111" s="4">
        <v>0</v>
      </c>
      <c r="L111" s="4" t="s">
        <v>27</v>
      </c>
      <c r="M111" s="4">
        <v>1</v>
      </c>
      <c r="N111" s="4" t="s">
        <v>65</v>
      </c>
      <c r="O111" s="4">
        <v>200</v>
      </c>
      <c r="P111" s="4">
        <v>70</v>
      </c>
      <c r="Q111" s="4">
        <v>15</v>
      </c>
    </row>
    <row r="112" spans="1:17" x14ac:dyDescent="0.2">
      <c r="A112" t="s">
        <v>64</v>
      </c>
      <c r="B112" t="s">
        <v>63</v>
      </c>
      <c r="C112">
        <v>23</v>
      </c>
      <c r="D112">
        <v>0</v>
      </c>
      <c r="E112">
        <v>1</v>
      </c>
      <c r="F112">
        <v>1</v>
      </c>
      <c r="G112" t="s">
        <v>25</v>
      </c>
      <c r="H112">
        <v>14.1</v>
      </c>
      <c r="I112">
        <v>0</v>
      </c>
      <c r="J112">
        <v>0</v>
      </c>
      <c r="K112">
        <v>0</v>
      </c>
      <c r="L112" t="s">
        <v>27</v>
      </c>
      <c r="M112">
        <v>3</v>
      </c>
      <c r="N112" t="s">
        <v>65</v>
      </c>
      <c r="O112">
        <v>50</v>
      </c>
      <c r="P112">
        <v>70</v>
      </c>
      <c r="Q112">
        <v>15</v>
      </c>
    </row>
    <row r="113" spans="1:17" x14ac:dyDescent="0.2">
      <c r="A113" t="s">
        <v>64</v>
      </c>
      <c r="B113" t="s">
        <v>63</v>
      </c>
      <c r="C113">
        <v>23</v>
      </c>
      <c r="D113">
        <v>14</v>
      </c>
      <c r="E113">
        <v>1</v>
      </c>
      <c r="F113">
        <v>1</v>
      </c>
      <c r="G113" t="s">
        <v>25</v>
      </c>
      <c r="H113">
        <v>22</v>
      </c>
      <c r="I113">
        <v>0</v>
      </c>
      <c r="J113">
        <v>0</v>
      </c>
      <c r="K113">
        <v>0</v>
      </c>
      <c r="L113" t="s">
        <v>12</v>
      </c>
      <c r="M113">
        <v>3</v>
      </c>
      <c r="N113" t="s">
        <v>65</v>
      </c>
      <c r="O113">
        <v>50</v>
      </c>
      <c r="P113">
        <v>70</v>
      </c>
      <c r="Q113">
        <v>15</v>
      </c>
    </row>
    <row r="114" spans="1:17" x14ac:dyDescent="0.2">
      <c r="A114" t="s">
        <v>64</v>
      </c>
      <c r="B114" t="s">
        <v>63</v>
      </c>
      <c r="C114">
        <v>23</v>
      </c>
      <c r="D114">
        <v>28</v>
      </c>
      <c r="E114">
        <v>1</v>
      </c>
      <c r="F114">
        <v>1</v>
      </c>
      <c r="G114" t="s">
        <v>25</v>
      </c>
      <c r="H114">
        <v>65.2</v>
      </c>
      <c r="I114">
        <v>0</v>
      </c>
      <c r="J114">
        <v>0</v>
      </c>
      <c r="K114">
        <v>0</v>
      </c>
      <c r="L114" t="s">
        <v>27</v>
      </c>
      <c r="M114">
        <v>3</v>
      </c>
      <c r="N114" t="s">
        <v>65</v>
      </c>
      <c r="O114">
        <v>200</v>
      </c>
      <c r="P114">
        <v>70</v>
      </c>
      <c r="Q114">
        <v>15</v>
      </c>
    </row>
    <row r="115" spans="1:17" x14ac:dyDescent="0.2">
      <c r="A115" t="s">
        <v>64</v>
      </c>
      <c r="B115" t="s">
        <v>63</v>
      </c>
      <c r="C115">
        <v>23</v>
      </c>
      <c r="D115">
        <v>42</v>
      </c>
      <c r="E115">
        <v>1</v>
      </c>
      <c r="F115">
        <v>1</v>
      </c>
      <c r="G115" t="s">
        <v>25</v>
      </c>
      <c r="H115">
        <v>113.9</v>
      </c>
      <c r="I115">
        <v>0</v>
      </c>
      <c r="J115">
        <v>0</v>
      </c>
      <c r="K115">
        <v>0</v>
      </c>
      <c r="L115" t="s">
        <v>12</v>
      </c>
      <c r="M115">
        <v>1</v>
      </c>
      <c r="N115" t="s">
        <v>65</v>
      </c>
      <c r="O115">
        <v>200</v>
      </c>
      <c r="P115">
        <v>70</v>
      </c>
      <c r="Q115">
        <v>15</v>
      </c>
    </row>
    <row r="116" spans="1:17" s="4" customFormat="1" x14ac:dyDescent="0.2">
      <c r="A116" s="4" t="s">
        <v>64</v>
      </c>
      <c r="B116" s="4" t="s">
        <v>63</v>
      </c>
      <c r="C116" s="4">
        <v>23</v>
      </c>
      <c r="D116" s="4">
        <v>56</v>
      </c>
      <c r="E116" s="4">
        <v>1</v>
      </c>
      <c r="F116" s="4">
        <v>1</v>
      </c>
      <c r="G116" s="4" t="s">
        <v>25</v>
      </c>
      <c r="H116" s="4">
        <v>270.5</v>
      </c>
      <c r="I116" s="4">
        <v>0</v>
      </c>
      <c r="J116" s="4">
        <v>0</v>
      </c>
      <c r="K116" s="4">
        <v>0</v>
      </c>
      <c r="L116" s="4" t="s">
        <v>27</v>
      </c>
      <c r="M116" s="4">
        <v>1</v>
      </c>
      <c r="N116" s="4" t="s">
        <v>65</v>
      </c>
      <c r="O116" s="4">
        <v>200</v>
      </c>
      <c r="P116" s="4">
        <v>70</v>
      </c>
      <c r="Q116" s="4">
        <v>15</v>
      </c>
    </row>
    <row r="117" spans="1:17" x14ac:dyDescent="0.2">
      <c r="A117" t="s">
        <v>64</v>
      </c>
      <c r="B117" t="s">
        <v>63</v>
      </c>
      <c r="C117">
        <v>24</v>
      </c>
      <c r="D117">
        <v>0</v>
      </c>
      <c r="E117">
        <v>1</v>
      </c>
      <c r="F117">
        <v>1</v>
      </c>
      <c r="G117" t="s">
        <v>25</v>
      </c>
      <c r="H117">
        <v>15.3</v>
      </c>
      <c r="I117">
        <v>0</v>
      </c>
      <c r="J117">
        <v>0</v>
      </c>
      <c r="K117">
        <v>0</v>
      </c>
      <c r="L117" t="s">
        <v>27</v>
      </c>
      <c r="M117">
        <v>3</v>
      </c>
      <c r="N117" t="s">
        <v>65</v>
      </c>
      <c r="O117">
        <v>50</v>
      </c>
      <c r="P117">
        <v>70</v>
      </c>
      <c r="Q117">
        <v>15</v>
      </c>
    </row>
    <row r="118" spans="1:17" x14ac:dyDescent="0.2">
      <c r="A118" t="s">
        <v>64</v>
      </c>
      <c r="B118" t="s">
        <v>63</v>
      </c>
      <c r="C118">
        <v>24</v>
      </c>
      <c r="D118">
        <v>14</v>
      </c>
      <c r="E118">
        <v>1</v>
      </c>
      <c r="F118">
        <v>1</v>
      </c>
      <c r="G118" t="s">
        <v>25</v>
      </c>
      <c r="H118">
        <v>27.8</v>
      </c>
      <c r="I118">
        <v>0</v>
      </c>
      <c r="J118">
        <v>0</v>
      </c>
      <c r="K118">
        <v>0</v>
      </c>
      <c r="L118" t="s">
        <v>12</v>
      </c>
      <c r="M118">
        <v>3</v>
      </c>
      <c r="N118" t="s">
        <v>65</v>
      </c>
      <c r="O118">
        <v>50</v>
      </c>
      <c r="P118">
        <v>70</v>
      </c>
      <c r="Q118">
        <v>15</v>
      </c>
    </row>
    <row r="119" spans="1:17" x14ac:dyDescent="0.2">
      <c r="A119" t="s">
        <v>64</v>
      </c>
      <c r="B119" t="s">
        <v>63</v>
      </c>
      <c r="C119">
        <v>24</v>
      </c>
      <c r="D119">
        <v>28</v>
      </c>
      <c r="E119">
        <v>1</v>
      </c>
      <c r="F119">
        <v>1</v>
      </c>
      <c r="G119" t="s">
        <v>25</v>
      </c>
      <c r="H119">
        <v>84.2</v>
      </c>
      <c r="I119">
        <v>0</v>
      </c>
      <c r="J119">
        <v>0</v>
      </c>
      <c r="K119">
        <v>0</v>
      </c>
      <c r="L119" t="s">
        <v>27</v>
      </c>
      <c r="M119">
        <v>3</v>
      </c>
      <c r="N119" t="s">
        <v>65</v>
      </c>
      <c r="O119">
        <v>200</v>
      </c>
      <c r="P119">
        <v>70</v>
      </c>
      <c r="Q119">
        <v>15</v>
      </c>
    </row>
    <row r="120" spans="1:17" x14ac:dyDescent="0.2">
      <c r="A120" t="s">
        <v>64</v>
      </c>
      <c r="B120" t="s">
        <v>63</v>
      </c>
      <c r="C120">
        <v>24</v>
      </c>
      <c r="D120">
        <v>42</v>
      </c>
      <c r="E120">
        <v>1</v>
      </c>
      <c r="F120">
        <v>1</v>
      </c>
      <c r="G120" t="s">
        <v>25</v>
      </c>
      <c r="H120">
        <v>135.19999999999999</v>
      </c>
      <c r="I120">
        <v>0</v>
      </c>
      <c r="J120">
        <v>0</v>
      </c>
      <c r="K120">
        <v>0</v>
      </c>
      <c r="L120" t="s">
        <v>12</v>
      </c>
      <c r="M120">
        <v>1</v>
      </c>
      <c r="N120" t="s">
        <v>65</v>
      </c>
      <c r="O120">
        <v>200</v>
      </c>
      <c r="P120">
        <v>70</v>
      </c>
      <c r="Q120">
        <v>15</v>
      </c>
    </row>
    <row r="121" spans="1:17" s="4" customFormat="1" x14ac:dyDescent="0.2">
      <c r="A121" s="4" t="s">
        <v>64</v>
      </c>
      <c r="B121" s="4" t="s">
        <v>63</v>
      </c>
      <c r="C121" s="4">
        <v>24</v>
      </c>
      <c r="D121" s="4">
        <v>56</v>
      </c>
      <c r="E121" s="4">
        <v>1</v>
      </c>
      <c r="F121" s="4">
        <v>1</v>
      </c>
      <c r="G121" s="4" t="s">
        <v>25</v>
      </c>
      <c r="H121" s="4">
        <v>336.7</v>
      </c>
      <c r="I121" s="4">
        <v>0</v>
      </c>
      <c r="J121" s="4">
        <v>0</v>
      </c>
      <c r="K121" s="4">
        <v>0</v>
      </c>
      <c r="L121" s="4" t="s">
        <v>27</v>
      </c>
      <c r="M121" s="4">
        <v>1</v>
      </c>
      <c r="N121" s="4" t="s">
        <v>65</v>
      </c>
      <c r="O121" s="4">
        <v>200</v>
      </c>
      <c r="P121" s="4">
        <v>70</v>
      </c>
      <c r="Q121" s="4">
        <v>15</v>
      </c>
    </row>
    <row r="122" spans="1:17" x14ac:dyDescent="0.2">
      <c r="A122" t="s">
        <v>64</v>
      </c>
      <c r="B122" t="s">
        <v>63</v>
      </c>
      <c r="C122">
        <v>25</v>
      </c>
      <c r="D122">
        <v>0</v>
      </c>
      <c r="E122">
        <v>1</v>
      </c>
      <c r="F122">
        <v>1</v>
      </c>
      <c r="G122" t="s">
        <v>25</v>
      </c>
      <c r="H122">
        <v>15.4</v>
      </c>
      <c r="I122">
        <v>0</v>
      </c>
      <c r="J122">
        <v>0</v>
      </c>
      <c r="K122">
        <v>0</v>
      </c>
      <c r="L122" t="s">
        <v>27</v>
      </c>
      <c r="M122">
        <v>3</v>
      </c>
      <c r="N122" t="s">
        <v>65</v>
      </c>
      <c r="O122">
        <v>50</v>
      </c>
      <c r="P122">
        <v>70</v>
      </c>
      <c r="Q122">
        <v>15</v>
      </c>
    </row>
    <row r="123" spans="1:17" x14ac:dyDescent="0.2">
      <c r="A123" t="s">
        <v>64</v>
      </c>
      <c r="B123" t="s">
        <v>63</v>
      </c>
      <c r="C123">
        <v>25</v>
      </c>
      <c r="D123">
        <v>14</v>
      </c>
      <c r="E123">
        <v>1</v>
      </c>
      <c r="F123">
        <v>1</v>
      </c>
      <c r="G123" t="s">
        <v>25</v>
      </c>
      <c r="H123">
        <v>29.6</v>
      </c>
      <c r="I123">
        <v>0</v>
      </c>
      <c r="J123">
        <v>0</v>
      </c>
      <c r="K123">
        <v>0</v>
      </c>
      <c r="L123" t="s">
        <v>12</v>
      </c>
      <c r="M123">
        <v>3</v>
      </c>
      <c r="N123" t="s">
        <v>65</v>
      </c>
      <c r="O123">
        <v>50</v>
      </c>
      <c r="P123">
        <v>70</v>
      </c>
      <c r="Q123">
        <v>15</v>
      </c>
    </row>
    <row r="124" spans="1:17" x14ac:dyDescent="0.2">
      <c r="A124" t="s">
        <v>64</v>
      </c>
      <c r="B124" t="s">
        <v>63</v>
      </c>
      <c r="C124">
        <v>25</v>
      </c>
      <c r="D124">
        <v>28</v>
      </c>
      <c r="E124">
        <v>1</v>
      </c>
      <c r="F124">
        <v>1</v>
      </c>
      <c r="G124" t="s">
        <v>25</v>
      </c>
      <c r="H124">
        <v>109.1</v>
      </c>
      <c r="I124">
        <v>0</v>
      </c>
      <c r="J124">
        <v>0</v>
      </c>
      <c r="K124">
        <v>0</v>
      </c>
      <c r="L124" t="s">
        <v>27</v>
      </c>
      <c r="M124">
        <v>3</v>
      </c>
      <c r="N124" t="s">
        <v>65</v>
      </c>
      <c r="O124">
        <v>200</v>
      </c>
      <c r="P124">
        <v>70</v>
      </c>
      <c r="Q124">
        <v>15</v>
      </c>
    </row>
    <row r="125" spans="1:17" x14ac:dyDescent="0.2">
      <c r="A125" t="s">
        <v>64</v>
      </c>
      <c r="B125" t="s">
        <v>63</v>
      </c>
      <c r="C125">
        <v>25</v>
      </c>
      <c r="D125">
        <v>42</v>
      </c>
      <c r="E125">
        <v>1</v>
      </c>
      <c r="F125">
        <v>1</v>
      </c>
      <c r="G125" t="s">
        <v>25</v>
      </c>
      <c r="H125">
        <v>169.5</v>
      </c>
      <c r="I125">
        <v>0</v>
      </c>
      <c r="J125">
        <v>0</v>
      </c>
      <c r="K125">
        <v>0</v>
      </c>
      <c r="L125" t="s">
        <v>12</v>
      </c>
      <c r="M125">
        <v>1</v>
      </c>
      <c r="N125" t="s">
        <v>65</v>
      </c>
      <c r="O125">
        <v>200</v>
      </c>
      <c r="P125">
        <v>70</v>
      </c>
      <c r="Q125">
        <v>15</v>
      </c>
    </row>
    <row r="126" spans="1:17" s="4" customFormat="1" x14ac:dyDescent="0.2">
      <c r="A126" s="4" t="s">
        <v>64</v>
      </c>
      <c r="B126" s="4" t="s">
        <v>63</v>
      </c>
      <c r="C126" s="4">
        <v>25</v>
      </c>
      <c r="D126" s="4">
        <v>56</v>
      </c>
      <c r="E126" s="4">
        <v>1</v>
      </c>
      <c r="F126" s="4">
        <v>1</v>
      </c>
      <c r="G126" s="4" t="s">
        <v>25</v>
      </c>
      <c r="H126" s="4">
        <v>393.9</v>
      </c>
      <c r="I126" s="4">
        <v>0</v>
      </c>
      <c r="J126" s="4">
        <v>0</v>
      </c>
      <c r="K126" s="4">
        <v>0</v>
      </c>
      <c r="L126" s="4" t="s">
        <v>27</v>
      </c>
      <c r="M126" s="4">
        <v>1</v>
      </c>
      <c r="N126" s="4" t="s">
        <v>65</v>
      </c>
      <c r="O126" s="4">
        <v>200</v>
      </c>
      <c r="P126" s="4">
        <v>70</v>
      </c>
      <c r="Q126" s="4">
        <v>15</v>
      </c>
    </row>
    <row r="127" spans="1:17" x14ac:dyDescent="0.2">
      <c r="A127" t="s">
        <v>64</v>
      </c>
      <c r="B127" t="s">
        <v>63</v>
      </c>
      <c r="C127">
        <v>26</v>
      </c>
      <c r="D127">
        <v>0</v>
      </c>
      <c r="E127">
        <v>1</v>
      </c>
      <c r="F127">
        <v>1</v>
      </c>
      <c r="G127" t="s">
        <v>25</v>
      </c>
      <c r="H127">
        <v>17.600000000000001</v>
      </c>
      <c r="I127">
        <v>0</v>
      </c>
      <c r="J127">
        <v>0</v>
      </c>
      <c r="K127">
        <v>0</v>
      </c>
      <c r="L127" t="s">
        <v>27</v>
      </c>
      <c r="M127">
        <v>3</v>
      </c>
      <c r="N127" t="s">
        <v>65</v>
      </c>
      <c r="O127">
        <v>50</v>
      </c>
      <c r="P127">
        <v>70</v>
      </c>
      <c r="Q127">
        <v>15</v>
      </c>
    </row>
    <row r="128" spans="1:17" x14ac:dyDescent="0.2">
      <c r="A128" t="s">
        <v>64</v>
      </c>
      <c r="B128" t="s">
        <v>63</v>
      </c>
      <c r="C128">
        <v>26</v>
      </c>
      <c r="D128">
        <v>14</v>
      </c>
      <c r="E128">
        <v>1</v>
      </c>
      <c r="F128">
        <v>1</v>
      </c>
      <c r="G128" t="s">
        <v>25</v>
      </c>
      <c r="H128">
        <v>20.2</v>
      </c>
      <c r="I128">
        <v>0</v>
      </c>
      <c r="J128">
        <v>0</v>
      </c>
      <c r="K128">
        <v>0</v>
      </c>
      <c r="L128" t="s">
        <v>12</v>
      </c>
      <c r="M128">
        <v>3</v>
      </c>
      <c r="N128" t="s">
        <v>65</v>
      </c>
      <c r="O128">
        <v>50</v>
      </c>
      <c r="P128">
        <v>70</v>
      </c>
      <c r="Q128">
        <v>15</v>
      </c>
    </row>
    <row r="129" spans="1:17" x14ac:dyDescent="0.2">
      <c r="A129" t="s">
        <v>64</v>
      </c>
      <c r="B129" t="s">
        <v>63</v>
      </c>
      <c r="C129">
        <v>26</v>
      </c>
      <c r="D129">
        <v>28</v>
      </c>
      <c r="E129">
        <v>1</v>
      </c>
      <c r="F129">
        <v>1</v>
      </c>
      <c r="G129" t="s">
        <v>25</v>
      </c>
      <c r="H129">
        <v>58.3</v>
      </c>
      <c r="I129">
        <v>0</v>
      </c>
      <c r="J129">
        <v>0</v>
      </c>
      <c r="K129">
        <v>0</v>
      </c>
      <c r="L129" t="s">
        <v>27</v>
      </c>
      <c r="M129">
        <v>3</v>
      </c>
      <c r="N129" t="s">
        <v>65</v>
      </c>
      <c r="O129">
        <v>200</v>
      </c>
      <c r="P129">
        <v>70</v>
      </c>
      <c r="Q129">
        <v>15</v>
      </c>
    </row>
    <row r="130" spans="1:17" x14ac:dyDescent="0.2">
      <c r="A130" t="s">
        <v>64</v>
      </c>
      <c r="B130" t="s">
        <v>63</v>
      </c>
      <c r="C130">
        <v>26</v>
      </c>
      <c r="D130">
        <v>42</v>
      </c>
      <c r="E130">
        <v>1</v>
      </c>
      <c r="F130">
        <v>1</v>
      </c>
      <c r="G130" t="s">
        <v>25</v>
      </c>
      <c r="H130">
        <v>78.599999999999994</v>
      </c>
      <c r="I130">
        <v>0</v>
      </c>
      <c r="J130">
        <v>0</v>
      </c>
      <c r="K130">
        <v>0</v>
      </c>
      <c r="L130" t="s">
        <v>12</v>
      </c>
      <c r="M130">
        <v>1</v>
      </c>
      <c r="N130" t="s">
        <v>65</v>
      </c>
      <c r="O130">
        <v>200</v>
      </c>
      <c r="P130">
        <v>70</v>
      </c>
      <c r="Q130">
        <v>15</v>
      </c>
    </row>
    <row r="131" spans="1:17" s="4" customFormat="1" x14ac:dyDescent="0.2">
      <c r="A131" s="4" t="s">
        <v>64</v>
      </c>
      <c r="B131" s="4" t="s">
        <v>63</v>
      </c>
      <c r="C131" s="4">
        <v>26</v>
      </c>
      <c r="D131" s="4">
        <v>56</v>
      </c>
      <c r="E131" s="4">
        <v>1</v>
      </c>
      <c r="F131" s="4">
        <v>1</v>
      </c>
      <c r="G131" s="4" t="s">
        <v>25</v>
      </c>
      <c r="H131" s="4">
        <v>171.4</v>
      </c>
      <c r="I131" s="4">
        <v>0</v>
      </c>
      <c r="J131" s="4">
        <v>0</v>
      </c>
      <c r="K131" s="4">
        <v>0</v>
      </c>
      <c r="L131" s="4" t="s">
        <v>27</v>
      </c>
      <c r="M131" s="4">
        <v>1</v>
      </c>
      <c r="N131" s="4" t="s">
        <v>65</v>
      </c>
      <c r="O131" s="4">
        <v>200</v>
      </c>
      <c r="P131" s="4">
        <v>70</v>
      </c>
      <c r="Q131" s="4">
        <v>15</v>
      </c>
    </row>
    <row r="132" spans="1:17" x14ac:dyDescent="0.2">
      <c r="A132" t="s">
        <v>64</v>
      </c>
      <c r="B132" t="s">
        <v>63</v>
      </c>
      <c r="C132">
        <v>27</v>
      </c>
      <c r="D132">
        <v>0</v>
      </c>
      <c r="E132">
        <v>1</v>
      </c>
      <c r="F132">
        <v>1</v>
      </c>
      <c r="G132" t="s">
        <v>25</v>
      </c>
      <c r="H132">
        <v>18.399999999999999</v>
      </c>
      <c r="I132">
        <v>0</v>
      </c>
      <c r="J132">
        <v>0</v>
      </c>
      <c r="K132">
        <v>0</v>
      </c>
      <c r="L132" t="s">
        <v>27</v>
      </c>
      <c r="M132">
        <v>3</v>
      </c>
      <c r="N132" t="s">
        <v>65</v>
      </c>
      <c r="O132">
        <v>50</v>
      </c>
      <c r="P132">
        <v>70</v>
      </c>
      <c r="Q132">
        <v>15</v>
      </c>
    </row>
    <row r="133" spans="1:17" x14ac:dyDescent="0.2">
      <c r="A133" t="s">
        <v>64</v>
      </c>
      <c r="B133" t="s">
        <v>63</v>
      </c>
      <c r="C133">
        <v>27</v>
      </c>
      <c r="D133">
        <v>14</v>
      </c>
      <c r="E133">
        <v>1</v>
      </c>
      <c r="F133">
        <v>1</v>
      </c>
      <c r="G133" t="s">
        <v>25</v>
      </c>
      <c r="H133">
        <v>44.8</v>
      </c>
      <c r="I133">
        <v>0</v>
      </c>
      <c r="J133">
        <v>0</v>
      </c>
      <c r="K133">
        <v>0</v>
      </c>
      <c r="L133" t="s">
        <v>12</v>
      </c>
      <c r="M133">
        <v>3</v>
      </c>
      <c r="N133" t="s">
        <v>65</v>
      </c>
      <c r="O133">
        <v>50</v>
      </c>
      <c r="P133">
        <v>70</v>
      </c>
      <c r="Q133">
        <v>15</v>
      </c>
    </row>
    <row r="134" spans="1:17" x14ac:dyDescent="0.2">
      <c r="A134" t="s">
        <v>64</v>
      </c>
      <c r="B134" t="s">
        <v>63</v>
      </c>
      <c r="C134">
        <v>27</v>
      </c>
      <c r="D134">
        <v>28</v>
      </c>
      <c r="E134">
        <v>1</v>
      </c>
      <c r="F134">
        <v>1</v>
      </c>
      <c r="G134" t="s">
        <v>25</v>
      </c>
      <c r="H134">
        <v>130.9</v>
      </c>
      <c r="I134">
        <v>0</v>
      </c>
      <c r="J134">
        <v>0</v>
      </c>
      <c r="K134">
        <v>0</v>
      </c>
      <c r="L134" t="s">
        <v>27</v>
      </c>
      <c r="M134">
        <v>3</v>
      </c>
      <c r="N134" t="s">
        <v>65</v>
      </c>
      <c r="O134">
        <v>200</v>
      </c>
      <c r="P134">
        <v>70</v>
      </c>
      <c r="Q134">
        <v>15</v>
      </c>
    </row>
    <row r="135" spans="1:17" x14ac:dyDescent="0.2">
      <c r="A135" t="s">
        <v>64</v>
      </c>
      <c r="B135" t="s">
        <v>63</v>
      </c>
      <c r="C135">
        <v>27</v>
      </c>
      <c r="D135">
        <v>42</v>
      </c>
      <c r="E135">
        <v>1</v>
      </c>
      <c r="F135">
        <v>1</v>
      </c>
      <c r="G135" t="s">
        <v>25</v>
      </c>
      <c r="H135">
        <v>209.8</v>
      </c>
      <c r="I135">
        <v>0</v>
      </c>
      <c r="J135">
        <v>0</v>
      </c>
      <c r="K135">
        <v>0</v>
      </c>
      <c r="L135" t="s">
        <v>12</v>
      </c>
      <c r="M135">
        <v>1</v>
      </c>
      <c r="N135" t="s">
        <v>65</v>
      </c>
      <c r="O135">
        <v>200</v>
      </c>
      <c r="P135">
        <v>70</v>
      </c>
      <c r="Q135">
        <v>15</v>
      </c>
    </row>
    <row r="136" spans="1:17" s="4" customFormat="1" x14ac:dyDescent="0.2">
      <c r="A136" s="4" t="s">
        <v>64</v>
      </c>
      <c r="B136" s="4" t="s">
        <v>63</v>
      </c>
      <c r="C136" s="4">
        <v>27</v>
      </c>
      <c r="D136" s="4">
        <v>56</v>
      </c>
      <c r="E136" s="4">
        <v>1</v>
      </c>
      <c r="F136" s="4">
        <v>1</v>
      </c>
      <c r="G136" s="4" t="s">
        <v>25</v>
      </c>
      <c r="H136" s="4">
        <v>490.7</v>
      </c>
      <c r="I136" s="4">
        <v>0</v>
      </c>
      <c r="J136" s="4">
        <v>0</v>
      </c>
      <c r="K136" s="4">
        <v>0</v>
      </c>
      <c r="L136" s="4" t="s">
        <v>27</v>
      </c>
      <c r="M136" s="4">
        <v>1</v>
      </c>
      <c r="N136" s="4" t="s">
        <v>65</v>
      </c>
      <c r="O136" s="4">
        <v>200</v>
      </c>
      <c r="P136" s="4">
        <v>70</v>
      </c>
      <c r="Q136" s="4">
        <v>15</v>
      </c>
    </row>
    <row r="137" spans="1:17" x14ac:dyDescent="0.2">
      <c r="A137" t="s">
        <v>64</v>
      </c>
      <c r="B137" t="s">
        <v>63</v>
      </c>
      <c r="C137">
        <v>28</v>
      </c>
      <c r="D137">
        <v>0</v>
      </c>
      <c r="E137">
        <v>1</v>
      </c>
      <c r="F137">
        <v>1</v>
      </c>
      <c r="G137" t="s">
        <v>25</v>
      </c>
      <c r="H137">
        <v>20.3</v>
      </c>
      <c r="I137">
        <v>0</v>
      </c>
      <c r="J137">
        <v>0</v>
      </c>
      <c r="K137">
        <v>0</v>
      </c>
      <c r="L137" t="s">
        <v>27</v>
      </c>
      <c r="M137">
        <v>3</v>
      </c>
      <c r="N137" t="s">
        <v>65</v>
      </c>
      <c r="O137">
        <v>50</v>
      </c>
      <c r="P137">
        <v>70</v>
      </c>
      <c r="Q137">
        <v>15</v>
      </c>
    </row>
    <row r="138" spans="1:17" x14ac:dyDescent="0.2">
      <c r="A138" t="s">
        <v>64</v>
      </c>
      <c r="B138" t="s">
        <v>63</v>
      </c>
      <c r="C138">
        <v>28</v>
      </c>
      <c r="D138">
        <v>14</v>
      </c>
      <c r="E138">
        <v>1</v>
      </c>
      <c r="F138">
        <v>1</v>
      </c>
      <c r="G138" t="s">
        <v>66</v>
      </c>
      <c r="I138">
        <v>0</v>
      </c>
      <c r="J138">
        <v>0</v>
      </c>
      <c r="K138">
        <v>0</v>
      </c>
      <c r="L138" t="s">
        <v>12</v>
      </c>
      <c r="M138">
        <v>3</v>
      </c>
      <c r="N138" t="s">
        <v>65</v>
      </c>
      <c r="O138">
        <v>50</v>
      </c>
      <c r="P138">
        <v>70</v>
      </c>
      <c r="Q138">
        <v>15</v>
      </c>
    </row>
    <row r="139" spans="1:17" x14ac:dyDescent="0.2">
      <c r="A139" t="s">
        <v>64</v>
      </c>
      <c r="B139" t="s">
        <v>63</v>
      </c>
      <c r="C139">
        <v>28</v>
      </c>
      <c r="D139">
        <v>28</v>
      </c>
      <c r="E139">
        <v>1</v>
      </c>
      <c r="F139">
        <v>1</v>
      </c>
      <c r="G139" t="s">
        <v>66</v>
      </c>
      <c r="I139">
        <v>0</v>
      </c>
      <c r="J139">
        <v>0</v>
      </c>
      <c r="K139">
        <v>0</v>
      </c>
      <c r="L139" t="s">
        <v>27</v>
      </c>
      <c r="M139">
        <v>3</v>
      </c>
      <c r="N139" t="s">
        <v>65</v>
      </c>
      <c r="O139">
        <v>200</v>
      </c>
      <c r="P139">
        <v>70</v>
      </c>
      <c r="Q139">
        <v>15</v>
      </c>
    </row>
    <row r="140" spans="1:17" x14ac:dyDescent="0.2">
      <c r="A140" t="s">
        <v>64</v>
      </c>
      <c r="B140" t="s">
        <v>63</v>
      </c>
      <c r="C140">
        <v>28</v>
      </c>
      <c r="D140">
        <v>42</v>
      </c>
      <c r="E140">
        <v>1</v>
      </c>
      <c r="F140">
        <v>1</v>
      </c>
      <c r="G140" t="s">
        <v>66</v>
      </c>
      <c r="I140">
        <v>0</v>
      </c>
      <c r="J140">
        <v>0</v>
      </c>
      <c r="K140">
        <v>0</v>
      </c>
      <c r="L140" t="s">
        <v>12</v>
      </c>
      <c r="M140">
        <v>1</v>
      </c>
      <c r="N140" t="s">
        <v>65</v>
      </c>
      <c r="O140">
        <v>200</v>
      </c>
      <c r="P140">
        <v>70</v>
      </c>
      <c r="Q140">
        <v>15</v>
      </c>
    </row>
    <row r="141" spans="1:17" s="4" customFormat="1" x14ac:dyDescent="0.2">
      <c r="A141" s="4" t="s">
        <v>64</v>
      </c>
      <c r="B141" s="4" t="s">
        <v>63</v>
      </c>
      <c r="C141" s="4">
        <v>28</v>
      </c>
      <c r="D141" s="4">
        <v>56</v>
      </c>
      <c r="E141" s="4">
        <v>1</v>
      </c>
      <c r="F141" s="4">
        <v>1</v>
      </c>
      <c r="G141" s="4" t="s">
        <v>66</v>
      </c>
      <c r="I141" s="4">
        <v>0</v>
      </c>
      <c r="J141" s="4">
        <v>0</v>
      </c>
      <c r="K141" s="4">
        <v>0</v>
      </c>
      <c r="L141" s="4" t="s">
        <v>27</v>
      </c>
      <c r="M141" s="4">
        <v>1</v>
      </c>
      <c r="N141" s="4" t="s">
        <v>65</v>
      </c>
      <c r="O141" s="4">
        <v>200</v>
      </c>
      <c r="P141" s="4">
        <v>70</v>
      </c>
      <c r="Q141" s="4">
        <v>15</v>
      </c>
    </row>
    <row r="142" spans="1:17" x14ac:dyDescent="0.2">
      <c r="A142" t="s">
        <v>64</v>
      </c>
      <c r="B142" t="s">
        <v>63</v>
      </c>
      <c r="C142">
        <v>29</v>
      </c>
      <c r="D142">
        <v>0</v>
      </c>
      <c r="E142">
        <v>1</v>
      </c>
      <c r="F142">
        <v>1</v>
      </c>
      <c r="G142" t="s">
        <v>25</v>
      </c>
      <c r="H142">
        <v>23.7</v>
      </c>
      <c r="I142">
        <v>0</v>
      </c>
      <c r="J142">
        <v>0</v>
      </c>
      <c r="K142">
        <v>0</v>
      </c>
      <c r="L142" t="s">
        <v>27</v>
      </c>
      <c r="M142">
        <v>3</v>
      </c>
      <c r="N142" t="s">
        <v>65</v>
      </c>
      <c r="O142">
        <v>50</v>
      </c>
      <c r="P142">
        <v>70</v>
      </c>
      <c r="Q142">
        <v>15</v>
      </c>
    </row>
    <row r="143" spans="1:17" x14ac:dyDescent="0.2">
      <c r="A143" t="s">
        <v>64</v>
      </c>
      <c r="B143" t="s">
        <v>63</v>
      </c>
      <c r="C143">
        <v>29</v>
      </c>
      <c r="D143">
        <v>14</v>
      </c>
      <c r="E143">
        <v>1</v>
      </c>
      <c r="F143">
        <v>1</v>
      </c>
      <c r="G143" t="s">
        <v>25</v>
      </c>
      <c r="H143">
        <v>67.7</v>
      </c>
      <c r="I143">
        <v>0</v>
      </c>
      <c r="J143">
        <v>0</v>
      </c>
      <c r="K143">
        <v>0</v>
      </c>
      <c r="L143" t="s">
        <v>12</v>
      </c>
      <c r="M143">
        <v>3</v>
      </c>
      <c r="N143" t="s">
        <v>65</v>
      </c>
      <c r="O143">
        <v>50</v>
      </c>
      <c r="P143">
        <v>70</v>
      </c>
      <c r="Q143">
        <v>15</v>
      </c>
    </row>
    <row r="144" spans="1:17" x14ac:dyDescent="0.2">
      <c r="A144" t="s">
        <v>64</v>
      </c>
      <c r="B144" t="s">
        <v>63</v>
      </c>
      <c r="C144">
        <v>29</v>
      </c>
      <c r="D144">
        <v>28</v>
      </c>
      <c r="E144">
        <v>1</v>
      </c>
      <c r="F144">
        <v>1</v>
      </c>
      <c r="G144" t="s">
        <v>25</v>
      </c>
      <c r="H144">
        <v>137.5</v>
      </c>
      <c r="I144">
        <v>0</v>
      </c>
      <c r="J144">
        <v>0</v>
      </c>
      <c r="K144">
        <v>0</v>
      </c>
      <c r="L144" t="s">
        <v>27</v>
      </c>
      <c r="M144">
        <v>3</v>
      </c>
      <c r="N144" t="s">
        <v>65</v>
      </c>
      <c r="O144">
        <v>200</v>
      </c>
      <c r="P144">
        <v>70</v>
      </c>
      <c r="Q144">
        <v>15</v>
      </c>
    </row>
    <row r="145" spans="1:17" x14ac:dyDescent="0.2">
      <c r="A145" t="s">
        <v>64</v>
      </c>
      <c r="B145" t="s">
        <v>63</v>
      </c>
      <c r="C145">
        <v>29</v>
      </c>
      <c r="D145">
        <v>42</v>
      </c>
      <c r="E145">
        <v>1</v>
      </c>
      <c r="F145">
        <v>1</v>
      </c>
      <c r="G145" t="s">
        <v>25</v>
      </c>
      <c r="H145">
        <v>228.9</v>
      </c>
      <c r="I145">
        <v>0</v>
      </c>
      <c r="J145">
        <v>0</v>
      </c>
      <c r="K145">
        <v>0</v>
      </c>
      <c r="L145" t="s">
        <v>12</v>
      </c>
      <c r="M145">
        <v>1</v>
      </c>
      <c r="N145" t="s">
        <v>65</v>
      </c>
      <c r="O145">
        <v>200</v>
      </c>
      <c r="P145">
        <v>70</v>
      </c>
      <c r="Q145">
        <v>15</v>
      </c>
    </row>
    <row r="146" spans="1:17" s="4" customFormat="1" x14ac:dyDescent="0.2">
      <c r="A146" s="4" t="s">
        <v>64</v>
      </c>
      <c r="B146" s="4" t="s">
        <v>63</v>
      </c>
      <c r="C146" s="4">
        <v>29</v>
      </c>
      <c r="D146" s="4">
        <v>56</v>
      </c>
      <c r="E146" s="4">
        <v>1</v>
      </c>
      <c r="F146" s="4">
        <v>1</v>
      </c>
      <c r="G146" s="4" t="s">
        <v>25</v>
      </c>
      <c r="H146" s="4">
        <v>407.1</v>
      </c>
      <c r="I146" s="4">
        <v>0</v>
      </c>
      <c r="J146" s="4">
        <v>0</v>
      </c>
      <c r="K146" s="4">
        <v>0</v>
      </c>
      <c r="L146" s="4" t="s">
        <v>27</v>
      </c>
      <c r="M146" s="4">
        <v>1</v>
      </c>
      <c r="N146" s="4" t="s">
        <v>65</v>
      </c>
      <c r="O146" s="4">
        <v>200</v>
      </c>
      <c r="P146" s="4">
        <v>70</v>
      </c>
      <c r="Q146" s="4">
        <v>15</v>
      </c>
    </row>
    <row r="147" spans="1:17" x14ac:dyDescent="0.2">
      <c r="A147" t="s">
        <v>64</v>
      </c>
      <c r="B147" t="s">
        <v>63</v>
      </c>
      <c r="C147">
        <v>30</v>
      </c>
      <c r="D147">
        <v>0</v>
      </c>
      <c r="E147">
        <v>1</v>
      </c>
      <c r="F147">
        <v>1</v>
      </c>
      <c r="G147" t="s">
        <v>25</v>
      </c>
      <c r="H147">
        <v>12.9</v>
      </c>
      <c r="I147">
        <v>0</v>
      </c>
      <c r="J147">
        <v>0</v>
      </c>
      <c r="K147">
        <v>0</v>
      </c>
      <c r="L147" t="s">
        <v>27</v>
      </c>
      <c r="M147">
        <v>3</v>
      </c>
      <c r="N147" t="s">
        <v>65</v>
      </c>
      <c r="O147">
        <v>50</v>
      </c>
      <c r="P147">
        <v>70</v>
      </c>
      <c r="Q147">
        <v>15</v>
      </c>
    </row>
    <row r="148" spans="1:17" x14ac:dyDescent="0.2">
      <c r="A148" t="s">
        <v>64</v>
      </c>
      <c r="B148" t="s">
        <v>63</v>
      </c>
      <c r="C148">
        <v>30</v>
      </c>
      <c r="D148">
        <v>14</v>
      </c>
      <c r="E148">
        <v>1</v>
      </c>
      <c r="F148">
        <v>1</v>
      </c>
      <c r="G148" t="s">
        <v>25</v>
      </c>
      <c r="H148">
        <v>46.6</v>
      </c>
      <c r="I148">
        <v>0</v>
      </c>
      <c r="J148">
        <v>0</v>
      </c>
      <c r="K148">
        <v>0</v>
      </c>
      <c r="L148" t="s">
        <v>12</v>
      </c>
      <c r="M148">
        <v>3</v>
      </c>
      <c r="N148" t="s">
        <v>65</v>
      </c>
      <c r="O148">
        <v>50</v>
      </c>
      <c r="P148">
        <v>70</v>
      </c>
      <c r="Q148">
        <v>15</v>
      </c>
    </row>
    <row r="149" spans="1:17" x14ac:dyDescent="0.2">
      <c r="A149" t="s">
        <v>64</v>
      </c>
      <c r="B149" t="s">
        <v>63</v>
      </c>
      <c r="C149">
        <v>30</v>
      </c>
      <c r="D149">
        <v>28</v>
      </c>
      <c r="E149">
        <v>1</v>
      </c>
      <c r="F149">
        <v>1</v>
      </c>
      <c r="G149" t="s">
        <v>25</v>
      </c>
      <c r="H149">
        <v>129.80000000000001</v>
      </c>
      <c r="I149">
        <v>0</v>
      </c>
      <c r="J149">
        <v>0</v>
      </c>
      <c r="K149">
        <v>0</v>
      </c>
      <c r="L149" t="s">
        <v>27</v>
      </c>
      <c r="M149">
        <v>3</v>
      </c>
      <c r="N149" t="s">
        <v>65</v>
      </c>
      <c r="O149">
        <v>200</v>
      </c>
      <c r="P149">
        <v>70</v>
      </c>
      <c r="Q149">
        <v>15</v>
      </c>
    </row>
    <row r="150" spans="1:17" x14ac:dyDescent="0.2">
      <c r="A150" t="s">
        <v>64</v>
      </c>
      <c r="B150" t="s">
        <v>63</v>
      </c>
      <c r="C150">
        <v>30</v>
      </c>
      <c r="D150">
        <v>42</v>
      </c>
      <c r="E150">
        <v>1</v>
      </c>
      <c r="F150">
        <v>1</v>
      </c>
      <c r="G150" t="s">
        <v>25</v>
      </c>
      <c r="H150">
        <v>195.1</v>
      </c>
      <c r="I150">
        <v>0</v>
      </c>
      <c r="J150">
        <v>0</v>
      </c>
      <c r="K150">
        <v>0</v>
      </c>
      <c r="L150" t="s">
        <v>12</v>
      </c>
      <c r="M150">
        <v>1</v>
      </c>
      <c r="N150" t="s">
        <v>65</v>
      </c>
      <c r="O150">
        <v>200</v>
      </c>
      <c r="P150">
        <v>70</v>
      </c>
      <c r="Q150">
        <v>15</v>
      </c>
    </row>
    <row r="151" spans="1:17" x14ac:dyDescent="0.2">
      <c r="A151" t="s">
        <v>64</v>
      </c>
      <c r="B151" t="s">
        <v>63</v>
      </c>
      <c r="C151">
        <v>30</v>
      </c>
      <c r="D151">
        <v>56</v>
      </c>
      <c r="E151">
        <v>1</v>
      </c>
      <c r="F151">
        <v>1</v>
      </c>
      <c r="G151" t="s">
        <v>25</v>
      </c>
      <c r="H151">
        <v>390.2</v>
      </c>
      <c r="I151">
        <v>0</v>
      </c>
      <c r="J151">
        <v>0</v>
      </c>
      <c r="K151">
        <v>0</v>
      </c>
      <c r="L151" t="s">
        <v>27</v>
      </c>
      <c r="M151">
        <v>1</v>
      </c>
      <c r="N151" t="s">
        <v>65</v>
      </c>
      <c r="O151" s="4">
        <v>200</v>
      </c>
      <c r="P151">
        <v>70</v>
      </c>
      <c r="Q151">
        <v>15</v>
      </c>
    </row>
  </sheetData>
  <autoFilter ref="A1:Q151" xr:uid="{A00CE6D5-80F9-F549-9332-26E2B35A0260}">
    <sortState xmlns:xlrd2="http://schemas.microsoft.com/office/spreadsheetml/2017/richdata2" ref="A2:Q151">
      <sortCondition ref="C2:C151"/>
    </sortState>
  </autoFilter>
  <phoneticPr fontId="2" type="noConversion"/>
  <conditionalFormatting sqref="G1">
    <cfRule type="cellIs" dxfId="41" priority="13" operator="equal">
      <formula>"J"</formula>
    </cfRule>
    <cfRule type="cellIs" dxfId="40" priority="14" operator="equal">
      <formula>"A"</formula>
    </cfRule>
  </conditionalFormatting>
  <conditionalFormatting sqref="G1">
    <cfRule type="cellIs" dxfId="39" priority="11" operator="equal">
      <formula>"J"</formula>
    </cfRule>
    <cfRule type="cellIs" dxfId="38" priority="12" operator="equal">
      <formula>"A"</formula>
    </cfRule>
  </conditionalFormatting>
  <conditionalFormatting sqref="G1">
    <cfRule type="cellIs" dxfId="37" priority="9" operator="equal">
      <formula>"A"</formula>
    </cfRule>
    <cfRule type="cellIs" dxfId="36" priority="10" operator="equal">
      <formula>"J"</formula>
    </cfRule>
  </conditionalFormatting>
  <conditionalFormatting sqref="G1">
    <cfRule type="cellIs" dxfId="35" priority="7" operator="equal">
      <formula>"J"</formula>
    </cfRule>
    <cfRule type="cellIs" dxfId="34" priority="8" operator="equal">
      <formula>"A"</formula>
    </cfRule>
  </conditionalFormatting>
  <conditionalFormatting sqref="G1">
    <cfRule type="cellIs" dxfId="33" priority="5" operator="equal">
      <formula>"J"</formula>
    </cfRule>
    <cfRule type="cellIs" dxfId="32" priority="6" operator="equal">
      <formula>"A"</formula>
    </cfRule>
  </conditionalFormatting>
  <conditionalFormatting sqref="G1">
    <cfRule type="cellIs" dxfId="31" priority="3" operator="equal">
      <formula>"J"</formula>
    </cfRule>
    <cfRule type="cellIs" dxfId="30" priority="4" operator="equal">
      <formula>"A"</formula>
    </cfRule>
  </conditionalFormatting>
  <conditionalFormatting sqref="G1:G1048576">
    <cfRule type="cellIs" dxfId="29" priority="1" operator="equal">
      <formula>"J"</formula>
    </cfRule>
    <cfRule type="cellIs" dxfId="28" priority="2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3614-26DC-1244-8744-81EE209993A0}">
  <sheetPr filterMode="1"/>
  <dimension ref="A1:Q181"/>
  <sheetViews>
    <sheetView tabSelected="1" zoomScale="109" workbookViewId="0">
      <selection activeCell="A187" sqref="A187"/>
    </sheetView>
  </sheetViews>
  <sheetFormatPr baseColWidth="10" defaultRowHeight="16" x14ac:dyDescent="0.2"/>
  <cols>
    <col min="1" max="1" width="17.33203125" customWidth="1"/>
    <col min="5" max="5" width="22" customWidth="1"/>
    <col min="10" max="10" width="17.5" customWidth="1"/>
    <col min="11" max="11" width="15.83203125" customWidth="1"/>
    <col min="12" max="12" width="14.33203125" customWidth="1"/>
  </cols>
  <sheetData>
    <row r="1" spans="1:17" s="11" customFormat="1" x14ac:dyDescent="0.2">
      <c r="A1" s="11" t="s">
        <v>0</v>
      </c>
      <c r="B1" s="11" t="s">
        <v>1</v>
      </c>
      <c r="C1" s="12" t="s">
        <v>3</v>
      </c>
      <c r="D1" s="13" t="s">
        <v>2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9</v>
      </c>
      <c r="J1" s="11" t="s">
        <v>10</v>
      </c>
      <c r="K1" s="11" t="s">
        <v>8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">
      <c r="A2" t="s">
        <v>64</v>
      </c>
      <c r="B2" t="s">
        <v>70</v>
      </c>
      <c r="C2" t="s">
        <v>71</v>
      </c>
      <c r="D2">
        <v>0</v>
      </c>
      <c r="E2">
        <v>1</v>
      </c>
      <c r="F2">
        <v>1</v>
      </c>
      <c r="G2" t="s">
        <v>25</v>
      </c>
      <c r="H2">
        <v>13.2</v>
      </c>
      <c r="I2">
        <v>0</v>
      </c>
      <c r="J2">
        <v>0</v>
      </c>
      <c r="K2">
        <v>0</v>
      </c>
      <c r="L2" t="s">
        <v>27</v>
      </c>
      <c r="M2">
        <v>3</v>
      </c>
      <c r="N2" t="s">
        <v>28</v>
      </c>
      <c r="O2">
        <v>200</v>
      </c>
      <c r="P2">
        <v>70</v>
      </c>
      <c r="Q2">
        <v>18</v>
      </c>
    </row>
    <row r="3" spans="1:17" x14ac:dyDescent="0.2">
      <c r="A3" t="s">
        <v>64</v>
      </c>
      <c r="B3" t="s">
        <v>70</v>
      </c>
      <c r="C3" t="s">
        <v>72</v>
      </c>
      <c r="D3">
        <v>0</v>
      </c>
      <c r="E3">
        <v>1</v>
      </c>
      <c r="F3">
        <v>1</v>
      </c>
      <c r="G3" t="s">
        <v>25</v>
      </c>
      <c r="H3">
        <v>10.8</v>
      </c>
      <c r="I3">
        <v>0</v>
      </c>
      <c r="J3">
        <v>0</v>
      </c>
      <c r="K3">
        <v>0</v>
      </c>
      <c r="L3" t="s">
        <v>27</v>
      </c>
      <c r="M3">
        <v>3</v>
      </c>
      <c r="N3" t="s">
        <v>28</v>
      </c>
      <c r="O3">
        <v>200</v>
      </c>
      <c r="P3">
        <v>70</v>
      </c>
      <c r="Q3">
        <v>18</v>
      </c>
    </row>
    <row r="4" spans="1:17" x14ac:dyDescent="0.2">
      <c r="A4" t="s">
        <v>64</v>
      </c>
      <c r="B4" t="s">
        <v>70</v>
      </c>
      <c r="C4" t="s">
        <v>73</v>
      </c>
      <c r="D4">
        <v>0</v>
      </c>
      <c r="E4">
        <v>1</v>
      </c>
      <c r="F4">
        <v>1</v>
      </c>
      <c r="G4" t="s">
        <v>25</v>
      </c>
      <c r="H4">
        <v>10.4</v>
      </c>
      <c r="I4">
        <v>0</v>
      </c>
      <c r="J4">
        <v>0</v>
      </c>
      <c r="K4">
        <v>0</v>
      </c>
      <c r="L4" t="s">
        <v>27</v>
      </c>
      <c r="M4">
        <v>3</v>
      </c>
      <c r="N4" t="s">
        <v>28</v>
      </c>
      <c r="O4">
        <v>200</v>
      </c>
      <c r="P4">
        <v>70</v>
      </c>
      <c r="Q4">
        <v>18</v>
      </c>
    </row>
    <row r="5" spans="1:17" x14ac:dyDescent="0.2">
      <c r="A5" t="s">
        <v>64</v>
      </c>
      <c r="B5" t="s">
        <v>70</v>
      </c>
      <c r="C5" t="s">
        <v>74</v>
      </c>
      <c r="D5">
        <v>0</v>
      </c>
      <c r="E5">
        <v>1</v>
      </c>
      <c r="F5">
        <v>1</v>
      </c>
      <c r="G5" t="s">
        <v>25</v>
      </c>
      <c r="H5">
        <v>9.8000000000000007</v>
      </c>
      <c r="I5">
        <v>0</v>
      </c>
      <c r="J5">
        <v>0</v>
      </c>
      <c r="K5">
        <v>0</v>
      </c>
      <c r="L5" t="s">
        <v>27</v>
      </c>
      <c r="M5">
        <v>3</v>
      </c>
      <c r="N5" t="s">
        <v>28</v>
      </c>
      <c r="O5">
        <v>200</v>
      </c>
      <c r="P5">
        <v>70</v>
      </c>
      <c r="Q5">
        <v>18</v>
      </c>
    </row>
    <row r="6" spans="1:17" hidden="1" x14ac:dyDescent="0.2">
      <c r="A6" t="s">
        <v>64</v>
      </c>
      <c r="B6" t="s">
        <v>75</v>
      </c>
      <c r="C6" t="s">
        <v>71</v>
      </c>
      <c r="D6">
        <v>0</v>
      </c>
      <c r="E6">
        <v>1</v>
      </c>
      <c r="F6">
        <v>2</v>
      </c>
      <c r="G6" t="s">
        <v>25</v>
      </c>
      <c r="H6">
        <v>9.5</v>
      </c>
      <c r="I6">
        <v>0</v>
      </c>
      <c r="J6">
        <v>0</v>
      </c>
      <c r="K6">
        <v>0</v>
      </c>
      <c r="L6" t="s">
        <v>27</v>
      </c>
      <c r="M6">
        <v>1.5</v>
      </c>
      <c r="N6" t="s">
        <v>28</v>
      </c>
      <c r="O6">
        <v>200</v>
      </c>
      <c r="P6">
        <v>70</v>
      </c>
      <c r="Q6">
        <v>18</v>
      </c>
    </row>
    <row r="7" spans="1:17" hidden="1" x14ac:dyDescent="0.2">
      <c r="A7" t="s">
        <v>64</v>
      </c>
      <c r="B7" t="s">
        <v>75</v>
      </c>
      <c r="C7" t="s">
        <v>72</v>
      </c>
      <c r="D7">
        <v>0</v>
      </c>
      <c r="E7">
        <v>1</v>
      </c>
      <c r="F7">
        <v>2</v>
      </c>
      <c r="G7" t="s">
        <v>25</v>
      </c>
      <c r="H7">
        <v>10.75</v>
      </c>
      <c r="I7">
        <v>0</v>
      </c>
      <c r="J7">
        <v>0</v>
      </c>
      <c r="K7">
        <v>0</v>
      </c>
      <c r="L7" t="s">
        <v>27</v>
      </c>
      <c r="M7">
        <v>1.5</v>
      </c>
      <c r="N7" t="s">
        <v>28</v>
      </c>
      <c r="O7">
        <v>200</v>
      </c>
      <c r="P7">
        <v>70</v>
      </c>
      <c r="Q7">
        <v>18</v>
      </c>
    </row>
    <row r="8" spans="1:17" hidden="1" x14ac:dyDescent="0.2">
      <c r="A8" t="s">
        <v>64</v>
      </c>
      <c r="B8" t="s">
        <v>75</v>
      </c>
      <c r="C8" t="s">
        <v>73</v>
      </c>
      <c r="D8">
        <v>0</v>
      </c>
      <c r="E8">
        <v>1</v>
      </c>
      <c r="F8">
        <v>2</v>
      </c>
      <c r="G8" t="s">
        <v>25</v>
      </c>
      <c r="H8">
        <v>9.1999999999999993</v>
      </c>
      <c r="I8">
        <v>0</v>
      </c>
      <c r="J8">
        <v>0</v>
      </c>
      <c r="K8">
        <v>0</v>
      </c>
      <c r="L8" t="s">
        <v>27</v>
      </c>
      <c r="M8">
        <v>1.5</v>
      </c>
      <c r="N8" t="s">
        <v>28</v>
      </c>
      <c r="O8">
        <v>200</v>
      </c>
      <c r="P8">
        <v>70</v>
      </c>
      <c r="Q8">
        <v>18</v>
      </c>
    </row>
    <row r="9" spans="1:17" hidden="1" x14ac:dyDescent="0.2">
      <c r="A9" t="s">
        <v>64</v>
      </c>
      <c r="B9" t="s">
        <v>75</v>
      </c>
      <c r="C9" t="s">
        <v>74</v>
      </c>
      <c r="D9">
        <v>0</v>
      </c>
      <c r="E9">
        <v>1</v>
      </c>
      <c r="F9">
        <v>2</v>
      </c>
      <c r="G9" t="s">
        <v>25</v>
      </c>
      <c r="H9">
        <v>12.45</v>
      </c>
      <c r="I9">
        <v>0</v>
      </c>
      <c r="J9">
        <v>0</v>
      </c>
      <c r="K9">
        <v>0</v>
      </c>
      <c r="L9" t="s">
        <v>27</v>
      </c>
      <c r="M9">
        <v>1.5</v>
      </c>
      <c r="N9" t="s">
        <v>28</v>
      </c>
      <c r="O9">
        <v>200</v>
      </c>
      <c r="P9">
        <v>70</v>
      </c>
      <c r="Q9">
        <v>18</v>
      </c>
    </row>
    <row r="10" spans="1:17" hidden="1" x14ac:dyDescent="0.2">
      <c r="A10" t="s">
        <v>64</v>
      </c>
      <c r="B10" t="s">
        <v>76</v>
      </c>
      <c r="C10" t="s">
        <v>71</v>
      </c>
      <c r="D10">
        <v>0</v>
      </c>
      <c r="E10">
        <v>1</v>
      </c>
      <c r="F10">
        <v>2</v>
      </c>
      <c r="G10" t="s">
        <v>25</v>
      </c>
      <c r="H10">
        <v>9.6999999999999993</v>
      </c>
      <c r="I10">
        <v>0</v>
      </c>
      <c r="J10">
        <v>0</v>
      </c>
      <c r="K10">
        <v>0</v>
      </c>
      <c r="L10" t="s">
        <v>27</v>
      </c>
      <c r="M10">
        <v>3</v>
      </c>
      <c r="N10" t="s">
        <v>28</v>
      </c>
      <c r="O10">
        <v>200</v>
      </c>
      <c r="P10">
        <v>70</v>
      </c>
      <c r="Q10">
        <v>18</v>
      </c>
    </row>
    <row r="11" spans="1:17" hidden="1" x14ac:dyDescent="0.2">
      <c r="A11" t="s">
        <v>64</v>
      </c>
      <c r="B11" t="s">
        <v>76</v>
      </c>
      <c r="C11" t="s">
        <v>72</v>
      </c>
      <c r="D11">
        <v>0</v>
      </c>
      <c r="E11">
        <v>1</v>
      </c>
      <c r="F11">
        <v>2</v>
      </c>
      <c r="G11" t="s">
        <v>25</v>
      </c>
      <c r="H11">
        <v>9.4499999999999993</v>
      </c>
      <c r="I11">
        <v>0</v>
      </c>
      <c r="J11">
        <v>0</v>
      </c>
      <c r="K11">
        <v>0</v>
      </c>
      <c r="L11" t="s">
        <v>27</v>
      </c>
      <c r="M11">
        <v>3</v>
      </c>
      <c r="N11" t="s">
        <v>28</v>
      </c>
      <c r="O11">
        <v>200</v>
      </c>
      <c r="P11">
        <v>70</v>
      </c>
      <c r="Q11">
        <v>18</v>
      </c>
    </row>
    <row r="12" spans="1:17" hidden="1" x14ac:dyDescent="0.2">
      <c r="A12" t="s">
        <v>64</v>
      </c>
      <c r="B12" t="s">
        <v>76</v>
      </c>
      <c r="C12" t="s">
        <v>73</v>
      </c>
      <c r="D12">
        <v>0</v>
      </c>
      <c r="E12">
        <v>1</v>
      </c>
      <c r="F12">
        <v>2</v>
      </c>
      <c r="G12" t="s">
        <v>25</v>
      </c>
      <c r="H12">
        <v>10</v>
      </c>
      <c r="I12">
        <v>0</v>
      </c>
      <c r="J12">
        <v>0</v>
      </c>
      <c r="K12">
        <v>0</v>
      </c>
      <c r="L12" t="s">
        <v>27</v>
      </c>
      <c r="M12">
        <v>3</v>
      </c>
      <c r="N12" t="s">
        <v>28</v>
      </c>
      <c r="O12">
        <v>200</v>
      </c>
      <c r="P12">
        <v>70</v>
      </c>
      <c r="Q12">
        <v>18</v>
      </c>
    </row>
    <row r="13" spans="1:17" hidden="1" x14ac:dyDescent="0.2">
      <c r="A13" t="s">
        <v>64</v>
      </c>
      <c r="B13" t="s">
        <v>76</v>
      </c>
      <c r="C13" t="s">
        <v>74</v>
      </c>
      <c r="D13">
        <v>0</v>
      </c>
      <c r="E13">
        <v>1</v>
      </c>
      <c r="F13">
        <v>2</v>
      </c>
      <c r="G13" t="s">
        <v>25</v>
      </c>
      <c r="H13">
        <v>7.5</v>
      </c>
      <c r="I13">
        <v>0</v>
      </c>
      <c r="J13">
        <v>0</v>
      </c>
      <c r="K13">
        <v>0</v>
      </c>
      <c r="L13" t="s">
        <v>27</v>
      </c>
      <c r="M13">
        <v>3</v>
      </c>
      <c r="N13" t="s">
        <v>28</v>
      </c>
      <c r="O13">
        <v>200</v>
      </c>
      <c r="P13">
        <v>70</v>
      </c>
      <c r="Q13">
        <v>18</v>
      </c>
    </row>
    <row r="14" spans="1:17" hidden="1" x14ac:dyDescent="0.2">
      <c r="A14" t="s">
        <v>64</v>
      </c>
      <c r="B14" t="s">
        <v>76</v>
      </c>
      <c r="C14" t="s">
        <v>79</v>
      </c>
      <c r="D14">
        <v>0</v>
      </c>
      <c r="E14">
        <v>1</v>
      </c>
      <c r="F14">
        <v>2</v>
      </c>
      <c r="G14" t="s">
        <v>25</v>
      </c>
      <c r="H14">
        <v>9.5</v>
      </c>
      <c r="I14">
        <v>0</v>
      </c>
      <c r="J14">
        <v>0</v>
      </c>
      <c r="K14">
        <v>0</v>
      </c>
      <c r="L14" t="s">
        <v>27</v>
      </c>
      <c r="M14">
        <v>3</v>
      </c>
      <c r="N14" t="s">
        <v>28</v>
      </c>
      <c r="O14">
        <v>200</v>
      </c>
      <c r="P14">
        <v>70</v>
      </c>
      <c r="Q14">
        <v>18</v>
      </c>
    </row>
    <row r="15" spans="1:17" hidden="1" x14ac:dyDescent="0.2">
      <c r="A15" t="s">
        <v>64</v>
      </c>
      <c r="B15" t="s">
        <v>77</v>
      </c>
      <c r="C15" t="s">
        <v>71</v>
      </c>
      <c r="D15">
        <v>0</v>
      </c>
      <c r="E15">
        <v>1</v>
      </c>
      <c r="F15">
        <v>5</v>
      </c>
      <c r="G15" t="s">
        <v>25</v>
      </c>
      <c r="H15">
        <v>11.18</v>
      </c>
      <c r="I15">
        <v>0</v>
      </c>
      <c r="J15">
        <v>0</v>
      </c>
      <c r="K15">
        <v>0</v>
      </c>
      <c r="L15" t="s">
        <v>27</v>
      </c>
      <c r="M15">
        <v>0.6</v>
      </c>
      <c r="N15" t="s">
        <v>28</v>
      </c>
      <c r="O15">
        <v>200</v>
      </c>
      <c r="P15">
        <v>70</v>
      </c>
      <c r="Q15">
        <v>18</v>
      </c>
    </row>
    <row r="16" spans="1:17" hidden="1" x14ac:dyDescent="0.2">
      <c r="A16" t="s">
        <v>64</v>
      </c>
      <c r="B16" t="s">
        <v>77</v>
      </c>
      <c r="C16" t="s">
        <v>72</v>
      </c>
      <c r="D16">
        <v>0</v>
      </c>
      <c r="E16">
        <v>1</v>
      </c>
      <c r="F16">
        <v>5</v>
      </c>
      <c r="G16" t="s">
        <v>25</v>
      </c>
      <c r="H16">
        <v>10.62</v>
      </c>
      <c r="I16">
        <v>0</v>
      </c>
      <c r="J16">
        <v>0</v>
      </c>
      <c r="K16">
        <v>0</v>
      </c>
      <c r="L16" t="s">
        <v>27</v>
      </c>
      <c r="M16">
        <v>0.6</v>
      </c>
      <c r="N16" t="s">
        <v>28</v>
      </c>
      <c r="O16">
        <v>200</v>
      </c>
      <c r="P16">
        <v>70</v>
      </c>
      <c r="Q16">
        <v>18</v>
      </c>
    </row>
    <row r="17" spans="1:17" hidden="1" x14ac:dyDescent="0.2">
      <c r="A17" t="s">
        <v>64</v>
      </c>
      <c r="B17" t="s">
        <v>77</v>
      </c>
      <c r="C17" t="s">
        <v>73</v>
      </c>
      <c r="D17">
        <v>0</v>
      </c>
      <c r="E17">
        <v>1</v>
      </c>
      <c r="F17">
        <v>5</v>
      </c>
      <c r="G17" t="s">
        <v>25</v>
      </c>
      <c r="H17">
        <v>10.78</v>
      </c>
      <c r="I17">
        <v>0</v>
      </c>
      <c r="J17">
        <v>0</v>
      </c>
      <c r="K17">
        <v>0</v>
      </c>
      <c r="L17" t="s">
        <v>27</v>
      </c>
      <c r="M17">
        <v>0.6</v>
      </c>
      <c r="N17" t="s">
        <v>28</v>
      </c>
      <c r="O17">
        <v>200</v>
      </c>
      <c r="P17">
        <v>70</v>
      </c>
      <c r="Q17">
        <v>18</v>
      </c>
    </row>
    <row r="18" spans="1:17" hidden="1" x14ac:dyDescent="0.2">
      <c r="A18" t="s">
        <v>64</v>
      </c>
      <c r="B18" t="s">
        <v>77</v>
      </c>
      <c r="C18" t="s">
        <v>74</v>
      </c>
      <c r="D18">
        <v>0</v>
      </c>
      <c r="E18">
        <v>1</v>
      </c>
      <c r="F18">
        <v>5</v>
      </c>
      <c r="G18" t="s">
        <v>25</v>
      </c>
      <c r="H18">
        <v>10.1</v>
      </c>
      <c r="I18">
        <v>0</v>
      </c>
      <c r="J18">
        <v>0</v>
      </c>
      <c r="K18">
        <v>0</v>
      </c>
      <c r="L18" t="s">
        <v>27</v>
      </c>
      <c r="M18">
        <v>0.6</v>
      </c>
      <c r="N18" t="s">
        <v>28</v>
      </c>
      <c r="O18">
        <v>200</v>
      </c>
      <c r="P18">
        <v>70</v>
      </c>
      <c r="Q18">
        <v>18</v>
      </c>
    </row>
    <row r="19" spans="1:17" hidden="1" x14ac:dyDescent="0.2">
      <c r="A19" t="s">
        <v>64</v>
      </c>
      <c r="B19" t="s">
        <v>78</v>
      </c>
      <c r="C19" t="s">
        <v>71</v>
      </c>
      <c r="D19">
        <v>0</v>
      </c>
      <c r="E19">
        <v>1</v>
      </c>
      <c r="F19">
        <v>7</v>
      </c>
      <c r="G19" t="s">
        <v>25</v>
      </c>
      <c r="H19">
        <v>10.328571</v>
      </c>
      <c r="I19">
        <v>0</v>
      </c>
      <c r="J19">
        <v>0</v>
      </c>
      <c r="K19">
        <v>0</v>
      </c>
      <c r="L19" t="s">
        <v>27</v>
      </c>
      <c r="M19">
        <v>0.42857142857142855</v>
      </c>
      <c r="N19" t="s">
        <v>28</v>
      </c>
      <c r="O19">
        <v>200</v>
      </c>
      <c r="P19">
        <v>70</v>
      </c>
      <c r="Q19">
        <v>18</v>
      </c>
    </row>
    <row r="20" spans="1:17" hidden="1" x14ac:dyDescent="0.2">
      <c r="A20" t="s">
        <v>64</v>
      </c>
      <c r="B20" t="s">
        <v>78</v>
      </c>
      <c r="C20" t="s">
        <v>72</v>
      </c>
      <c r="D20">
        <v>0</v>
      </c>
      <c r="E20">
        <v>1</v>
      </c>
      <c r="F20">
        <v>7</v>
      </c>
      <c r="G20" t="s">
        <v>25</v>
      </c>
      <c r="H20">
        <v>10.042857</v>
      </c>
      <c r="I20">
        <v>0</v>
      </c>
      <c r="J20">
        <v>0</v>
      </c>
      <c r="K20">
        <v>0</v>
      </c>
      <c r="L20" t="s">
        <v>27</v>
      </c>
      <c r="M20">
        <v>0.42857142857142855</v>
      </c>
      <c r="N20" t="s">
        <v>28</v>
      </c>
      <c r="O20">
        <v>200</v>
      </c>
      <c r="P20">
        <v>70</v>
      </c>
      <c r="Q20">
        <v>18</v>
      </c>
    </row>
    <row r="21" spans="1:17" hidden="1" x14ac:dyDescent="0.2">
      <c r="A21" t="s">
        <v>64</v>
      </c>
      <c r="B21" t="s">
        <v>78</v>
      </c>
      <c r="C21" t="s">
        <v>73</v>
      </c>
      <c r="D21">
        <v>0</v>
      </c>
      <c r="E21">
        <v>1</v>
      </c>
      <c r="F21">
        <v>7</v>
      </c>
      <c r="G21" t="s">
        <v>25</v>
      </c>
      <c r="H21">
        <v>10.485714</v>
      </c>
      <c r="I21">
        <v>0</v>
      </c>
      <c r="J21">
        <v>0</v>
      </c>
      <c r="K21">
        <v>0</v>
      </c>
      <c r="L21" t="s">
        <v>27</v>
      </c>
      <c r="M21">
        <v>0.42857142857142855</v>
      </c>
      <c r="N21" t="s">
        <v>28</v>
      </c>
      <c r="O21">
        <v>200</v>
      </c>
      <c r="P21">
        <v>70</v>
      </c>
      <c r="Q21">
        <v>18</v>
      </c>
    </row>
    <row r="22" spans="1:17" hidden="1" x14ac:dyDescent="0.2">
      <c r="A22" s="4" t="s">
        <v>64</v>
      </c>
      <c r="B22" s="4" t="s">
        <v>78</v>
      </c>
      <c r="C22" s="4" t="s">
        <v>74</v>
      </c>
      <c r="D22" s="4">
        <v>0</v>
      </c>
      <c r="E22" s="4">
        <v>1</v>
      </c>
      <c r="F22" s="4">
        <v>7</v>
      </c>
      <c r="G22" s="4" t="s">
        <v>25</v>
      </c>
      <c r="H22" s="4">
        <v>9.1571429999999996</v>
      </c>
      <c r="I22" s="4">
        <v>0</v>
      </c>
      <c r="J22" s="4">
        <v>0</v>
      </c>
      <c r="K22" s="4">
        <v>0</v>
      </c>
      <c r="L22" s="4" t="s">
        <v>27</v>
      </c>
      <c r="M22" s="4">
        <v>0.42857142857142855</v>
      </c>
      <c r="N22" s="4" t="s">
        <v>28</v>
      </c>
      <c r="O22" s="4">
        <v>200</v>
      </c>
      <c r="P22" s="4">
        <v>70</v>
      </c>
      <c r="Q22" s="4">
        <v>18</v>
      </c>
    </row>
    <row r="23" spans="1:17" x14ac:dyDescent="0.2">
      <c r="A23" t="s">
        <v>64</v>
      </c>
      <c r="B23" t="s">
        <v>70</v>
      </c>
      <c r="C23" t="s">
        <v>71</v>
      </c>
      <c r="D23">
        <v>14</v>
      </c>
      <c r="E23">
        <v>1</v>
      </c>
      <c r="F23">
        <v>1</v>
      </c>
      <c r="G23" t="s">
        <v>25</v>
      </c>
      <c r="H23">
        <v>47.6</v>
      </c>
      <c r="I23">
        <v>0</v>
      </c>
      <c r="J23">
        <v>0</v>
      </c>
      <c r="K23">
        <v>0</v>
      </c>
      <c r="L23" t="s">
        <v>12</v>
      </c>
      <c r="M23">
        <v>3</v>
      </c>
      <c r="N23" t="s">
        <v>28</v>
      </c>
      <c r="O23">
        <v>200</v>
      </c>
      <c r="P23">
        <v>70</v>
      </c>
      <c r="Q23">
        <v>18</v>
      </c>
    </row>
    <row r="24" spans="1:17" x14ac:dyDescent="0.2">
      <c r="A24" t="s">
        <v>64</v>
      </c>
      <c r="B24" t="s">
        <v>70</v>
      </c>
      <c r="C24" t="s">
        <v>72</v>
      </c>
      <c r="D24">
        <v>14</v>
      </c>
      <c r="E24">
        <v>1</v>
      </c>
      <c r="F24">
        <v>1</v>
      </c>
      <c r="G24" t="s">
        <v>25</v>
      </c>
      <c r="H24">
        <v>43.6</v>
      </c>
      <c r="I24">
        <v>0</v>
      </c>
      <c r="J24">
        <v>0</v>
      </c>
      <c r="K24">
        <v>0</v>
      </c>
      <c r="L24" t="s">
        <v>12</v>
      </c>
      <c r="M24">
        <v>3</v>
      </c>
      <c r="N24" t="s">
        <v>28</v>
      </c>
      <c r="O24">
        <v>200</v>
      </c>
      <c r="P24">
        <v>70</v>
      </c>
      <c r="Q24">
        <v>18</v>
      </c>
    </row>
    <row r="25" spans="1:17" x14ac:dyDescent="0.2">
      <c r="A25" t="s">
        <v>64</v>
      </c>
      <c r="B25" t="s">
        <v>70</v>
      </c>
      <c r="C25" t="s">
        <v>73</v>
      </c>
      <c r="D25">
        <v>14</v>
      </c>
      <c r="E25">
        <v>1</v>
      </c>
      <c r="F25">
        <v>1</v>
      </c>
      <c r="G25" t="s">
        <v>25</v>
      </c>
      <c r="H25">
        <v>43.3</v>
      </c>
      <c r="I25">
        <v>0</v>
      </c>
      <c r="J25">
        <v>0</v>
      </c>
      <c r="K25">
        <v>0</v>
      </c>
      <c r="L25" t="s">
        <v>12</v>
      </c>
      <c r="M25">
        <v>3</v>
      </c>
      <c r="N25" t="s">
        <v>28</v>
      </c>
      <c r="O25">
        <v>200</v>
      </c>
      <c r="P25">
        <v>70</v>
      </c>
      <c r="Q25">
        <v>18</v>
      </c>
    </row>
    <row r="26" spans="1:17" x14ac:dyDescent="0.2">
      <c r="A26" t="s">
        <v>64</v>
      </c>
      <c r="B26" t="s">
        <v>70</v>
      </c>
      <c r="C26" t="s">
        <v>74</v>
      </c>
      <c r="D26">
        <v>14</v>
      </c>
      <c r="E26">
        <v>1</v>
      </c>
      <c r="F26">
        <v>1</v>
      </c>
      <c r="G26" t="s">
        <v>25</v>
      </c>
      <c r="I26">
        <v>0</v>
      </c>
      <c r="J26">
        <v>0</v>
      </c>
      <c r="K26">
        <v>0</v>
      </c>
      <c r="L26" t="s">
        <v>12</v>
      </c>
      <c r="M26">
        <v>3</v>
      </c>
      <c r="N26" t="s">
        <v>28</v>
      </c>
      <c r="O26">
        <v>200</v>
      </c>
      <c r="P26">
        <v>70</v>
      </c>
      <c r="Q26">
        <v>18</v>
      </c>
    </row>
    <row r="27" spans="1:17" hidden="1" x14ac:dyDescent="0.2">
      <c r="A27" t="s">
        <v>64</v>
      </c>
      <c r="B27" t="s">
        <v>75</v>
      </c>
      <c r="C27" t="s">
        <v>71</v>
      </c>
      <c r="D27">
        <v>14</v>
      </c>
      <c r="E27">
        <v>1</v>
      </c>
      <c r="F27">
        <v>2</v>
      </c>
      <c r="G27" t="s">
        <v>25</v>
      </c>
      <c r="H27">
        <v>36.700000000000003</v>
      </c>
      <c r="I27">
        <v>0</v>
      </c>
      <c r="J27">
        <v>0</v>
      </c>
      <c r="K27">
        <v>0</v>
      </c>
      <c r="L27" t="s">
        <v>12</v>
      </c>
      <c r="M27">
        <v>1.5</v>
      </c>
      <c r="N27" t="s">
        <v>28</v>
      </c>
      <c r="O27">
        <v>200</v>
      </c>
      <c r="P27">
        <v>70</v>
      </c>
      <c r="Q27">
        <v>18</v>
      </c>
    </row>
    <row r="28" spans="1:17" hidden="1" x14ac:dyDescent="0.2">
      <c r="A28" t="s">
        <v>64</v>
      </c>
      <c r="B28" t="s">
        <v>75</v>
      </c>
      <c r="C28" t="s">
        <v>72</v>
      </c>
      <c r="D28">
        <v>14</v>
      </c>
      <c r="E28">
        <v>1</v>
      </c>
      <c r="F28">
        <v>2</v>
      </c>
      <c r="G28" t="s">
        <v>25</v>
      </c>
      <c r="H28">
        <v>35.6</v>
      </c>
      <c r="I28">
        <v>0</v>
      </c>
      <c r="J28">
        <v>0</v>
      </c>
      <c r="K28">
        <v>0</v>
      </c>
      <c r="L28" t="s">
        <v>12</v>
      </c>
      <c r="M28">
        <v>1.5</v>
      </c>
      <c r="N28" t="s">
        <v>28</v>
      </c>
      <c r="O28">
        <v>200</v>
      </c>
      <c r="P28">
        <v>70</v>
      </c>
      <c r="Q28">
        <v>18</v>
      </c>
    </row>
    <row r="29" spans="1:17" hidden="1" x14ac:dyDescent="0.2">
      <c r="A29" t="s">
        <v>64</v>
      </c>
      <c r="B29" t="s">
        <v>75</v>
      </c>
      <c r="C29" t="s">
        <v>73</v>
      </c>
      <c r="D29">
        <v>14</v>
      </c>
      <c r="E29">
        <v>1</v>
      </c>
      <c r="F29">
        <v>2</v>
      </c>
      <c r="G29" t="s">
        <v>25</v>
      </c>
      <c r="H29">
        <v>23.2</v>
      </c>
      <c r="I29">
        <v>0</v>
      </c>
      <c r="J29">
        <v>0</v>
      </c>
      <c r="K29">
        <v>0</v>
      </c>
      <c r="L29" t="s">
        <v>12</v>
      </c>
      <c r="M29">
        <v>1.5</v>
      </c>
      <c r="N29" t="s">
        <v>28</v>
      </c>
      <c r="O29">
        <v>200</v>
      </c>
      <c r="P29">
        <v>70</v>
      </c>
      <c r="Q29">
        <v>18</v>
      </c>
    </row>
    <row r="30" spans="1:17" hidden="1" x14ac:dyDescent="0.2">
      <c r="A30" t="s">
        <v>64</v>
      </c>
      <c r="B30" t="s">
        <v>75</v>
      </c>
      <c r="C30" t="s">
        <v>74</v>
      </c>
      <c r="D30">
        <v>14</v>
      </c>
      <c r="E30">
        <v>1</v>
      </c>
      <c r="F30">
        <v>2</v>
      </c>
      <c r="G30" t="s">
        <v>25</v>
      </c>
      <c r="H30">
        <v>45.35</v>
      </c>
      <c r="I30">
        <v>0</v>
      </c>
      <c r="J30">
        <v>0</v>
      </c>
      <c r="K30">
        <v>0</v>
      </c>
      <c r="L30" t="s">
        <v>12</v>
      </c>
      <c r="M30">
        <v>1.5</v>
      </c>
      <c r="N30" t="s">
        <v>28</v>
      </c>
      <c r="O30">
        <v>200</v>
      </c>
      <c r="P30">
        <v>70</v>
      </c>
      <c r="Q30">
        <v>18</v>
      </c>
    </row>
    <row r="31" spans="1:17" hidden="1" x14ac:dyDescent="0.2">
      <c r="A31" t="s">
        <v>64</v>
      </c>
      <c r="B31" t="s">
        <v>76</v>
      </c>
      <c r="C31" t="s">
        <v>71</v>
      </c>
      <c r="D31">
        <v>14</v>
      </c>
      <c r="E31">
        <v>1</v>
      </c>
      <c r="F31">
        <v>2</v>
      </c>
      <c r="G31" t="s">
        <v>25</v>
      </c>
      <c r="H31">
        <v>27</v>
      </c>
      <c r="I31">
        <v>0</v>
      </c>
      <c r="J31">
        <v>0</v>
      </c>
      <c r="K31">
        <v>0</v>
      </c>
      <c r="L31" t="s">
        <v>12</v>
      </c>
      <c r="M31">
        <v>3</v>
      </c>
      <c r="N31" t="s">
        <v>28</v>
      </c>
      <c r="O31">
        <v>200</v>
      </c>
      <c r="P31">
        <v>70</v>
      </c>
      <c r="Q31">
        <v>18</v>
      </c>
    </row>
    <row r="32" spans="1:17" hidden="1" x14ac:dyDescent="0.2">
      <c r="A32" t="s">
        <v>64</v>
      </c>
      <c r="B32" t="s">
        <v>76</v>
      </c>
      <c r="C32" t="s">
        <v>72</v>
      </c>
      <c r="D32">
        <v>14</v>
      </c>
      <c r="E32">
        <v>1</v>
      </c>
      <c r="F32">
        <v>2</v>
      </c>
      <c r="G32" t="s">
        <v>25</v>
      </c>
      <c r="I32">
        <v>0</v>
      </c>
      <c r="J32">
        <v>0</v>
      </c>
      <c r="K32">
        <v>0</v>
      </c>
      <c r="L32" t="s">
        <v>12</v>
      </c>
      <c r="M32">
        <v>3</v>
      </c>
      <c r="N32" t="s">
        <v>28</v>
      </c>
      <c r="O32">
        <v>200</v>
      </c>
      <c r="P32">
        <v>70</v>
      </c>
      <c r="Q32">
        <v>18</v>
      </c>
    </row>
    <row r="33" spans="1:17" hidden="1" x14ac:dyDescent="0.2">
      <c r="A33" t="s">
        <v>64</v>
      </c>
      <c r="B33" t="s">
        <v>76</v>
      </c>
      <c r="C33" t="s">
        <v>73</v>
      </c>
      <c r="D33">
        <v>14</v>
      </c>
      <c r="E33">
        <v>1</v>
      </c>
      <c r="F33">
        <v>2</v>
      </c>
      <c r="G33" t="s">
        <v>25</v>
      </c>
      <c r="I33">
        <v>0</v>
      </c>
      <c r="J33">
        <v>0</v>
      </c>
      <c r="K33">
        <v>0</v>
      </c>
      <c r="L33" t="s">
        <v>12</v>
      </c>
      <c r="M33">
        <v>3</v>
      </c>
      <c r="N33" t="s">
        <v>28</v>
      </c>
      <c r="O33">
        <v>200</v>
      </c>
      <c r="P33">
        <v>70</v>
      </c>
      <c r="Q33">
        <v>18</v>
      </c>
    </row>
    <row r="34" spans="1:17" hidden="1" x14ac:dyDescent="0.2">
      <c r="A34" t="s">
        <v>64</v>
      </c>
      <c r="B34" t="s">
        <v>76</v>
      </c>
      <c r="C34" t="s">
        <v>74</v>
      </c>
      <c r="D34">
        <v>14</v>
      </c>
      <c r="E34">
        <v>1</v>
      </c>
      <c r="F34">
        <v>2</v>
      </c>
      <c r="G34" t="s">
        <v>25</v>
      </c>
      <c r="H34">
        <v>31.45</v>
      </c>
      <c r="I34">
        <v>0</v>
      </c>
      <c r="J34">
        <v>0</v>
      </c>
      <c r="K34">
        <v>0</v>
      </c>
      <c r="L34" t="s">
        <v>12</v>
      </c>
      <c r="M34">
        <v>3</v>
      </c>
      <c r="N34" t="s">
        <v>28</v>
      </c>
      <c r="O34">
        <v>200</v>
      </c>
      <c r="P34">
        <v>70</v>
      </c>
      <c r="Q34">
        <v>18</v>
      </c>
    </row>
    <row r="35" spans="1:17" hidden="1" x14ac:dyDescent="0.2">
      <c r="A35" t="s">
        <v>64</v>
      </c>
      <c r="B35" t="s">
        <v>76</v>
      </c>
      <c r="C35" t="s">
        <v>79</v>
      </c>
      <c r="D35">
        <v>14</v>
      </c>
      <c r="E35">
        <v>1</v>
      </c>
      <c r="F35">
        <v>2</v>
      </c>
      <c r="G35" t="s">
        <v>25</v>
      </c>
      <c r="H35">
        <v>31.7</v>
      </c>
      <c r="I35">
        <v>0</v>
      </c>
      <c r="J35">
        <v>0</v>
      </c>
      <c r="K35">
        <v>0</v>
      </c>
      <c r="L35" t="s">
        <v>12</v>
      </c>
      <c r="M35">
        <v>3</v>
      </c>
      <c r="N35" t="s">
        <v>28</v>
      </c>
      <c r="O35">
        <v>200</v>
      </c>
      <c r="P35">
        <v>70</v>
      </c>
      <c r="Q35">
        <v>18</v>
      </c>
    </row>
    <row r="36" spans="1:17" hidden="1" x14ac:dyDescent="0.2">
      <c r="A36" t="s">
        <v>64</v>
      </c>
      <c r="B36" t="s">
        <v>77</v>
      </c>
      <c r="C36" t="s">
        <v>71</v>
      </c>
      <c r="D36">
        <v>14</v>
      </c>
      <c r="E36">
        <v>1</v>
      </c>
      <c r="F36">
        <v>5</v>
      </c>
      <c r="G36" t="s">
        <v>25</v>
      </c>
      <c r="H36">
        <v>41.9</v>
      </c>
      <c r="I36">
        <v>0</v>
      </c>
      <c r="J36">
        <v>0</v>
      </c>
      <c r="K36">
        <v>0</v>
      </c>
      <c r="L36" t="s">
        <v>12</v>
      </c>
      <c r="M36">
        <v>0.6</v>
      </c>
      <c r="N36" t="s">
        <v>28</v>
      </c>
      <c r="O36">
        <v>200</v>
      </c>
      <c r="P36">
        <v>70</v>
      </c>
      <c r="Q36">
        <v>18</v>
      </c>
    </row>
    <row r="37" spans="1:17" hidden="1" x14ac:dyDescent="0.2">
      <c r="A37" t="s">
        <v>64</v>
      </c>
      <c r="B37" t="s">
        <v>77</v>
      </c>
      <c r="C37" t="s">
        <v>72</v>
      </c>
      <c r="D37">
        <v>14</v>
      </c>
      <c r="E37">
        <v>1</v>
      </c>
      <c r="F37">
        <v>5</v>
      </c>
      <c r="G37" t="s">
        <v>25</v>
      </c>
      <c r="H37">
        <v>40.28</v>
      </c>
      <c r="I37">
        <v>0</v>
      </c>
      <c r="J37">
        <v>0</v>
      </c>
      <c r="K37">
        <v>0</v>
      </c>
      <c r="L37" t="s">
        <v>12</v>
      </c>
      <c r="M37">
        <v>0.6</v>
      </c>
      <c r="N37" t="s">
        <v>28</v>
      </c>
      <c r="O37">
        <v>200</v>
      </c>
      <c r="P37">
        <v>70</v>
      </c>
      <c r="Q37">
        <v>18</v>
      </c>
    </row>
    <row r="38" spans="1:17" hidden="1" x14ac:dyDescent="0.2">
      <c r="A38" t="s">
        <v>64</v>
      </c>
      <c r="B38" t="s">
        <v>77</v>
      </c>
      <c r="C38" t="s">
        <v>73</v>
      </c>
      <c r="D38">
        <v>14</v>
      </c>
      <c r="E38">
        <v>1</v>
      </c>
      <c r="F38">
        <v>5</v>
      </c>
      <c r="G38" t="s">
        <v>25</v>
      </c>
      <c r="H38">
        <v>31.8</v>
      </c>
      <c r="I38">
        <v>0</v>
      </c>
      <c r="J38">
        <v>0</v>
      </c>
      <c r="K38">
        <v>0</v>
      </c>
      <c r="L38" t="s">
        <v>12</v>
      </c>
      <c r="M38">
        <v>0.6</v>
      </c>
      <c r="N38" t="s">
        <v>28</v>
      </c>
      <c r="O38">
        <v>200</v>
      </c>
      <c r="P38">
        <v>70</v>
      </c>
      <c r="Q38">
        <v>18</v>
      </c>
    </row>
    <row r="39" spans="1:17" hidden="1" x14ac:dyDescent="0.2">
      <c r="A39" t="s">
        <v>64</v>
      </c>
      <c r="B39" t="s">
        <v>77</v>
      </c>
      <c r="C39" t="s">
        <v>74</v>
      </c>
      <c r="D39">
        <v>14</v>
      </c>
      <c r="E39">
        <v>1</v>
      </c>
      <c r="F39">
        <v>5</v>
      </c>
      <c r="G39" t="s">
        <v>25</v>
      </c>
      <c r="H39">
        <v>35.26</v>
      </c>
      <c r="I39">
        <v>0</v>
      </c>
      <c r="J39">
        <v>0</v>
      </c>
      <c r="K39">
        <v>0</v>
      </c>
      <c r="L39" t="s">
        <v>12</v>
      </c>
      <c r="M39">
        <v>0.6</v>
      </c>
      <c r="N39" t="s">
        <v>28</v>
      </c>
      <c r="O39">
        <v>200</v>
      </c>
      <c r="P39">
        <v>70</v>
      </c>
      <c r="Q39">
        <v>18</v>
      </c>
    </row>
    <row r="40" spans="1:17" hidden="1" x14ac:dyDescent="0.2">
      <c r="A40" t="s">
        <v>64</v>
      </c>
      <c r="B40" t="s">
        <v>78</v>
      </c>
      <c r="C40" t="s">
        <v>71</v>
      </c>
      <c r="D40">
        <v>14</v>
      </c>
      <c r="E40">
        <v>1</v>
      </c>
      <c r="F40">
        <v>7</v>
      </c>
      <c r="G40" t="s">
        <v>25</v>
      </c>
      <c r="I40">
        <v>0</v>
      </c>
      <c r="J40">
        <v>0</v>
      </c>
      <c r="K40">
        <v>0</v>
      </c>
      <c r="L40" t="s">
        <v>12</v>
      </c>
      <c r="M40">
        <v>0.42857142857142855</v>
      </c>
      <c r="N40" t="s">
        <v>28</v>
      </c>
      <c r="O40">
        <v>200</v>
      </c>
      <c r="P40">
        <v>70</v>
      </c>
      <c r="Q40">
        <v>18</v>
      </c>
    </row>
    <row r="41" spans="1:17" hidden="1" x14ac:dyDescent="0.2">
      <c r="A41" t="s">
        <v>64</v>
      </c>
      <c r="B41" t="s">
        <v>78</v>
      </c>
      <c r="C41" t="s">
        <v>72</v>
      </c>
      <c r="D41">
        <v>14</v>
      </c>
      <c r="E41">
        <v>1</v>
      </c>
      <c r="F41">
        <v>7</v>
      </c>
      <c r="G41" t="s">
        <v>25</v>
      </c>
      <c r="I41">
        <v>0</v>
      </c>
      <c r="J41">
        <v>0</v>
      </c>
      <c r="K41">
        <v>0</v>
      </c>
      <c r="L41" t="s">
        <v>12</v>
      </c>
      <c r="M41">
        <v>0.42857142857142855</v>
      </c>
      <c r="N41" t="s">
        <v>28</v>
      </c>
      <c r="O41">
        <v>200</v>
      </c>
      <c r="P41">
        <v>70</v>
      </c>
      <c r="Q41">
        <v>18</v>
      </c>
    </row>
    <row r="42" spans="1:17" hidden="1" x14ac:dyDescent="0.2">
      <c r="A42" t="s">
        <v>64</v>
      </c>
      <c r="B42" t="s">
        <v>78</v>
      </c>
      <c r="C42" t="s">
        <v>73</v>
      </c>
      <c r="D42">
        <v>14</v>
      </c>
      <c r="E42">
        <v>1</v>
      </c>
      <c r="F42">
        <v>7</v>
      </c>
      <c r="G42" t="s">
        <v>25</v>
      </c>
      <c r="H42">
        <v>38.071429000000002</v>
      </c>
      <c r="I42">
        <v>0</v>
      </c>
      <c r="J42">
        <v>0</v>
      </c>
      <c r="K42">
        <v>0</v>
      </c>
      <c r="L42" t="s">
        <v>12</v>
      </c>
      <c r="M42">
        <v>0.42857142857142855</v>
      </c>
      <c r="N42" t="s">
        <v>28</v>
      </c>
      <c r="O42">
        <v>200</v>
      </c>
      <c r="P42">
        <v>70</v>
      </c>
      <c r="Q42">
        <v>18</v>
      </c>
    </row>
    <row r="43" spans="1:17" hidden="1" x14ac:dyDescent="0.2">
      <c r="A43" s="4" t="s">
        <v>64</v>
      </c>
      <c r="B43" s="4" t="s">
        <v>78</v>
      </c>
      <c r="C43" s="4" t="s">
        <v>74</v>
      </c>
      <c r="D43" s="4">
        <v>14</v>
      </c>
      <c r="E43" s="4">
        <v>1</v>
      </c>
      <c r="F43" s="4">
        <v>7</v>
      </c>
      <c r="G43" s="4" t="s">
        <v>25</v>
      </c>
      <c r="H43" s="4">
        <v>30.342856999999999</v>
      </c>
      <c r="I43" s="4">
        <v>0</v>
      </c>
      <c r="J43" s="4">
        <v>0</v>
      </c>
      <c r="K43" s="4">
        <v>0</v>
      </c>
      <c r="L43" s="4" t="s">
        <v>12</v>
      </c>
      <c r="M43" s="4">
        <v>0.42857142857142855</v>
      </c>
      <c r="N43" s="4" t="s">
        <v>28</v>
      </c>
      <c r="O43" s="4">
        <v>200</v>
      </c>
      <c r="P43" s="4">
        <v>70</v>
      </c>
      <c r="Q43" s="4">
        <v>18</v>
      </c>
    </row>
    <row r="44" spans="1:17" x14ac:dyDescent="0.2">
      <c r="A44" t="s">
        <v>64</v>
      </c>
      <c r="B44" t="s">
        <v>70</v>
      </c>
      <c r="C44" t="s">
        <v>71</v>
      </c>
      <c r="D44">
        <v>28</v>
      </c>
      <c r="E44">
        <v>1</v>
      </c>
      <c r="F44">
        <v>1</v>
      </c>
      <c r="G44" t="s">
        <v>25</v>
      </c>
      <c r="H44">
        <v>144.5</v>
      </c>
      <c r="I44">
        <v>0</v>
      </c>
      <c r="J44">
        <v>0</v>
      </c>
      <c r="K44">
        <v>0</v>
      </c>
      <c r="L44" t="s">
        <v>27</v>
      </c>
      <c r="M44">
        <v>3</v>
      </c>
      <c r="N44" t="s">
        <v>28</v>
      </c>
      <c r="O44">
        <v>200</v>
      </c>
      <c r="P44">
        <v>70</v>
      </c>
      <c r="Q44">
        <v>18</v>
      </c>
    </row>
    <row r="45" spans="1:17" x14ac:dyDescent="0.2">
      <c r="A45" t="s">
        <v>64</v>
      </c>
      <c r="B45" t="s">
        <v>70</v>
      </c>
      <c r="C45" t="s">
        <v>72</v>
      </c>
      <c r="D45">
        <v>28</v>
      </c>
      <c r="E45">
        <v>1</v>
      </c>
      <c r="F45">
        <v>1</v>
      </c>
      <c r="G45" t="s">
        <v>25</v>
      </c>
      <c r="H45">
        <v>117.8</v>
      </c>
      <c r="I45">
        <v>0</v>
      </c>
      <c r="J45">
        <v>0</v>
      </c>
      <c r="K45">
        <v>0</v>
      </c>
      <c r="L45" t="s">
        <v>27</v>
      </c>
      <c r="M45">
        <v>3</v>
      </c>
      <c r="N45" t="s">
        <v>28</v>
      </c>
      <c r="O45">
        <v>200</v>
      </c>
      <c r="P45">
        <v>70</v>
      </c>
      <c r="Q45">
        <v>18</v>
      </c>
    </row>
    <row r="46" spans="1:17" x14ac:dyDescent="0.2">
      <c r="A46" t="s">
        <v>64</v>
      </c>
      <c r="B46" t="s">
        <v>70</v>
      </c>
      <c r="C46" t="s">
        <v>73</v>
      </c>
      <c r="D46">
        <v>28</v>
      </c>
      <c r="E46">
        <v>1</v>
      </c>
      <c r="F46">
        <v>1</v>
      </c>
      <c r="G46" t="s">
        <v>25</v>
      </c>
      <c r="H46">
        <v>83.6</v>
      </c>
      <c r="I46">
        <v>0</v>
      </c>
      <c r="J46">
        <v>0</v>
      </c>
      <c r="K46">
        <v>0</v>
      </c>
      <c r="L46" t="s">
        <v>27</v>
      </c>
      <c r="M46">
        <v>3</v>
      </c>
      <c r="N46" t="s">
        <v>28</v>
      </c>
      <c r="O46">
        <v>200</v>
      </c>
      <c r="P46">
        <v>70</v>
      </c>
      <c r="Q46">
        <v>18</v>
      </c>
    </row>
    <row r="47" spans="1:17" x14ac:dyDescent="0.2">
      <c r="A47" t="s">
        <v>64</v>
      </c>
      <c r="B47" t="s">
        <v>70</v>
      </c>
      <c r="C47" t="s">
        <v>74</v>
      </c>
      <c r="D47">
        <v>28</v>
      </c>
      <c r="E47">
        <v>1</v>
      </c>
      <c r="F47">
        <v>1</v>
      </c>
      <c r="G47" t="s">
        <v>25</v>
      </c>
      <c r="H47">
        <v>131.9</v>
      </c>
      <c r="I47">
        <v>0</v>
      </c>
      <c r="J47">
        <v>0</v>
      </c>
      <c r="K47">
        <v>0</v>
      </c>
      <c r="L47" t="s">
        <v>27</v>
      </c>
      <c r="M47">
        <v>4</v>
      </c>
      <c r="N47" t="s">
        <v>28</v>
      </c>
      <c r="O47">
        <v>200</v>
      </c>
      <c r="P47">
        <v>70</v>
      </c>
      <c r="Q47">
        <v>18</v>
      </c>
    </row>
    <row r="48" spans="1:17" hidden="1" x14ac:dyDescent="0.2">
      <c r="A48" t="s">
        <v>64</v>
      </c>
      <c r="B48" t="s">
        <v>75</v>
      </c>
      <c r="C48" t="s">
        <v>71</v>
      </c>
      <c r="D48">
        <v>28</v>
      </c>
      <c r="E48">
        <v>1</v>
      </c>
      <c r="F48">
        <v>2</v>
      </c>
      <c r="G48" t="s">
        <v>25</v>
      </c>
      <c r="H48">
        <v>83.4</v>
      </c>
      <c r="I48">
        <v>0</v>
      </c>
      <c r="J48">
        <v>0</v>
      </c>
      <c r="K48">
        <v>0</v>
      </c>
      <c r="L48" t="s">
        <v>27</v>
      </c>
      <c r="M48">
        <v>1.5</v>
      </c>
      <c r="N48" t="s">
        <v>28</v>
      </c>
      <c r="O48">
        <v>200</v>
      </c>
      <c r="P48">
        <v>70</v>
      </c>
      <c r="Q48">
        <v>18</v>
      </c>
    </row>
    <row r="49" spans="1:17" hidden="1" x14ac:dyDescent="0.2">
      <c r="A49" t="s">
        <v>64</v>
      </c>
      <c r="B49" t="s">
        <v>75</v>
      </c>
      <c r="C49" t="s">
        <v>72</v>
      </c>
      <c r="D49">
        <v>28</v>
      </c>
      <c r="E49">
        <v>1</v>
      </c>
      <c r="F49">
        <v>2</v>
      </c>
      <c r="G49" t="s">
        <v>25</v>
      </c>
      <c r="H49">
        <v>92.95</v>
      </c>
      <c r="I49">
        <v>0</v>
      </c>
      <c r="J49">
        <v>0</v>
      </c>
      <c r="K49">
        <v>0</v>
      </c>
      <c r="L49" t="s">
        <v>27</v>
      </c>
      <c r="M49">
        <v>1.5</v>
      </c>
      <c r="N49" t="s">
        <v>28</v>
      </c>
      <c r="O49">
        <v>200</v>
      </c>
      <c r="P49">
        <v>70</v>
      </c>
      <c r="Q49">
        <v>18</v>
      </c>
    </row>
    <row r="50" spans="1:17" hidden="1" x14ac:dyDescent="0.2">
      <c r="A50" t="s">
        <v>64</v>
      </c>
      <c r="B50" t="s">
        <v>75</v>
      </c>
      <c r="C50" t="s">
        <v>73</v>
      </c>
      <c r="D50">
        <v>28</v>
      </c>
      <c r="E50">
        <v>1</v>
      </c>
      <c r="F50">
        <v>2</v>
      </c>
      <c r="G50" t="s">
        <v>25</v>
      </c>
      <c r="H50">
        <v>60</v>
      </c>
      <c r="I50">
        <v>0</v>
      </c>
      <c r="J50">
        <v>0</v>
      </c>
      <c r="K50">
        <v>0</v>
      </c>
      <c r="L50" t="s">
        <v>27</v>
      </c>
      <c r="M50">
        <v>1.5</v>
      </c>
      <c r="N50" t="s">
        <v>28</v>
      </c>
      <c r="O50">
        <v>200</v>
      </c>
      <c r="P50">
        <v>70</v>
      </c>
      <c r="Q50">
        <v>18</v>
      </c>
    </row>
    <row r="51" spans="1:17" hidden="1" x14ac:dyDescent="0.2">
      <c r="A51" t="s">
        <v>64</v>
      </c>
      <c r="B51" t="s">
        <v>75</v>
      </c>
      <c r="C51" t="s">
        <v>74</v>
      </c>
      <c r="D51">
        <v>28</v>
      </c>
      <c r="E51">
        <v>1</v>
      </c>
      <c r="F51">
        <v>2</v>
      </c>
      <c r="G51" t="s">
        <v>25</v>
      </c>
      <c r="H51">
        <v>99</v>
      </c>
      <c r="I51">
        <v>0</v>
      </c>
      <c r="J51">
        <v>0</v>
      </c>
      <c r="K51">
        <v>0</v>
      </c>
      <c r="L51" t="s">
        <v>27</v>
      </c>
      <c r="M51">
        <v>1.5</v>
      </c>
      <c r="N51" t="s">
        <v>28</v>
      </c>
      <c r="O51">
        <v>200</v>
      </c>
      <c r="P51">
        <v>70</v>
      </c>
      <c r="Q51">
        <v>18</v>
      </c>
    </row>
    <row r="52" spans="1:17" hidden="1" x14ac:dyDescent="0.2">
      <c r="A52" t="s">
        <v>64</v>
      </c>
      <c r="B52" t="s">
        <v>76</v>
      </c>
      <c r="C52" t="s">
        <v>71</v>
      </c>
      <c r="D52">
        <v>28</v>
      </c>
      <c r="E52">
        <v>1</v>
      </c>
      <c r="F52">
        <v>2</v>
      </c>
      <c r="G52" t="s">
        <v>25</v>
      </c>
      <c r="I52">
        <v>0</v>
      </c>
      <c r="J52">
        <v>0</v>
      </c>
      <c r="K52">
        <v>0</v>
      </c>
      <c r="L52" t="s">
        <v>27</v>
      </c>
      <c r="M52">
        <v>3</v>
      </c>
      <c r="N52" t="s">
        <v>28</v>
      </c>
      <c r="O52">
        <v>200</v>
      </c>
      <c r="P52">
        <v>70</v>
      </c>
      <c r="Q52">
        <v>18</v>
      </c>
    </row>
    <row r="53" spans="1:17" hidden="1" x14ac:dyDescent="0.2">
      <c r="A53" t="s">
        <v>64</v>
      </c>
      <c r="B53" t="s">
        <v>76</v>
      </c>
      <c r="C53" t="s">
        <v>74</v>
      </c>
      <c r="D53">
        <v>28</v>
      </c>
      <c r="E53">
        <v>1</v>
      </c>
      <c r="F53">
        <v>2</v>
      </c>
      <c r="G53" t="s">
        <v>25</v>
      </c>
      <c r="H53">
        <v>85.75</v>
      </c>
      <c r="I53">
        <v>0</v>
      </c>
      <c r="J53">
        <v>0</v>
      </c>
      <c r="K53">
        <v>0</v>
      </c>
      <c r="L53" t="s">
        <v>27</v>
      </c>
      <c r="M53">
        <v>3</v>
      </c>
      <c r="N53" t="s">
        <v>28</v>
      </c>
      <c r="O53">
        <v>200</v>
      </c>
      <c r="P53">
        <v>70</v>
      </c>
      <c r="Q53">
        <v>18</v>
      </c>
    </row>
    <row r="54" spans="1:17" hidden="1" x14ac:dyDescent="0.2">
      <c r="A54" t="s">
        <v>64</v>
      </c>
      <c r="B54" t="s">
        <v>76</v>
      </c>
      <c r="C54" t="s">
        <v>79</v>
      </c>
      <c r="D54">
        <v>28</v>
      </c>
      <c r="E54">
        <v>1</v>
      </c>
      <c r="F54">
        <v>2</v>
      </c>
      <c r="G54" t="s">
        <v>25</v>
      </c>
      <c r="H54">
        <v>93.25</v>
      </c>
      <c r="I54">
        <v>0</v>
      </c>
      <c r="J54">
        <v>0</v>
      </c>
      <c r="K54">
        <v>0</v>
      </c>
      <c r="L54" t="s">
        <v>27</v>
      </c>
      <c r="M54">
        <v>3</v>
      </c>
      <c r="N54" t="s">
        <v>28</v>
      </c>
      <c r="O54">
        <v>200</v>
      </c>
      <c r="P54">
        <v>70</v>
      </c>
      <c r="Q54">
        <v>18</v>
      </c>
    </row>
    <row r="55" spans="1:17" hidden="1" x14ac:dyDescent="0.2">
      <c r="A55" t="s">
        <v>64</v>
      </c>
      <c r="B55" t="s">
        <v>77</v>
      </c>
      <c r="C55" t="s">
        <v>71</v>
      </c>
      <c r="D55">
        <v>28</v>
      </c>
      <c r="E55">
        <v>1</v>
      </c>
      <c r="F55">
        <v>5</v>
      </c>
      <c r="G55" t="s">
        <v>25</v>
      </c>
      <c r="H55">
        <v>126.18</v>
      </c>
      <c r="I55">
        <v>0</v>
      </c>
      <c r="J55">
        <v>0</v>
      </c>
      <c r="K55">
        <v>0</v>
      </c>
      <c r="L55" t="s">
        <v>27</v>
      </c>
      <c r="M55">
        <v>0.6</v>
      </c>
      <c r="N55" t="s">
        <v>28</v>
      </c>
      <c r="O55">
        <v>200</v>
      </c>
      <c r="P55">
        <v>70</v>
      </c>
      <c r="Q55">
        <v>18</v>
      </c>
    </row>
    <row r="56" spans="1:17" hidden="1" x14ac:dyDescent="0.2">
      <c r="A56" t="s">
        <v>64</v>
      </c>
      <c r="B56" t="s">
        <v>77</v>
      </c>
      <c r="C56" t="s">
        <v>72</v>
      </c>
      <c r="D56">
        <v>28</v>
      </c>
      <c r="E56">
        <v>1</v>
      </c>
      <c r="F56">
        <v>5</v>
      </c>
      <c r="G56" t="s">
        <v>25</v>
      </c>
      <c r="H56">
        <v>98.8</v>
      </c>
      <c r="I56">
        <v>0</v>
      </c>
      <c r="J56">
        <v>0</v>
      </c>
      <c r="K56">
        <v>0</v>
      </c>
      <c r="L56" t="s">
        <v>27</v>
      </c>
      <c r="M56">
        <v>0.6</v>
      </c>
      <c r="N56" t="s">
        <v>28</v>
      </c>
      <c r="O56">
        <v>200</v>
      </c>
      <c r="P56">
        <v>70</v>
      </c>
      <c r="Q56">
        <v>18</v>
      </c>
    </row>
    <row r="57" spans="1:17" hidden="1" x14ac:dyDescent="0.2">
      <c r="A57" t="s">
        <v>64</v>
      </c>
      <c r="B57" t="s">
        <v>77</v>
      </c>
      <c r="C57" t="s">
        <v>73</v>
      </c>
      <c r="D57">
        <v>28</v>
      </c>
      <c r="E57">
        <v>1</v>
      </c>
      <c r="F57">
        <v>5</v>
      </c>
      <c r="G57" t="s">
        <v>25</v>
      </c>
      <c r="H57">
        <v>75.56</v>
      </c>
      <c r="I57">
        <v>0</v>
      </c>
      <c r="J57">
        <v>0</v>
      </c>
      <c r="K57">
        <v>0</v>
      </c>
      <c r="L57" t="s">
        <v>27</v>
      </c>
      <c r="M57">
        <v>0.6</v>
      </c>
      <c r="N57" t="s">
        <v>28</v>
      </c>
      <c r="O57">
        <v>200</v>
      </c>
      <c r="P57">
        <v>70</v>
      </c>
      <c r="Q57">
        <v>18</v>
      </c>
    </row>
    <row r="58" spans="1:17" hidden="1" x14ac:dyDescent="0.2">
      <c r="A58" t="s">
        <v>64</v>
      </c>
      <c r="B58" t="s">
        <v>77</v>
      </c>
      <c r="C58" t="s">
        <v>74</v>
      </c>
      <c r="D58">
        <v>28</v>
      </c>
      <c r="E58">
        <v>1</v>
      </c>
      <c r="F58">
        <v>5</v>
      </c>
      <c r="G58" t="s">
        <v>25</v>
      </c>
      <c r="H58">
        <v>83.72</v>
      </c>
      <c r="I58">
        <v>0</v>
      </c>
      <c r="J58">
        <v>0</v>
      </c>
      <c r="K58">
        <v>0</v>
      </c>
      <c r="L58" t="s">
        <v>27</v>
      </c>
      <c r="M58">
        <v>0.6</v>
      </c>
      <c r="N58" t="s">
        <v>28</v>
      </c>
      <c r="O58">
        <v>200</v>
      </c>
      <c r="P58">
        <v>70</v>
      </c>
      <c r="Q58">
        <v>18</v>
      </c>
    </row>
    <row r="59" spans="1:17" hidden="1" x14ac:dyDescent="0.2">
      <c r="A59" t="s">
        <v>64</v>
      </c>
      <c r="B59" t="s">
        <v>78</v>
      </c>
      <c r="C59" t="s">
        <v>72</v>
      </c>
      <c r="D59">
        <v>28</v>
      </c>
      <c r="E59">
        <v>1</v>
      </c>
      <c r="F59">
        <v>7</v>
      </c>
      <c r="G59" t="s">
        <v>25</v>
      </c>
      <c r="H59">
        <v>85.04</v>
      </c>
      <c r="I59">
        <v>0</v>
      </c>
      <c r="J59">
        <v>0</v>
      </c>
      <c r="K59">
        <v>0</v>
      </c>
      <c r="L59" t="s">
        <v>27</v>
      </c>
      <c r="M59">
        <v>0.42857139999999999</v>
      </c>
      <c r="N59" t="s">
        <v>28</v>
      </c>
      <c r="O59">
        <v>200</v>
      </c>
      <c r="P59">
        <v>70</v>
      </c>
      <c r="Q59">
        <v>18</v>
      </c>
    </row>
    <row r="60" spans="1:17" hidden="1" x14ac:dyDescent="0.2">
      <c r="A60" t="s">
        <v>64</v>
      </c>
      <c r="B60" t="s">
        <v>78</v>
      </c>
      <c r="C60" t="s">
        <v>73</v>
      </c>
      <c r="D60">
        <v>28</v>
      </c>
      <c r="E60">
        <v>1</v>
      </c>
      <c r="F60">
        <v>7</v>
      </c>
      <c r="G60" t="s">
        <v>25</v>
      </c>
      <c r="H60">
        <v>81.257142999999999</v>
      </c>
      <c r="I60">
        <v>0</v>
      </c>
      <c r="J60">
        <v>0</v>
      </c>
      <c r="K60">
        <v>0</v>
      </c>
      <c r="L60" t="s">
        <v>27</v>
      </c>
      <c r="M60">
        <v>0.42857142857142855</v>
      </c>
      <c r="N60" t="s">
        <v>28</v>
      </c>
      <c r="O60">
        <v>200</v>
      </c>
      <c r="P60">
        <v>70</v>
      </c>
      <c r="Q60">
        <v>18</v>
      </c>
    </row>
    <row r="61" spans="1:17" hidden="1" x14ac:dyDescent="0.2">
      <c r="A61" s="4" t="s">
        <v>64</v>
      </c>
      <c r="B61" s="4" t="s">
        <v>78</v>
      </c>
      <c r="C61" s="4" t="s">
        <v>74</v>
      </c>
      <c r="D61" s="4">
        <v>28</v>
      </c>
      <c r="E61" s="4">
        <v>1</v>
      </c>
      <c r="F61" s="4">
        <v>7</v>
      </c>
      <c r="G61" s="4" t="s">
        <v>25</v>
      </c>
      <c r="H61" s="4">
        <v>77.671429000000003</v>
      </c>
      <c r="I61" s="4">
        <v>0</v>
      </c>
      <c r="J61" s="4">
        <v>0</v>
      </c>
      <c r="K61" s="4">
        <v>0</v>
      </c>
      <c r="L61" s="4" t="s">
        <v>27</v>
      </c>
      <c r="M61" s="4">
        <v>0.42857142857142855</v>
      </c>
      <c r="N61" s="4" t="s">
        <v>28</v>
      </c>
      <c r="O61" s="4">
        <v>200</v>
      </c>
      <c r="P61" s="4">
        <v>70</v>
      </c>
      <c r="Q61" s="4">
        <v>18</v>
      </c>
    </row>
    <row r="62" spans="1:17" x14ac:dyDescent="0.2">
      <c r="A62" t="s">
        <v>64</v>
      </c>
      <c r="B62" t="s">
        <v>70</v>
      </c>
      <c r="C62" t="s">
        <v>71</v>
      </c>
      <c r="D62">
        <v>42</v>
      </c>
      <c r="E62">
        <v>1</v>
      </c>
      <c r="F62">
        <v>1</v>
      </c>
      <c r="G62" t="s">
        <v>25</v>
      </c>
      <c r="H62">
        <v>342.1</v>
      </c>
      <c r="I62">
        <v>0</v>
      </c>
      <c r="J62">
        <v>0</v>
      </c>
      <c r="K62">
        <v>0</v>
      </c>
      <c r="L62" t="s">
        <v>12</v>
      </c>
      <c r="M62">
        <v>3</v>
      </c>
      <c r="N62" t="s">
        <v>28</v>
      </c>
      <c r="O62">
        <v>200</v>
      </c>
      <c r="P62">
        <v>70</v>
      </c>
      <c r="Q62">
        <v>18</v>
      </c>
    </row>
    <row r="63" spans="1:17" x14ac:dyDescent="0.2">
      <c r="A63" t="s">
        <v>64</v>
      </c>
      <c r="B63" t="s">
        <v>70</v>
      </c>
      <c r="C63" t="s">
        <v>72</v>
      </c>
      <c r="D63">
        <v>42</v>
      </c>
      <c r="E63">
        <v>1</v>
      </c>
      <c r="F63">
        <v>1</v>
      </c>
      <c r="G63" t="s">
        <v>25</v>
      </c>
      <c r="H63">
        <v>226.5</v>
      </c>
      <c r="I63">
        <v>0</v>
      </c>
      <c r="J63">
        <v>0</v>
      </c>
      <c r="K63">
        <v>0</v>
      </c>
      <c r="L63" t="s">
        <v>12</v>
      </c>
      <c r="M63">
        <v>3</v>
      </c>
      <c r="N63" t="s">
        <v>28</v>
      </c>
      <c r="O63">
        <v>200</v>
      </c>
      <c r="P63">
        <v>70</v>
      </c>
      <c r="Q63">
        <v>18</v>
      </c>
    </row>
    <row r="64" spans="1:17" x14ac:dyDescent="0.2">
      <c r="A64" t="s">
        <v>64</v>
      </c>
      <c r="B64" t="s">
        <v>70</v>
      </c>
      <c r="C64" t="s">
        <v>73</v>
      </c>
      <c r="D64">
        <v>42</v>
      </c>
      <c r="E64">
        <v>1</v>
      </c>
      <c r="F64">
        <v>1</v>
      </c>
      <c r="G64" t="s">
        <v>25</v>
      </c>
      <c r="I64">
        <v>0</v>
      </c>
      <c r="J64">
        <v>0</v>
      </c>
      <c r="K64">
        <v>0</v>
      </c>
      <c r="L64" t="s">
        <v>12</v>
      </c>
      <c r="M64">
        <v>3</v>
      </c>
      <c r="N64" t="s">
        <v>28</v>
      </c>
      <c r="O64">
        <v>200</v>
      </c>
      <c r="P64">
        <v>70</v>
      </c>
      <c r="Q64">
        <v>18</v>
      </c>
    </row>
    <row r="65" spans="1:17" x14ac:dyDescent="0.2">
      <c r="A65" t="s">
        <v>64</v>
      </c>
      <c r="B65" t="s">
        <v>70</v>
      </c>
      <c r="C65" t="s">
        <v>74</v>
      </c>
      <c r="D65">
        <v>42</v>
      </c>
      <c r="E65">
        <v>1</v>
      </c>
      <c r="F65">
        <v>1</v>
      </c>
      <c r="G65" t="s">
        <v>25</v>
      </c>
      <c r="H65">
        <v>276.39999999999998</v>
      </c>
      <c r="I65">
        <v>0</v>
      </c>
      <c r="J65">
        <v>0</v>
      </c>
      <c r="K65">
        <v>0</v>
      </c>
      <c r="L65" t="s">
        <v>12</v>
      </c>
      <c r="M65">
        <v>4</v>
      </c>
      <c r="N65" t="s">
        <v>28</v>
      </c>
      <c r="O65">
        <v>200</v>
      </c>
      <c r="P65">
        <v>70</v>
      </c>
      <c r="Q65">
        <v>18</v>
      </c>
    </row>
    <row r="66" spans="1:17" hidden="1" x14ac:dyDescent="0.2">
      <c r="A66" t="s">
        <v>64</v>
      </c>
      <c r="B66" t="s">
        <v>75</v>
      </c>
      <c r="C66" t="s">
        <v>71</v>
      </c>
      <c r="D66">
        <v>42</v>
      </c>
      <c r="E66">
        <v>1</v>
      </c>
      <c r="F66">
        <v>2</v>
      </c>
      <c r="G66" t="s">
        <v>25</v>
      </c>
      <c r="H66">
        <v>186.7</v>
      </c>
      <c r="I66">
        <v>0</v>
      </c>
      <c r="J66">
        <v>0</v>
      </c>
      <c r="K66">
        <v>0</v>
      </c>
      <c r="L66" t="s">
        <v>12</v>
      </c>
      <c r="M66">
        <v>1.5</v>
      </c>
      <c r="N66" t="s">
        <v>28</v>
      </c>
      <c r="O66">
        <v>200</v>
      </c>
      <c r="P66">
        <v>70</v>
      </c>
      <c r="Q66">
        <v>18</v>
      </c>
    </row>
    <row r="67" spans="1:17" hidden="1" x14ac:dyDescent="0.2">
      <c r="A67" t="s">
        <v>64</v>
      </c>
      <c r="B67" t="s">
        <v>75</v>
      </c>
      <c r="C67" t="s">
        <v>72</v>
      </c>
      <c r="D67">
        <v>42</v>
      </c>
      <c r="E67">
        <v>1</v>
      </c>
      <c r="F67">
        <v>2</v>
      </c>
      <c r="G67" t="s">
        <v>25</v>
      </c>
      <c r="H67">
        <v>187.9</v>
      </c>
      <c r="I67">
        <v>0</v>
      </c>
      <c r="J67">
        <v>0</v>
      </c>
      <c r="K67">
        <v>0</v>
      </c>
      <c r="L67" t="s">
        <v>12</v>
      </c>
      <c r="M67">
        <v>1.5</v>
      </c>
      <c r="N67" t="s">
        <v>28</v>
      </c>
      <c r="O67">
        <v>200</v>
      </c>
      <c r="P67">
        <v>70</v>
      </c>
      <c r="Q67">
        <v>18</v>
      </c>
    </row>
    <row r="68" spans="1:17" hidden="1" x14ac:dyDescent="0.2">
      <c r="A68" t="s">
        <v>64</v>
      </c>
      <c r="B68" t="s">
        <v>75</v>
      </c>
      <c r="C68" t="s">
        <v>73</v>
      </c>
      <c r="D68">
        <v>42</v>
      </c>
      <c r="E68">
        <v>1</v>
      </c>
      <c r="F68">
        <v>2</v>
      </c>
      <c r="G68" t="s">
        <v>25</v>
      </c>
      <c r="H68">
        <v>113.6</v>
      </c>
      <c r="I68">
        <v>0</v>
      </c>
      <c r="J68">
        <v>0</v>
      </c>
      <c r="K68">
        <v>0</v>
      </c>
      <c r="L68" t="s">
        <v>12</v>
      </c>
      <c r="M68">
        <v>1.5</v>
      </c>
      <c r="N68" t="s">
        <v>28</v>
      </c>
      <c r="O68">
        <v>200</v>
      </c>
      <c r="P68">
        <v>70</v>
      </c>
      <c r="Q68">
        <v>18</v>
      </c>
    </row>
    <row r="69" spans="1:17" hidden="1" x14ac:dyDescent="0.2">
      <c r="A69" t="s">
        <v>64</v>
      </c>
      <c r="B69" t="s">
        <v>75</v>
      </c>
      <c r="C69" t="s">
        <v>74</v>
      </c>
      <c r="D69">
        <v>42</v>
      </c>
      <c r="E69">
        <v>1</v>
      </c>
      <c r="F69">
        <v>2</v>
      </c>
      <c r="G69" t="s">
        <v>25</v>
      </c>
      <c r="H69">
        <v>254.25</v>
      </c>
      <c r="I69">
        <v>0</v>
      </c>
      <c r="J69">
        <v>0</v>
      </c>
      <c r="K69">
        <v>0</v>
      </c>
      <c r="L69" t="s">
        <v>12</v>
      </c>
      <c r="M69">
        <v>1.5</v>
      </c>
      <c r="N69" t="s">
        <v>28</v>
      </c>
      <c r="O69">
        <v>200</v>
      </c>
      <c r="P69">
        <v>70</v>
      </c>
      <c r="Q69">
        <v>18</v>
      </c>
    </row>
    <row r="70" spans="1:17" hidden="1" x14ac:dyDescent="0.2">
      <c r="A70" t="s">
        <v>64</v>
      </c>
      <c r="B70" t="s">
        <v>76</v>
      </c>
      <c r="C70" t="s">
        <v>71</v>
      </c>
      <c r="D70">
        <v>42</v>
      </c>
      <c r="E70">
        <v>1</v>
      </c>
      <c r="F70">
        <v>2</v>
      </c>
      <c r="G70" t="s">
        <v>66</v>
      </c>
      <c r="I70">
        <v>0</v>
      </c>
      <c r="J70">
        <v>0</v>
      </c>
      <c r="K70">
        <v>0</v>
      </c>
      <c r="L70" t="s">
        <v>12</v>
      </c>
      <c r="M70">
        <v>3</v>
      </c>
      <c r="N70" t="s">
        <v>28</v>
      </c>
      <c r="O70">
        <v>200</v>
      </c>
      <c r="P70">
        <v>70</v>
      </c>
      <c r="Q70">
        <v>18</v>
      </c>
    </row>
    <row r="71" spans="1:17" hidden="1" x14ac:dyDescent="0.2">
      <c r="A71" t="s">
        <v>64</v>
      </c>
      <c r="B71" t="s">
        <v>76</v>
      </c>
      <c r="C71" t="s">
        <v>74</v>
      </c>
      <c r="D71">
        <v>42</v>
      </c>
      <c r="E71">
        <v>1</v>
      </c>
      <c r="F71">
        <v>2</v>
      </c>
      <c r="G71" t="s">
        <v>25</v>
      </c>
      <c r="H71">
        <v>123.5</v>
      </c>
      <c r="I71">
        <v>0</v>
      </c>
      <c r="J71">
        <v>0</v>
      </c>
      <c r="K71">
        <v>0</v>
      </c>
      <c r="L71" t="s">
        <v>12</v>
      </c>
      <c r="M71">
        <v>3</v>
      </c>
      <c r="N71" t="s">
        <v>28</v>
      </c>
      <c r="O71">
        <v>200</v>
      </c>
      <c r="P71">
        <v>70</v>
      </c>
      <c r="Q71">
        <v>18</v>
      </c>
    </row>
    <row r="72" spans="1:17" hidden="1" x14ac:dyDescent="0.2">
      <c r="A72" t="s">
        <v>64</v>
      </c>
      <c r="B72" t="s">
        <v>76</v>
      </c>
      <c r="C72" t="s">
        <v>79</v>
      </c>
      <c r="D72">
        <v>42</v>
      </c>
      <c r="E72">
        <v>1</v>
      </c>
      <c r="F72">
        <v>2</v>
      </c>
      <c r="G72" t="s">
        <v>25</v>
      </c>
      <c r="H72">
        <v>210.7</v>
      </c>
      <c r="I72">
        <v>0</v>
      </c>
      <c r="J72">
        <v>0</v>
      </c>
      <c r="K72">
        <v>0</v>
      </c>
      <c r="L72" t="s">
        <v>12</v>
      </c>
      <c r="M72">
        <v>3</v>
      </c>
      <c r="N72" t="s">
        <v>28</v>
      </c>
      <c r="O72">
        <v>200</v>
      </c>
      <c r="P72">
        <v>70</v>
      </c>
      <c r="Q72">
        <v>18</v>
      </c>
    </row>
    <row r="73" spans="1:17" hidden="1" x14ac:dyDescent="0.2">
      <c r="A73" t="s">
        <v>64</v>
      </c>
      <c r="B73" t="s">
        <v>77</v>
      </c>
      <c r="C73" t="s">
        <v>71</v>
      </c>
      <c r="D73">
        <v>42</v>
      </c>
      <c r="E73">
        <v>1</v>
      </c>
      <c r="F73">
        <v>5</v>
      </c>
      <c r="G73" t="s">
        <v>25</v>
      </c>
      <c r="H73">
        <v>212.36</v>
      </c>
      <c r="I73">
        <v>0</v>
      </c>
      <c r="J73">
        <v>0</v>
      </c>
      <c r="K73">
        <v>0</v>
      </c>
      <c r="L73" t="s">
        <v>12</v>
      </c>
      <c r="M73">
        <v>0.6</v>
      </c>
      <c r="N73" t="s">
        <v>28</v>
      </c>
      <c r="O73">
        <v>200</v>
      </c>
      <c r="P73">
        <v>70</v>
      </c>
      <c r="Q73">
        <v>18</v>
      </c>
    </row>
    <row r="74" spans="1:17" hidden="1" x14ac:dyDescent="0.2">
      <c r="A74" t="s">
        <v>64</v>
      </c>
      <c r="B74" t="s">
        <v>77</v>
      </c>
      <c r="C74" t="s">
        <v>72</v>
      </c>
      <c r="D74">
        <v>42</v>
      </c>
      <c r="E74">
        <v>1</v>
      </c>
      <c r="F74">
        <v>5</v>
      </c>
      <c r="G74" t="s">
        <v>25</v>
      </c>
      <c r="H74">
        <v>195.12</v>
      </c>
      <c r="I74">
        <v>0</v>
      </c>
      <c r="J74">
        <v>0</v>
      </c>
      <c r="K74">
        <v>0</v>
      </c>
      <c r="L74" t="s">
        <v>12</v>
      </c>
      <c r="M74">
        <v>0.6</v>
      </c>
      <c r="N74" t="s">
        <v>28</v>
      </c>
      <c r="O74">
        <v>200</v>
      </c>
      <c r="P74">
        <v>70</v>
      </c>
      <c r="Q74">
        <v>18</v>
      </c>
    </row>
    <row r="75" spans="1:17" hidden="1" x14ac:dyDescent="0.2">
      <c r="A75" t="s">
        <v>64</v>
      </c>
      <c r="B75" t="s">
        <v>77</v>
      </c>
      <c r="C75" t="s">
        <v>73</v>
      </c>
      <c r="D75">
        <v>42</v>
      </c>
      <c r="E75">
        <v>1</v>
      </c>
      <c r="F75">
        <v>5</v>
      </c>
      <c r="G75" t="s">
        <v>25</v>
      </c>
      <c r="H75">
        <v>169.4</v>
      </c>
      <c r="I75">
        <v>0</v>
      </c>
      <c r="J75">
        <v>0</v>
      </c>
      <c r="K75">
        <v>0</v>
      </c>
      <c r="L75" t="s">
        <v>12</v>
      </c>
      <c r="M75">
        <v>0.6</v>
      </c>
      <c r="N75" t="s">
        <v>28</v>
      </c>
      <c r="O75">
        <v>200</v>
      </c>
      <c r="P75">
        <v>70</v>
      </c>
      <c r="Q75">
        <v>18</v>
      </c>
    </row>
    <row r="76" spans="1:17" hidden="1" x14ac:dyDescent="0.2">
      <c r="A76" t="s">
        <v>64</v>
      </c>
      <c r="B76" t="s">
        <v>77</v>
      </c>
      <c r="C76" t="s">
        <v>74</v>
      </c>
      <c r="D76">
        <v>42</v>
      </c>
      <c r="E76">
        <v>1</v>
      </c>
      <c r="F76">
        <v>5</v>
      </c>
      <c r="G76" t="s">
        <v>25</v>
      </c>
      <c r="H76">
        <v>166.04</v>
      </c>
      <c r="I76">
        <v>0</v>
      </c>
      <c r="J76">
        <v>0</v>
      </c>
      <c r="K76">
        <v>0</v>
      </c>
      <c r="L76" t="s">
        <v>12</v>
      </c>
      <c r="M76">
        <v>0.6</v>
      </c>
      <c r="N76" t="s">
        <v>28</v>
      </c>
      <c r="O76">
        <v>200</v>
      </c>
      <c r="P76">
        <v>70</v>
      </c>
      <c r="Q76">
        <v>18</v>
      </c>
    </row>
    <row r="77" spans="1:17" hidden="1" x14ac:dyDescent="0.2">
      <c r="A77" t="s">
        <v>64</v>
      </c>
      <c r="B77" t="s">
        <v>78</v>
      </c>
      <c r="C77" t="s">
        <v>72</v>
      </c>
      <c r="D77">
        <v>42</v>
      </c>
      <c r="E77">
        <v>1</v>
      </c>
      <c r="F77">
        <v>7</v>
      </c>
      <c r="G77" t="s">
        <v>25</v>
      </c>
      <c r="H77">
        <v>161.88571400000001</v>
      </c>
      <c r="I77">
        <v>0</v>
      </c>
      <c r="J77">
        <v>0</v>
      </c>
      <c r="K77">
        <v>0</v>
      </c>
      <c r="L77" t="s">
        <v>12</v>
      </c>
      <c r="M77">
        <v>0.42857139999999999</v>
      </c>
      <c r="N77" t="s">
        <v>28</v>
      </c>
      <c r="O77">
        <v>200</v>
      </c>
      <c r="P77">
        <v>70</v>
      </c>
      <c r="Q77">
        <v>18</v>
      </c>
    </row>
    <row r="78" spans="1:17" hidden="1" x14ac:dyDescent="0.2">
      <c r="A78" t="s">
        <v>64</v>
      </c>
      <c r="B78" t="s">
        <v>78</v>
      </c>
      <c r="C78" t="s">
        <v>73</v>
      </c>
      <c r="D78">
        <v>42</v>
      </c>
      <c r="E78">
        <v>1</v>
      </c>
      <c r="F78">
        <v>7</v>
      </c>
      <c r="G78" t="s">
        <v>25</v>
      </c>
      <c r="H78">
        <v>147.971429</v>
      </c>
      <c r="I78">
        <v>0</v>
      </c>
      <c r="J78">
        <v>0</v>
      </c>
      <c r="K78">
        <v>0</v>
      </c>
      <c r="L78" t="s">
        <v>12</v>
      </c>
      <c r="M78">
        <v>0.42857142857142855</v>
      </c>
      <c r="N78" t="s">
        <v>28</v>
      </c>
      <c r="O78">
        <v>200</v>
      </c>
      <c r="P78">
        <v>70</v>
      </c>
      <c r="Q78">
        <v>18</v>
      </c>
    </row>
    <row r="79" spans="1:17" hidden="1" x14ac:dyDescent="0.2">
      <c r="A79" s="4" t="s">
        <v>64</v>
      </c>
      <c r="B79" s="4" t="s">
        <v>78</v>
      </c>
      <c r="C79" s="4" t="s">
        <v>74</v>
      </c>
      <c r="D79" s="4">
        <v>42</v>
      </c>
      <c r="E79" s="4">
        <v>1</v>
      </c>
      <c r="F79" s="4">
        <v>7</v>
      </c>
      <c r="G79" s="4" t="s">
        <v>25</v>
      </c>
      <c r="H79" s="4">
        <v>155.75714300000001</v>
      </c>
      <c r="I79" s="4">
        <v>0</v>
      </c>
      <c r="J79" s="4">
        <v>0</v>
      </c>
      <c r="K79" s="4">
        <v>0</v>
      </c>
      <c r="L79" s="4" t="s">
        <v>12</v>
      </c>
      <c r="M79" s="4">
        <v>0.42857142857142855</v>
      </c>
      <c r="N79" s="4" t="s">
        <v>28</v>
      </c>
      <c r="O79" s="4">
        <v>200</v>
      </c>
      <c r="P79" s="4">
        <v>70</v>
      </c>
      <c r="Q79" s="4">
        <v>18</v>
      </c>
    </row>
    <row r="80" spans="1:17" x14ac:dyDescent="0.2">
      <c r="A80" t="s">
        <v>64</v>
      </c>
      <c r="B80" t="s">
        <v>70</v>
      </c>
      <c r="C80" t="s">
        <v>71</v>
      </c>
      <c r="D80">
        <v>56</v>
      </c>
      <c r="E80">
        <v>1</v>
      </c>
      <c r="F80">
        <v>1</v>
      </c>
      <c r="G80" t="s">
        <v>25</v>
      </c>
      <c r="H80">
        <v>658.2</v>
      </c>
      <c r="I80">
        <v>0</v>
      </c>
      <c r="J80">
        <v>0</v>
      </c>
      <c r="K80">
        <v>0</v>
      </c>
      <c r="L80" t="s">
        <v>27</v>
      </c>
      <c r="M80">
        <v>3</v>
      </c>
      <c r="N80" t="s">
        <v>28</v>
      </c>
      <c r="O80">
        <v>200</v>
      </c>
      <c r="P80">
        <v>70</v>
      </c>
      <c r="Q80">
        <v>18</v>
      </c>
    </row>
    <row r="81" spans="1:17" x14ac:dyDescent="0.2">
      <c r="A81" t="s">
        <v>64</v>
      </c>
      <c r="B81" t="s">
        <v>70</v>
      </c>
      <c r="C81" t="s">
        <v>72</v>
      </c>
      <c r="D81">
        <v>56</v>
      </c>
      <c r="E81">
        <v>1</v>
      </c>
      <c r="F81">
        <v>1</v>
      </c>
      <c r="G81" t="s">
        <v>25</v>
      </c>
      <c r="H81">
        <v>412.5</v>
      </c>
      <c r="I81">
        <v>0</v>
      </c>
      <c r="J81">
        <v>0</v>
      </c>
      <c r="K81">
        <v>0</v>
      </c>
      <c r="L81" t="s">
        <v>27</v>
      </c>
      <c r="M81">
        <v>3</v>
      </c>
      <c r="N81" t="s">
        <v>28</v>
      </c>
      <c r="O81">
        <v>200</v>
      </c>
      <c r="P81">
        <v>70</v>
      </c>
      <c r="Q81">
        <v>18</v>
      </c>
    </row>
    <row r="82" spans="1:17" x14ac:dyDescent="0.2">
      <c r="A82" t="s">
        <v>64</v>
      </c>
      <c r="B82" t="s">
        <v>70</v>
      </c>
      <c r="C82" t="s">
        <v>73</v>
      </c>
      <c r="D82">
        <v>56</v>
      </c>
      <c r="E82">
        <v>1</v>
      </c>
      <c r="F82">
        <v>1</v>
      </c>
      <c r="G82" t="s">
        <v>25</v>
      </c>
      <c r="H82">
        <v>448.4</v>
      </c>
      <c r="I82">
        <v>0</v>
      </c>
      <c r="J82">
        <v>0</v>
      </c>
      <c r="K82">
        <v>0</v>
      </c>
      <c r="L82" t="s">
        <v>27</v>
      </c>
      <c r="M82">
        <v>3</v>
      </c>
      <c r="N82" t="s">
        <v>28</v>
      </c>
      <c r="O82">
        <v>200</v>
      </c>
      <c r="P82">
        <v>70</v>
      </c>
      <c r="Q82">
        <v>18</v>
      </c>
    </row>
    <row r="83" spans="1:17" x14ac:dyDescent="0.2">
      <c r="A83" t="s">
        <v>64</v>
      </c>
      <c r="B83" t="s">
        <v>70</v>
      </c>
      <c r="C83" t="s">
        <v>74</v>
      </c>
      <c r="D83">
        <v>56</v>
      </c>
      <c r="E83">
        <v>1</v>
      </c>
      <c r="F83">
        <v>1</v>
      </c>
      <c r="G83" t="s">
        <v>25</v>
      </c>
      <c r="H83">
        <v>537</v>
      </c>
      <c r="I83">
        <v>0</v>
      </c>
      <c r="J83">
        <v>0</v>
      </c>
      <c r="K83">
        <v>0</v>
      </c>
      <c r="L83" t="s">
        <v>27</v>
      </c>
      <c r="M83">
        <v>4</v>
      </c>
      <c r="N83" t="s">
        <v>28</v>
      </c>
      <c r="O83">
        <v>200</v>
      </c>
      <c r="P83">
        <v>70</v>
      </c>
      <c r="Q83">
        <v>18</v>
      </c>
    </row>
    <row r="84" spans="1:17" hidden="1" x14ac:dyDescent="0.2">
      <c r="A84" t="s">
        <v>64</v>
      </c>
      <c r="B84" t="s">
        <v>75</v>
      </c>
      <c r="C84" t="s">
        <v>71</v>
      </c>
      <c r="D84">
        <v>56</v>
      </c>
      <c r="E84">
        <v>1</v>
      </c>
      <c r="F84">
        <v>2</v>
      </c>
      <c r="G84" t="s">
        <v>25</v>
      </c>
      <c r="H84">
        <v>371.85</v>
      </c>
      <c r="I84">
        <v>0</v>
      </c>
      <c r="J84">
        <v>0</v>
      </c>
      <c r="K84">
        <v>0</v>
      </c>
      <c r="L84" t="s">
        <v>27</v>
      </c>
      <c r="M84">
        <v>1.5</v>
      </c>
      <c r="N84" t="s">
        <v>28</v>
      </c>
      <c r="O84">
        <v>200</v>
      </c>
      <c r="P84">
        <v>70</v>
      </c>
      <c r="Q84">
        <v>18</v>
      </c>
    </row>
    <row r="85" spans="1:17" hidden="1" x14ac:dyDescent="0.2">
      <c r="A85" t="s">
        <v>64</v>
      </c>
      <c r="B85" t="s">
        <v>75</v>
      </c>
      <c r="C85" t="s">
        <v>72</v>
      </c>
      <c r="D85">
        <v>56</v>
      </c>
      <c r="E85">
        <v>1</v>
      </c>
      <c r="F85">
        <v>2</v>
      </c>
      <c r="G85" t="s">
        <v>25</v>
      </c>
      <c r="H85">
        <v>371.65</v>
      </c>
      <c r="I85">
        <v>0</v>
      </c>
      <c r="J85">
        <v>0</v>
      </c>
      <c r="K85">
        <v>0</v>
      </c>
      <c r="L85" t="s">
        <v>27</v>
      </c>
      <c r="M85">
        <v>1.5</v>
      </c>
      <c r="N85" t="s">
        <v>28</v>
      </c>
      <c r="O85">
        <v>200</v>
      </c>
      <c r="P85">
        <v>70</v>
      </c>
      <c r="Q85">
        <v>18</v>
      </c>
    </row>
    <row r="86" spans="1:17" hidden="1" x14ac:dyDescent="0.2">
      <c r="A86" t="s">
        <v>64</v>
      </c>
      <c r="B86" t="s">
        <v>75</v>
      </c>
      <c r="C86" t="s">
        <v>73</v>
      </c>
      <c r="D86">
        <v>56</v>
      </c>
      <c r="E86">
        <v>1</v>
      </c>
      <c r="F86">
        <v>2</v>
      </c>
      <c r="G86" t="s">
        <v>25</v>
      </c>
      <c r="H86">
        <v>189.05</v>
      </c>
      <c r="I86">
        <v>0</v>
      </c>
      <c r="J86">
        <v>0</v>
      </c>
      <c r="K86">
        <v>0</v>
      </c>
      <c r="L86" t="s">
        <v>27</v>
      </c>
      <c r="M86">
        <v>1.5</v>
      </c>
      <c r="N86" t="s">
        <v>28</v>
      </c>
      <c r="O86">
        <v>200</v>
      </c>
      <c r="P86">
        <v>70</v>
      </c>
      <c r="Q86">
        <v>18</v>
      </c>
    </row>
    <row r="87" spans="1:17" hidden="1" x14ac:dyDescent="0.2">
      <c r="A87" t="s">
        <v>64</v>
      </c>
      <c r="B87" t="s">
        <v>75</v>
      </c>
      <c r="C87" t="s">
        <v>74</v>
      </c>
      <c r="D87">
        <v>56</v>
      </c>
      <c r="E87">
        <v>1</v>
      </c>
      <c r="F87">
        <v>2</v>
      </c>
      <c r="G87" t="s">
        <v>25</v>
      </c>
      <c r="H87">
        <v>482.55</v>
      </c>
      <c r="I87">
        <v>0</v>
      </c>
      <c r="J87">
        <v>0</v>
      </c>
      <c r="K87">
        <v>0</v>
      </c>
      <c r="L87" t="s">
        <v>27</v>
      </c>
      <c r="M87">
        <v>1.5</v>
      </c>
      <c r="N87" t="s">
        <v>28</v>
      </c>
      <c r="O87">
        <v>200</v>
      </c>
      <c r="P87">
        <v>70</v>
      </c>
      <c r="Q87">
        <v>18</v>
      </c>
    </row>
    <row r="88" spans="1:17" hidden="1" x14ac:dyDescent="0.2">
      <c r="A88" t="s">
        <v>64</v>
      </c>
      <c r="B88" t="s">
        <v>76</v>
      </c>
      <c r="C88" t="s">
        <v>74</v>
      </c>
      <c r="D88">
        <v>56</v>
      </c>
      <c r="E88">
        <v>1</v>
      </c>
      <c r="F88">
        <v>2</v>
      </c>
      <c r="G88" t="s">
        <v>25</v>
      </c>
      <c r="H88">
        <v>253.85</v>
      </c>
      <c r="I88">
        <v>0</v>
      </c>
      <c r="J88">
        <v>0</v>
      </c>
      <c r="K88">
        <v>0</v>
      </c>
      <c r="L88" t="s">
        <v>27</v>
      </c>
      <c r="M88">
        <v>3</v>
      </c>
      <c r="N88" t="s">
        <v>28</v>
      </c>
      <c r="O88">
        <v>200</v>
      </c>
      <c r="P88">
        <v>70</v>
      </c>
      <c r="Q88">
        <v>18</v>
      </c>
    </row>
    <row r="89" spans="1:17" hidden="1" x14ac:dyDescent="0.2">
      <c r="A89" t="s">
        <v>64</v>
      </c>
      <c r="B89" t="s">
        <v>76</v>
      </c>
      <c r="C89" t="s">
        <v>79</v>
      </c>
      <c r="D89">
        <v>56</v>
      </c>
      <c r="E89">
        <v>1</v>
      </c>
      <c r="F89">
        <v>2</v>
      </c>
      <c r="G89" t="s">
        <v>25</v>
      </c>
      <c r="H89">
        <v>376.9</v>
      </c>
      <c r="I89">
        <v>0</v>
      </c>
      <c r="J89">
        <v>0</v>
      </c>
      <c r="K89">
        <v>0</v>
      </c>
      <c r="L89" t="s">
        <v>27</v>
      </c>
      <c r="M89">
        <v>3</v>
      </c>
      <c r="N89" t="s">
        <v>28</v>
      </c>
      <c r="O89">
        <v>200</v>
      </c>
      <c r="P89">
        <v>70</v>
      </c>
      <c r="Q89">
        <v>18</v>
      </c>
    </row>
    <row r="90" spans="1:17" hidden="1" x14ac:dyDescent="0.2">
      <c r="A90" t="s">
        <v>64</v>
      </c>
      <c r="B90" t="s">
        <v>77</v>
      </c>
      <c r="C90" t="s">
        <v>71</v>
      </c>
      <c r="D90">
        <v>56</v>
      </c>
      <c r="E90">
        <v>1</v>
      </c>
      <c r="F90">
        <v>5</v>
      </c>
      <c r="G90" t="s">
        <v>25</v>
      </c>
      <c r="H90">
        <v>393.46</v>
      </c>
      <c r="I90">
        <v>0</v>
      </c>
      <c r="J90">
        <v>0</v>
      </c>
      <c r="K90">
        <v>0</v>
      </c>
      <c r="L90" t="s">
        <v>27</v>
      </c>
      <c r="M90">
        <v>0.6</v>
      </c>
      <c r="N90" t="s">
        <v>28</v>
      </c>
      <c r="O90">
        <v>200</v>
      </c>
      <c r="P90">
        <v>70</v>
      </c>
      <c r="Q90">
        <v>18</v>
      </c>
    </row>
    <row r="91" spans="1:17" hidden="1" x14ac:dyDescent="0.2">
      <c r="A91" t="s">
        <v>64</v>
      </c>
      <c r="B91" t="s">
        <v>77</v>
      </c>
      <c r="C91" t="s">
        <v>72</v>
      </c>
      <c r="D91">
        <v>56</v>
      </c>
      <c r="E91">
        <v>1</v>
      </c>
      <c r="F91">
        <v>5</v>
      </c>
      <c r="G91" t="s">
        <v>25</v>
      </c>
      <c r="H91">
        <v>339.02</v>
      </c>
      <c r="I91">
        <v>0</v>
      </c>
      <c r="J91">
        <v>0</v>
      </c>
      <c r="K91">
        <v>0</v>
      </c>
      <c r="L91" t="s">
        <v>27</v>
      </c>
      <c r="M91">
        <v>0.6</v>
      </c>
      <c r="N91" t="s">
        <v>28</v>
      </c>
      <c r="O91">
        <v>200</v>
      </c>
      <c r="P91">
        <v>70</v>
      </c>
      <c r="Q91">
        <v>18</v>
      </c>
    </row>
    <row r="92" spans="1:17" hidden="1" x14ac:dyDescent="0.2">
      <c r="A92" t="s">
        <v>64</v>
      </c>
      <c r="B92" t="s">
        <v>77</v>
      </c>
      <c r="C92" t="s">
        <v>73</v>
      </c>
      <c r="D92">
        <v>56</v>
      </c>
      <c r="E92">
        <v>1</v>
      </c>
      <c r="F92">
        <v>5</v>
      </c>
      <c r="G92" t="s">
        <v>25</v>
      </c>
      <c r="H92">
        <v>331.02</v>
      </c>
      <c r="I92">
        <v>0</v>
      </c>
      <c r="J92">
        <v>0</v>
      </c>
      <c r="K92">
        <v>0</v>
      </c>
      <c r="L92" t="s">
        <v>27</v>
      </c>
      <c r="M92">
        <v>0.6</v>
      </c>
      <c r="N92" t="s">
        <v>28</v>
      </c>
      <c r="O92">
        <v>200</v>
      </c>
      <c r="P92">
        <v>70</v>
      </c>
      <c r="Q92">
        <v>18</v>
      </c>
    </row>
    <row r="93" spans="1:17" hidden="1" x14ac:dyDescent="0.2">
      <c r="A93" t="s">
        <v>64</v>
      </c>
      <c r="B93" t="s">
        <v>77</v>
      </c>
      <c r="C93" t="s">
        <v>74</v>
      </c>
      <c r="D93">
        <v>56</v>
      </c>
      <c r="E93">
        <v>1</v>
      </c>
      <c r="F93">
        <v>5</v>
      </c>
      <c r="G93" t="s">
        <v>25</v>
      </c>
      <c r="H93">
        <v>324.26</v>
      </c>
      <c r="I93">
        <v>0</v>
      </c>
      <c r="J93">
        <v>0</v>
      </c>
      <c r="K93">
        <v>0</v>
      </c>
      <c r="L93" t="s">
        <v>27</v>
      </c>
      <c r="M93">
        <v>0.6</v>
      </c>
      <c r="N93" t="s">
        <v>28</v>
      </c>
      <c r="O93">
        <v>200</v>
      </c>
      <c r="P93">
        <v>70</v>
      </c>
      <c r="Q93">
        <v>18</v>
      </c>
    </row>
    <row r="94" spans="1:17" hidden="1" x14ac:dyDescent="0.2">
      <c r="A94" t="s">
        <v>64</v>
      </c>
      <c r="B94" t="s">
        <v>78</v>
      </c>
      <c r="C94" t="s">
        <v>72</v>
      </c>
      <c r="D94">
        <v>56</v>
      </c>
      <c r="E94">
        <v>1</v>
      </c>
      <c r="F94">
        <v>7</v>
      </c>
      <c r="G94" t="s">
        <v>25</v>
      </c>
      <c r="H94">
        <v>280.48571399999997</v>
      </c>
      <c r="I94">
        <v>0</v>
      </c>
      <c r="J94">
        <v>0</v>
      </c>
      <c r="K94">
        <v>0</v>
      </c>
      <c r="L94" t="s">
        <v>27</v>
      </c>
      <c r="M94">
        <v>0.42857139999999999</v>
      </c>
      <c r="N94" t="s">
        <v>28</v>
      </c>
      <c r="O94">
        <v>200</v>
      </c>
      <c r="P94">
        <v>70</v>
      </c>
      <c r="Q94">
        <v>18</v>
      </c>
    </row>
    <row r="95" spans="1:17" hidden="1" x14ac:dyDescent="0.2">
      <c r="A95" t="s">
        <v>64</v>
      </c>
      <c r="B95" t="s">
        <v>78</v>
      </c>
      <c r="C95" t="s">
        <v>73</v>
      </c>
      <c r="D95">
        <v>56</v>
      </c>
      <c r="E95">
        <v>1</v>
      </c>
      <c r="F95">
        <v>7</v>
      </c>
      <c r="G95" t="s">
        <v>25</v>
      </c>
      <c r="I95">
        <v>0</v>
      </c>
      <c r="J95">
        <v>0</v>
      </c>
      <c r="K95">
        <v>0</v>
      </c>
      <c r="L95" t="s">
        <v>27</v>
      </c>
      <c r="M95">
        <v>0.42857142857142855</v>
      </c>
      <c r="N95" t="s">
        <v>28</v>
      </c>
      <c r="O95">
        <v>200</v>
      </c>
      <c r="P95">
        <v>70</v>
      </c>
      <c r="Q95">
        <v>18</v>
      </c>
    </row>
    <row r="96" spans="1:17" hidden="1" x14ac:dyDescent="0.2">
      <c r="A96" s="4" t="s">
        <v>64</v>
      </c>
      <c r="B96" s="4" t="s">
        <v>78</v>
      </c>
      <c r="C96" s="4" t="s">
        <v>74</v>
      </c>
      <c r="D96" s="4">
        <v>56</v>
      </c>
      <c r="E96" s="4">
        <v>1</v>
      </c>
      <c r="F96" s="4">
        <v>7</v>
      </c>
      <c r="G96" s="4" t="s">
        <v>25</v>
      </c>
      <c r="H96" s="4">
        <v>272.18571400000002</v>
      </c>
      <c r="I96" s="4">
        <v>0</v>
      </c>
      <c r="J96" s="4">
        <v>0</v>
      </c>
      <c r="K96" s="4">
        <v>0</v>
      </c>
      <c r="L96" s="4" t="s">
        <v>27</v>
      </c>
      <c r="M96" s="4">
        <v>0.42857142857142855</v>
      </c>
      <c r="N96" s="4" t="s">
        <v>28</v>
      </c>
      <c r="O96" s="4">
        <v>200</v>
      </c>
      <c r="P96" s="4">
        <v>70</v>
      </c>
      <c r="Q96" s="4">
        <v>18</v>
      </c>
    </row>
    <row r="97" spans="1:17" x14ac:dyDescent="0.2">
      <c r="A97" t="s">
        <v>64</v>
      </c>
      <c r="B97" t="s">
        <v>70</v>
      </c>
      <c r="C97" t="s">
        <v>71</v>
      </c>
      <c r="D97">
        <v>70</v>
      </c>
      <c r="E97">
        <v>1</v>
      </c>
      <c r="F97">
        <v>1</v>
      </c>
      <c r="G97" t="s">
        <v>25</v>
      </c>
      <c r="H97">
        <v>850.5</v>
      </c>
      <c r="I97">
        <v>0</v>
      </c>
      <c r="J97">
        <v>0</v>
      </c>
      <c r="K97">
        <v>0</v>
      </c>
      <c r="L97" t="s">
        <v>12</v>
      </c>
      <c r="M97">
        <v>3</v>
      </c>
      <c r="N97" t="s">
        <v>28</v>
      </c>
      <c r="O97">
        <v>200</v>
      </c>
      <c r="P97">
        <v>70</v>
      </c>
      <c r="Q97">
        <v>18</v>
      </c>
    </row>
    <row r="98" spans="1:17" x14ac:dyDescent="0.2">
      <c r="A98" t="s">
        <v>64</v>
      </c>
      <c r="B98" t="s">
        <v>70</v>
      </c>
      <c r="C98" t="s">
        <v>73</v>
      </c>
      <c r="D98">
        <v>70</v>
      </c>
      <c r="E98">
        <v>1</v>
      </c>
      <c r="F98">
        <v>1</v>
      </c>
      <c r="G98" t="s">
        <v>25</v>
      </c>
      <c r="H98">
        <v>778.5</v>
      </c>
      <c r="I98">
        <v>0</v>
      </c>
      <c r="J98">
        <v>0</v>
      </c>
      <c r="K98">
        <v>0</v>
      </c>
      <c r="L98" t="s">
        <v>12</v>
      </c>
      <c r="M98">
        <v>3</v>
      </c>
      <c r="N98" t="s">
        <v>28</v>
      </c>
      <c r="O98">
        <v>200</v>
      </c>
      <c r="P98">
        <v>70</v>
      </c>
      <c r="Q98">
        <v>18</v>
      </c>
    </row>
    <row r="99" spans="1:17" x14ac:dyDescent="0.2">
      <c r="A99" t="s">
        <v>64</v>
      </c>
      <c r="B99" t="s">
        <v>70</v>
      </c>
      <c r="C99" t="s">
        <v>74</v>
      </c>
      <c r="D99">
        <v>70</v>
      </c>
      <c r="E99">
        <v>1</v>
      </c>
      <c r="F99">
        <v>1</v>
      </c>
      <c r="G99" t="s">
        <v>25</v>
      </c>
      <c r="H99">
        <v>710.3</v>
      </c>
      <c r="I99">
        <v>0</v>
      </c>
      <c r="J99">
        <v>0</v>
      </c>
      <c r="K99">
        <v>0</v>
      </c>
      <c r="L99" t="s">
        <v>12</v>
      </c>
      <c r="M99">
        <v>4</v>
      </c>
      <c r="N99" t="s">
        <v>28</v>
      </c>
      <c r="O99">
        <v>200</v>
      </c>
      <c r="P99">
        <v>70</v>
      </c>
      <c r="Q99">
        <v>18</v>
      </c>
    </row>
    <row r="100" spans="1:17" hidden="1" x14ac:dyDescent="0.2">
      <c r="A100" t="s">
        <v>64</v>
      </c>
      <c r="B100" t="s">
        <v>75</v>
      </c>
      <c r="C100" t="s">
        <v>71</v>
      </c>
      <c r="D100">
        <v>70</v>
      </c>
      <c r="E100">
        <v>1</v>
      </c>
      <c r="F100">
        <v>2</v>
      </c>
      <c r="G100" t="s">
        <v>25</v>
      </c>
      <c r="H100">
        <v>661.75</v>
      </c>
      <c r="I100">
        <v>0</v>
      </c>
      <c r="J100">
        <v>0</v>
      </c>
      <c r="K100">
        <v>0</v>
      </c>
      <c r="L100" t="s">
        <v>12</v>
      </c>
      <c r="M100">
        <v>1.5</v>
      </c>
      <c r="N100" t="s">
        <v>28</v>
      </c>
      <c r="O100">
        <v>200</v>
      </c>
      <c r="P100">
        <v>70</v>
      </c>
      <c r="Q100">
        <v>18</v>
      </c>
    </row>
    <row r="101" spans="1:17" hidden="1" x14ac:dyDescent="0.2">
      <c r="A101" t="s">
        <v>64</v>
      </c>
      <c r="B101" t="s">
        <v>75</v>
      </c>
      <c r="C101" t="s">
        <v>72</v>
      </c>
      <c r="D101">
        <v>70</v>
      </c>
      <c r="E101">
        <v>1</v>
      </c>
      <c r="F101">
        <v>2</v>
      </c>
      <c r="G101" t="s">
        <v>25</v>
      </c>
      <c r="H101">
        <v>566.65</v>
      </c>
      <c r="I101">
        <v>0</v>
      </c>
      <c r="J101">
        <v>0</v>
      </c>
      <c r="K101">
        <v>0</v>
      </c>
      <c r="L101" t="s">
        <v>12</v>
      </c>
      <c r="M101">
        <v>1.5</v>
      </c>
      <c r="N101" t="s">
        <v>28</v>
      </c>
      <c r="O101">
        <v>200</v>
      </c>
      <c r="P101">
        <v>70</v>
      </c>
      <c r="Q101">
        <v>18</v>
      </c>
    </row>
    <row r="102" spans="1:17" hidden="1" x14ac:dyDescent="0.2">
      <c r="A102" t="s">
        <v>64</v>
      </c>
      <c r="B102" t="s">
        <v>75</v>
      </c>
      <c r="C102" t="s">
        <v>73</v>
      </c>
      <c r="D102">
        <v>70</v>
      </c>
      <c r="E102">
        <v>1</v>
      </c>
      <c r="F102">
        <v>2</v>
      </c>
      <c r="G102" t="s">
        <v>25</v>
      </c>
      <c r="H102">
        <v>369.65</v>
      </c>
      <c r="I102">
        <v>0</v>
      </c>
      <c r="J102">
        <v>0</v>
      </c>
      <c r="K102">
        <v>0</v>
      </c>
      <c r="L102" t="s">
        <v>12</v>
      </c>
      <c r="M102">
        <v>1.5</v>
      </c>
      <c r="N102" t="s">
        <v>28</v>
      </c>
      <c r="O102">
        <v>200</v>
      </c>
      <c r="P102">
        <v>70</v>
      </c>
      <c r="Q102">
        <v>18</v>
      </c>
    </row>
    <row r="103" spans="1:17" hidden="1" x14ac:dyDescent="0.2">
      <c r="A103" t="s">
        <v>64</v>
      </c>
      <c r="B103" t="s">
        <v>75</v>
      </c>
      <c r="C103" t="s">
        <v>74</v>
      </c>
      <c r="D103">
        <v>70</v>
      </c>
      <c r="E103">
        <v>1</v>
      </c>
      <c r="F103">
        <v>2</v>
      </c>
      <c r="G103" t="s">
        <v>25</v>
      </c>
      <c r="H103">
        <v>817.25</v>
      </c>
      <c r="I103">
        <v>0</v>
      </c>
      <c r="J103">
        <v>0</v>
      </c>
      <c r="K103">
        <v>0</v>
      </c>
      <c r="L103" t="s">
        <v>12</v>
      </c>
      <c r="M103">
        <v>1.5</v>
      </c>
      <c r="N103" t="s">
        <v>28</v>
      </c>
      <c r="O103">
        <v>200</v>
      </c>
      <c r="P103">
        <v>70</v>
      </c>
      <c r="Q103">
        <v>18</v>
      </c>
    </row>
    <row r="104" spans="1:17" hidden="1" x14ac:dyDescent="0.2">
      <c r="A104" t="s">
        <v>64</v>
      </c>
      <c r="B104" t="s">
        <v>76</v>
      </c>
      <c r="C104" t="s">
        <v>74</v>
      </c>
      <c r="D104">
        <v>70</v>
      </c>
      <c r="E104">
        <v>1</v>
      </c>
      <c r="F104">
        <v>2</v>
      </c>
      <c r="G104" t="s">
        <v>25</v>
      </c>
      <c r="H104">
        <v>452.3</v>
      </c>
      <c r="I104">
        <v>0</v>
      </c>
      <c r="J104">
        <v>0</v>
      </c>
      <c r="K104">
        <v>0</v>
      </c>
      <c r="L104" t="s">
        <v>12</v>
      </c>
      <c r="M104">
        <v>3</v>
      </c>
      <c r="N104" t="s">
        <v>28</v>
      </c>
      <c r="O104">
        <v>200</v>
      </c>
      <c r="P104">
        <v>70</v>
      </c>
      <c r="Q104">
        <v>18</v>
      </c>
    </row>
    <row r="105" spans="1:17" hidden="1" x14ac:dyDescent="0.2">
      <c r="A105" t="s">
        <v>64</v>
      </c>
      <c r="B105" t="s">
        <v>76</v>
      </c>
      <c r="C105" t="s">
        <v>79</v>
      </c>
      <c r="D105">
        <v>70</v>
      </c>
      <c r="E105">
        <v>1</v>
      </c>
      <c r="F105">
        <v>2</v>
      </c>
      <c r="G105" t="s">
        <v>25</v>
      </c>
      <c r="H105">
        <v>625.75</v>
      </c>
      <c r="I105">
        <v>0</v>
      </c>
      <c r="J105">
        <v>0</v>
      </c>
      <c r="K105">
        <v>0</v>
      </c>
      <c r="L105" t="s">
        <v>12</v>
      </c>
      <c r="M105">
        <v>3</v>
      </c>
      <c r="N105" t="s">
        <v>28</v>
      </c>
      <c r="O105">
        <v>200</v>
      </c>
      <c r="P105">
        <v>70</v>
      </c>
      <c r="Q105">
        <v>18</v>
      </c>
    </row>
    <row r="106" spans="1:17" hidden="1" x14ac:dyDescent="0.2">
      <c r="A106" t="s">
        <v>64</v>
      </c>
      <c r="B106" t="s">
        <v>77</v>
      </c>
      <c r="C106" t="s">
        <v>71</v>
      </c>
      <c r="D106">
        <v>70</v>
      </c>
      <c r="E106">
        <v>1</v>
      </c>
      <c r="F106">
        <v>5</v>
      </c>
      <c r="G106" t="s">
        <v>25</v>
      </c>
      <c r="H106">
        <v>574.1</v>
      </c>
      <c r="I106">
        <v>0</v>
      </c>
      <c r="J106">
        <v>0</v>
      </c>
      <c r="K106">
        <v>0</v>
      </c>
      <c r="L106" t="s">
        <v>12</v>
      </c>
      <c r="M106">
        <v>0.6</v>
      </c>
      <c r="N106" t="s">
        <v>28</v>
      </c>
      <c r="O106">
        <v>200</v>
      </c>
      <c r="P106">
        <v>70</v>
      </c>
      <c r="Q106">
        <v>18</v>
      </c>
    </row>
    <row r="107" spans="1:17" hidden="1" x14ac:dyDescent="0.2">
      <c r="A107" t="s">
        <v>64</v>
      </c>
      <c r="B107" t="s">
        <v>77</v>
      </c>
      <c r="C107" t="s">
        <v>72</v>
      </c>
      <c r="D107">
        <v>70</v>
      </c>
      <c r="E107">
        <v>1</v>
      </c>
      <c r="F107">
        <v>5</v>
      </c>
      <c r="G107" t="s">
        <v>25</v>
      </c>
      <c r="H107">
        <v>513.05999999999995</v>
      </c>
      <c r="I107">
        <v>0</v>
      </c>
      <c r="J107">
        <v>0</v>
      </c>
      <c r="K107">
        <v>0</v>
      </c>
      <c r="L107" t="s">
        <v>12</v>
      </c>
      <c r="M107">
        <v>0.6</v>
      </c>
      <c r="N107" t="s">
        <v>28</v>
      </c>
      <c r="O107">
        <v>200</v>
      </c>
      <c r="P107">
        <v>70</v>
      </c>
      <c r="Q107">
        <v>18</v>
      </c>
    </row>
    <row r="108" spans="1:17" hidden="1" x14ac:dyDescent="0.2">
      <c r="A108" t="s">
        <v>64</v>
      </c>
      <c r="B108" t="s">
        <v>77</v>
      </c>
      <c r="C108" t="s">
        <v>73</v>
      </c>
      <c r="D108">
        <v>70</v>
      </c>
      <c r="E108">
        <v>1</v>
      </c>
      <c r="F108">
        <v>5</v>
      </c>
      <c r="G108" t="s">
        <v>25</v>
      </c>
      <c r="H108">
        <v>497.36</v>
      </c>
      <c r="I108">
        <v>0</v>
      </c>
      <c r="J108">
        <v>0</v>
      </c>
      <c r="K108">
        <v>0</v>
      </c>
      <c r="L108" t="s">
        <v>12</v>
      </c>
      <c r="M108">
        <v>0.6</v>
      </c>
      <c r="N108" t="s">
        <v>28</v>
      </c>
      <c r="O108">
        <v>200</v>
      </c>
      <c r="P108">
        <v>70</v>
      </c>
      <c r="Q108">
        <v>18</v>
      </c>
    </row>
    <row r="109" spans="1:17" hidden="1" x14ac:dyDescent="0.2">
      <c r="A109" t="s">
        <v>64</v>
      </c>
      <c r="B109" t="s">
        <v>77</v>
      </c>
      <c r="C109" t="s">
        <v>74</v>
      </c>
      <c r="D109">
        <v>70</v>
      </c>
      <c r="E109">
        <v>1</v>
      </c>
      <c r="F109">
        <v>5</v>
      </c>
      <c r="G109" t="s">
        <v>25</v>
      </c>
      <c r="H109">
        <v>505.2</v>
      </c>
      <c r="I109">
        <v>0</v>
      </c>
      <c r="J109">
        <v>0</v>
      </c>
      <c r="K109">
        <v>0</v>
      </c>
      <c r="L109" t="s">
        <v>12</v>
      </c>
      <c r="M109">
        <v>0.6</v>
      </c>
      <c r="N109" t="s">
        <v>28</v>
      </c>
      <c r="O109">
        <v>200</v>
      </c>
      <c r="P109">
        <v>70</v>
      </c>
      <c r="Q109">
        <v>18</v>
      </c>
    </row>
    <row r="110" spans="1:17" hidden="1" x14ac:dyDescent="0.2">
      <c r="A110" t="s">
        <v>64</v>
      </c>
      <c r="B110" t="s">
        <v>78</v>
      </c>
      <c r="C110" t="s">
        <v>72</v>
      </c>
      <c r="D110">
        <v>70</v>
      </c>
      <c r="E110">
        <v>1</v>
      </c>
      <c r="F110">
        <v>7</v>
      </c>
      <c r="G110" t="s">
        <v>25</v>
      </c>
      <c r="I110">
        <v>0</v>
      </c>
      <c r="J110">
        <v>0</v>
      </c>
      <c r="K110">
        <v>0</v>
      </c>
      <c r="L110" t="s">
        <v>12</v>
      </c>
      <c r="M110">
        <v>0.42857139999999999</v>
      </c>
      <c r="N110" t="s">
        <v>28</v>
      </c>
      <c r="O110">
        <v>200</v>
      </c>
      <c r="P110">
        <v>70</v>
      </c>
      <c r="Q110">
        <v>18</v>
      </c>
    </row>
    <row r="111" spans="1:17" hidden="1" x14ac:dyDescent="0.2">
      <c r="A111" t="s">
        <v>64</v>
      </c>
      <c r="B111" t="s">
        <v>78</v>
      </c>
      <c r="C111" t="s">
        <v>73</v>
      </c>
      <c r="D111">
        <v>70</v>
      </c>
      <c r="E111">
        <v>1</v>
      </c>
      <c r="F111">
        <v>7</v>
      </c>
      <c r="G111" t="s">
        <v>25</v>
      </c>
      <c r="I111">
        <v>0</v>
      </c>
      <c r="J111">
        <v>0</v>
      </c>
      <c r="K111">
        <v>0</v>
      </c>
      <c r="L111" t="s">
        <v>12</v>
      </c>
      <c r="M111">
        <v>0.42857142857142855</v>
      </c>
      <c r="N111" t="s">
        <v>28</v>
      </c>
      <c r="O111">
        <v>200</v>
      </c>
      <c r="P111">
        <v>70</v>
      </c>
      <c r="Q111">
        <v>18</v>
      </c>
    </row>
    <row r="112" spans="1:17" hidden="1" x14ac:dyDescent="0.2">
      <c r="A112" s="4" t="s">
        <v>64</v>
      </c>
      <c r="B112" s="4" t="s">
        <v>78</v>
      </c>
      <c r="C112" s="4" t="s">
        <v>74</v>
      </c>
      <c r="D112" s="4">
        <v>70</v>
      </c>
      <c r="E112" s="4">
        <v>1</v>
      </c>
      <c r="F112" s="4">
        <v>7</v>
      </c>
      <c r="G112" s="4" t="s">
        <v>25</v>
      </c>
      <c r="H112" s="4">
        <v>390.74285700000001</v>
      </c>
      <c r="I112" s="4">
        <v>0</v>
      </c>
      <c r="J112" s="4">
        <v>0</v>
      </c>
      <c r="K112" s="4">
        <v>0</v>
      </c>
      <c r="L112" s="4" t="s">
        <v>12</v>
      </c>
      <c r="M112" s="4">
        <v>0.42857142857142855</v>
      </c>
      <c r="N112" s="4" t="s">
        <v>28</v>
      </c>
      <c r="O112" s="4">
        <v>200</v>
      </c>
      <c r="P112" s="4">
        <v>70</v>
      </c>
      <c r="Q112" s="4">
        <v>18</v>
      </c>
    </row>
    <row r="113" spans="1:17" x14ac:dyDescent="0.2">
      <c r="A113" t="s">
        <v>64</v>
      </c>
      <c r="B113" t="s">
        <v>70</v>
      </c>
      <c r="C113" t="s">
        <v>71</v>
      </c>
      <c r="D113">
        <v>84</v>
      </c>
      <c r="E113">
        <v>1</v>
      </c>
      <c r="F113">
        <v>1</v>
      </c>
      <c r="G113" t="s">
        <v>26</v>
      </c>
      <c r="H113">
        <v>1121.5</v>
      </c>
      <c r="I113">
        <v>0</v>
      </c>
      <c r="J113">
        <f>I113/F113</f>
        <v>0</v>
      </c>
      <c r="K113">
        <f>J113</f>
        <v>0</v>
      </c>
      <c r="L113" t="s">
        <v>27</v>
      </c>
      <c r="M113">
        <v>3</v>
      </c>
      <c r="N113" t="s">
        <v>28</v>
      </c>
      <c r="O113">
        <v>200</v>
      </c>
      <c r="P113">
        <v>70</v>
      </c>
      <c r="Q113">
        <v>18</v>
      </c>
    </row>
    <row r="114" spans="1:17" hidden="1" x14ac:dyDescent="0.2">
      <c r="A114" t="s">
        <v>64</v>
      </c>
      <c r="B114" t="s">
        <v>75</v>
      </c>
      <c r="C114" t="s">
        <v>71</v>
      </c>
      <c r="D114">
        <v>84</v>
      </c>
      <c r="E114">
        <v>1</v>
      </c>
      <c r="F114">
        <v>2</v>
      </c>
      <c r="G114" t="s">
        <v>26</v>
      </c>
      <c r="H114">
        <v>784.6</v>
      </c>
      <c r="I114">
        <v>1</v>
      </c>
      <c r="J114">
        <f t="shared" ref="J114:J119" si="0">I114/F114</f>
        <v>0.5</v>
      </c>
      <c r="K114">
        <f t="shared" ref="K114:K123" si="1">J114</f>
        <v>0.5</v>
      </c>
      <c r="L114" t="s">
        <v>27</v>
      </c>
      <c r="M114">
        <v>1.5</v>
      </c>
      <c r="N114" t="s">
        <v>28</v>
      </c>
      <c r="O114">
        <v>200</v>
      </c>
      <c r="P114">
        <v>70</v>
      </c>
      <c r="Q114">
        <v>18</v>
      </c>
    </row>
    <row r="115" spans="1:17" hidden="1" x14ac:dyDescent="0.2">
      <c r="A115" t="s">
        <v>64</v>
      </c>
      <c r="B115" t="s">
        <v>75</v>
      </c>
      <c r="C115" t="s">
        <v>72</v>
      </c>
      <c r="D115">
        <v>84</v>
      </c>
      <c r="E115">
        <v>1</v>
      </c>
      <c r="F115">
        <v>2</v>
      </c>
      <c r="G115" t="s">
        <v>26</v>
      </c>
      <c r="H115">
        <v>825.35</v>
      </c>
      <c r="I115">
        <v>1</v>
      </c>
      <c r="J115">
        <f t="shared" si="0"/>
        <v>0.5</v>
      </c>
      <c r="K115">
        <f t="shared" si="1"/>
        <v>0.5</v>
      </c>
      <c r="L115" t="s">
        <v>27</v>
      </c>
      <c r="M115">
        <v>1.5</v>
      </c>
      <c r="N115" t="s">
        <v>28</v>
      </c>
      <c r="O115">
        <v>200</v>
      </c>
      <c r="P115">
        <v>70</v>
      </c>
      <c r="Q115">
        <v>18</v>
      </c>
    </row>
    <row r="116" spans="1:17" hidden="1" x14ac:dyDescent="0.2">
      <c r="A116" t="s">
        <v>64</v>
      </c>
      <c r="B116" t="s">
        <v>75</v>
      </c>
      <c r="C116" t="s">
        <v>73</v>
      </c>
      <c r="D116">
        <v>84</v>
      </c>
      <c r="E116">
        <v>1</v>
      </c>
      <c r="F116">
        <v>2</v>
      </c>
      <c r="G116" t="s">
        <v>26</v>
      </c>
      <c r="H116">
        <v>556.9</v>
      </c>
      <c r="I116">
        <v>1</v>
      </c>
      <c r="J116">
        <f t="shared" si="0"/>
        <v>0.5</v>
      </c>
      <c r="K116">
        <f t="shared" si="1"/>
        <v>0.5</v>
      </c>
      <c r="L116" t="s">
        <v>27</v>
      </c>
      <c r="M116">
        <v>1.5</v>
      </c>
      <c r="N116" t="s">
        <v>28</v>
      </c>
      <c r="O116">
        <v>200</v>
      </c>
      <c r="P116">
        <v>70</v>
      </c>
      <c r="Q116">
        <v>18</v>
      </c>
    </row>
    <row r="117" spans="1:17" hidden="1" x14ac:dyDescent="0.2">
      <c r="A117" t="s">
        <v>64</v>
      </c>
      <c r="B117" t="s">
        <v>75</v>
      </c>
      <c r="C117" t="s">
        <v>74</v>
      </c>
      <c r="D117">
        <v>84</v>
      </c>
      <c r="E117">
        <v>1</v>
      </c>
      <c r="F117">
        <v>2</v>
      </c>
      <c r="G117" t="s">
        <v>26</v>
      </c>
      <c r="H117">
        <v>960.25</v>
      </c>
      <c r="I117">
        <v>5</v>
      </c>
      <c r="J117">
        <f t="shared" si="0"/>
        <v>2.5</v>
      </c>
      <c r="K117">
        <f t="shared" si="1"/>
        <v>2.5</v>
      </c>
      <c r="L117" t="s">
        <v>27</v>
      </c>
      <c r="M117">
        <v>1.5</v>
      </c>
      <c r="N117" t="s">
        <v>28</v>
      </c>
      <c r="O117">
        <v>200</v>
      </c>
      <c r="P117">
        <v>70</v>
      </c>
      <c r="Q117">
        <v>18</v>
      </c>
    </row>
    <row r="118" spans="1:17" hidden="1" x14ac:dyDescent="0.2">
      <c r="A118" t="s">
        <v>64</v>
      </c>
      <c r="B118" t="s">
        <v>76</v>
      </c>
      <c r="C118" t="s">
        <v>74</v>
      </c>
      <c r="D118">
        <v>84</v>
      </c>
      <c r="E118">
        <v>1</v>
      </c>
      <c r="F118">
        <v>2</v>
      </c>
      <c r="G118" t="s">
        <v>26</v>
      </c>
      <c r="H118">
        <v>629.79999999999995</v>
      </c>
      <c r="I118">
        <v>0</v>
      </c>
      <c r="J118">
        <f t="shared" si="0"/>
        <v>0</v>
      </c>
      <c r="K118">
        <f t="shared" si="1"/>
        <v>0</v>
      </c>
      <c r="L118" t="s">
        <v>27</v>
      </c>
      <c r="M118">
        <v>3</v>
      </c>
      <c r="N118" t="s">
        <v>28</v>
      </c>
      <c r="O118">
        <v>200</v>
      </c>
      <c r="P118">
        <v>70</v>
      </c>
      <c r="Q118">
        <v>18</v>
      </c>
    </row>
    <row r="119" spans="1:17" hidden="1" x14ac:dyDescent="0.2">
      <c r="A119" t="s">
        <v>64</v>
      </c>
      <c r="B119" t="s">
        <v>76</v>
      </c>
      <c r="C119" t="s">
        <v>79</v>
      </c>
      <c r="D119">
        <v>84</v>
      </c>
      <c r="E119">
        <v>1</v>
      </c>
      <c r="F119">
        <v>2</v>
      </c>
      <c r="G119" t="s">
        <v>26</v>
      </c>
      <c r="H119">
        <v>828.2</v>
      </c>
      <c r="I119">
        <v>6</v>
      </c>
      <c r="J119">
        <f t="shared" si="0"/>
        <v>3</v>
      </c>
      <c r="K119">
        <f t="shared" si="1"/>
        <v>3</v>
      </c>
      <c r="L119" t="s">
        <v>27</v>
      </c>
      <c r="M119">
        <v>3</v>
      </c>
      <c r="N119" t="s">
        <v>28</v>
      </c>
      <c r="O119">
        <v>200</v>
      </c>
      <c r="P119">
        <v>70</v>
      </c>
      <c r="Q119">
        <v>18</v>
      </c>
    </row>
    <row r="120" spans="1:17" hidden="1" x14ac:dyDescent="0.2">
      <c r="A120" t="s">
        <v>64</v>
      </c>
      <c r="B120" t="s">
        <v>77</v>
      </c>
      <c r="C120" t="s">
        <v>71</v>
      </c>
      <c r="D120">
        <v>84</v>
      </c>
      <c r="E120">
        <v>1</v>
      </c>
      <c r="F120">
        <v>5</v>
      </c>
      <c r="G120" t="s">
        <v>26</v>
      </c>
      <c r="H120">
        <v>683</v>
      </c>
      <c r="I120">
        <v>6</v>
      </c>
      <c r="J120">
        <f>I120/F120</f>
        <v>1.2</v>
      </c>
      <c r="K120">
        <f t="shared" si="1"/>
        <v>1.2</v>
      </c>
      <c r="L120" t="s">
        <v>27</v>
      </c>
      <c r="M120">
        <v>0.6</v>
      </c>
      <c r="N120" t="s">
        <v>28</v>
      </c>
      <c r="O120">
        <v>200</v>
      </c>
      <c r="P120">
        <v>70</v>
      </c>
      <c r="Q120">
        <v>18</v>
      </c>
    </row>
    <row r="121" spans="1:17" hidden="1" x14ac:dyDescent="0.2">
      <c r="A121" t="s">
        <v>64</v>
      </c>
      <c r="B121" t="s">
        <v>77</v>
      </c>
      <c r="C121" t="s">
        <v>72</v>
      </c>
      <c r="D121">
        <v>84</v>
      </c>
      <c r="E121">
        <v>1</v>
      </c>
      <c r="F121">
        <v>5</v>
      </c>
      <c r="G121" t="s">
        <v>26</v>
      </c>
      <c r="H121">
        <v>663</v>
      </c>
      <c r="I121">
        <v>4</v>
      </c>
      <c r="J121">
        <f t="shared" ref="J121:J123" si="2">I121/F121</f>
        <v>0.8</v>
      </c>
      <c r="K121">
        <f t="shared" si="1"/>
        <v>0.8</v>
      </c>
      <c r="L121" t="s">
        <v>27</v>
      </c>
      <c r="M121">
        <v>0.6</v>
      </c>
      <c r="N121" t="s">
        <v>28</v>
      </c>
      <c r="O121">
        <v>200</v>
      </c>
      <c r="P121">
        <v>70</v>
      </c>
      <c r="Q121">
        <v>18</v>
      </c>
    </row>
    <row r="122" spans="1:17" hidden="1" x14ac:dyDescent="0.2">
      <c r="A122" t="s">
        <v>64</v>
      </c>
      <c r="B122" t="s">
        <v>77</v>
      </c>
      <c r="C122" t="s">
        <v>73</v>
      </c>
      <c r="D122">
        <v>84</v>
      </c>
      <c r="E122">
        <v>1</v>
      </c>
      <c r="F122">
        <v>5</v>
      </c>
      <c r="G122" t="s">
        <v>26</v>
      </c>
      <c r="H122">
        <v>625.76</v>
      </c>
      <c r="I122">
        <v>7</v>
      </c>
      <c r="J122">
        <f t="shared" si="2"/>
        <v>1.4</v>
      </c>
      <c r="K122">
        <f t="shared" si="1"/>
        <v>1.4</v>
      </c>
      <c r="L122" t="s">
        <v>27</v>
      </c>
      <c r="M122">
        <v>0.6</v>
      </c>
      <c r="N122" t="s">
        <v>28</v>
      </c>
      <c r="O122">
        <v>200</v>
      </c>
      <c r="P122">
        <v>70</v>
      </c>
      <c r="Q122">
        <v>18</v>
      </c>
    </row>
    <row r="123" spans="1:17" hidden="1" x14ac:dyDescent="0.2">
      <c r="A123" t="s">
        <v>64</v>
      </c>
      <c r="B123" t="s">
        <v>77</v>
      </c>
      <c r="C123" t="s">
        <v>74</v>
      </c>
      <c r="D123">
        <v>84</v>
      </c>
      <c r="E123">
        <v>1</v>
      </c>
      <c r="F123">
        <v>5</v>
      </c>
      <c r="G123" t="s">
        <v>26</v>
      </c>
      <c r="H123">
        <v>658.68</v>
      </c>
      <c r="I123">
        <v>0</v>
      </c>
      <c r="J123">
        <f t="shared" si="2"/>
        <v>0</v>
      </c>
      <c r="K123">
        <f t="shared" si="1"/>
        <v>0</v>
      </c>
      <c r="L123" t="s">
        <v>27</v>
      </c>
      <c r="M123">
        <v>0.6</v>
      </c>
      <c r="N123" t="s">
        <v>28</v>
      </c>
      <c r="O123">
        <v>200</v>
      </c>
      <c r="P123">
        <v>70</v>
      </c>
      <c r="Q123">
        <v>18</v>
      </c>
    </row>
    <row r="124" spans="1:17" hidden="1" x14ac:dyDescent="0.2">
      <c r="A124" t="s">
        <v>64</v>
      </c>
      <c r="B124" t="s">
        <v>78</v>
      </c>
      <c r="C124" t="s">
        <v>72</v>
      </c>
      <c r="D124">
        <v>84</v>
      </c>
      <c r="E124">
        <v>1</v>
      </c>
      <c r="F124">
        <v>7</v>
      </c>
      <c r="G124" t="s">
        <v>26</v>
      </c>
      <c r="L124" t="s">
        <v>27</v>
      </c>
      <c r="M124">
        <v>0.42857139999999999</v>
      </c>
      <c r="N124" t="s">
        <v>28</v>
      </c>
      <c r="O124">
        <v>200</v>
      </c>
      <c r="P124">
        <v>70</v>
      </c>
      <c r="Q124">
        <v>18</v>
      </c>
    </row>
    <row r="125" spans="1:17" hidden="1" x14ac:dyDescent="0.2">
      <c r="A125" t="s">
        <v>64</v>
      </c>
      <c r="B125" t="s">
        <v>78</v>
      </c>
      <c r="C125" t="s">
        <v>73</v>
      </c>
      <c r="D125">
        <v>84</v>
      </c>
      <c r="E125">
        <v>1</v>
      </c>
      <c r="F125">
        <v>7</v>
      </c>
      <c r="G125" t="s">
        <v>26</v>
      </c>
      <c r="L125" t="s">
        <v>27</v>
      </c>
      <c r="M125">
        <v>0.42857142857142855</v>
      </c>
      <c r="N125" t="s">
        <v>28</v>
      </c>
      <c r="O125">
        <v>200</v>
      </c>
      <c r="P125">
        <v>70</v>
      </c>
      <c r="Q125">
        <v>18</v>
      </c>
    </row>
    <row r="126" spans="1:17" hidden="1" x14ac:dyDescent="0.2">
      <c r="A126" s="4" t="s">
        <v>64</v>
      </c>
      <c r="B126" s="4" t="s">
        <v>78</v>
      </c>
      <c r="C126" s="4" t="s">
        <v>74</v>
      </c>
      <c r="D126" s="4">
        <v>84</v>
      </c>
      <c r="E126" s="4">
        <v>1</v>
      </c>
      <c r="F126" s="4">
        <v>7</v>
      </c>
      <c r="G126" s="4" t="s">
        <v>26</v>
      </c>
      <c r="H126" s="4"/>
      <c r="I126" s="4"/>
      <c r="J126" s="4"/>
      <c r="K126" s="4"/>
      <c r="L126" s="4" t="s">
        <v>27</v>
      </c>
      <c r="M126" s="4">
        <v>0.42857142857142855</v>
      </c>
      <c r="N126" s="4" t="s">
        <v>28</v>
      </c>
      <c r="O126" s="4">
        <v>200</v>
      </c>
      <c r="P126" s="4">
        <v>70</v>
      </c>
      <c r="Q126" s="4">
        <v>18</v>
      </c>
    </row>
    <row r="127" spans="1:17" x14ac:dyDescent="0.2">
      <c r="A127" t="s">
        <v>64</v>
      </c>
      <c r="B127" t="s">
        <v>70</v>
      </c>
      <c r="C127" t="s">
        <v>71</v>
      </c>
      <c r="D127">
        <v>98</v>
      </c>
      <c r="E127">
        <v>1</v>
      </c>
      <c r="F127">
        <v>1</v>
      </c>
      <c r="G127" t="s">
        <v>26</v>
      </c>
      <c r="H127">
        <v>1493.4</v>
      </c>
      <c r="L127" t="s">
        <v>12</v>
      </c>
      <c r="M127">
        <v>3</v>
      </c>
      <c r="N127" t="s">
        <v>28</v>
      </c>
      <c r="O127">
        <v>200</v>
      </c>
      <c r="P127">
        <v>70</v>
      </c>
      <c r="Q127">
        <v>18</v>
      </c>
    </row>
    <row r="128" spans="1:17" hidden="1" x14ac:dyDescent="0.2">
      <c r="A128" t="s">
        <v>64</v>
      </c>
      <c r="B128" t="s">
        <v>75</v>
      </c>
      <c r="C128" t="s">
        <v>71</v>
      </c>
      <c r="D128">
        <v>98</v>
      </c>
      <c r="E128">
        <v>1</v>
      </c>
      <c r="F128">
        <v>2</v>
      </c>
      <c r="G128" t="s">
        <v>26</v>
      </c>
      <c r="H128">
        <v>1023.3</v>
      </c>
      <c r="L128" t="s">
        <v>12</v>
      </c>
      <c r="M128">
        <v>1.5</v>
      </c>
      <c r="N128" t="s">
        <v>28</v>
      </c>
      <c r="O128">
        <v>200</v>
      </c>
      <c r="P128">
        <v>70</v>
      </c>
      <c r="Q128">
        <v>18</v>
      </c>
    </row>
    <row r="129" spans="1:17" hidden="1" x14ac:dyDescent="0.2">
      <c r="A129" t="s">
        <v>64</v>
      </c>
      <c r="B129" t="s">
        <v>75</v>
      </c>
      <c r="C129" t="s">
        <v>72</v>
      </c>
      <c r="D129">
        <v>98</v>
      </c>
      <c r="E129">
        <v>1</v>
      </c>
      <c r="F129">
        <v>2</v>
      </c>
      <c r="G129" t="s">
        <v>26</v>
      </c>
      <c r="H129">
        <v>1027.6500000000001</v>
      </c>
      <c r="L129" t="s">
        <v>12</v>
      </c>
      <c r="M129">
        <v>1.5</v>
      </c>
      <c r="N129" t="s">
        <v>28</v>
      </c>
      <c r="O129">
        <v>200</v>
      </c>
      <c r="P129">
        <v>70</v>
      </c>
      <c r="Q129">
        <v>18</v>
      </c>
    </row>
    <row r="130" spans="1:17" hidden="1" x14ac:dyDescent="0.2">
      <c r="A130" t="s">
        <v>64</v>
      </c>
      <c r="B130" t="s">
        <v>75</v>
      </c>
      <c r="C130" t="s">
        <v>73</v>
      </c>
      <c r="D130">
        <v>98</v>
      </c>
      <c r="E130">
        <v>1</v>
      </c>
      <c r="F130">
        <v>2</v>
      </c>
      <c r="G130" t="s">
        <v>26</v>
      </c>
      <c r="H130">
        <v>802.05</v>
      </c>
      <c r="L130" t="s">
        <v>12</v>
      </c>
      <c r="M130">
        <v>1.5</v>
      </c>
      <c r="N130" t="s">
        <v>28</v>
      </c>
      <c r="O130">
        <v>200</v>
      </c>
      <c r="P130">
        <v>70</v>
      </c>
      <c r="Q130">
        <v>18</v>
      </c>
    </row>
    <row r="131" spans="1:17" hidden="1" x14ac:dyDescent="0.2">
      <c r="A131" t="s">
        <v>64</v>
      </c>
      <c r="B131" t="s">
        <v>75</v>
      </c>
      <c r="C131" t="s">
        <v>74</v>
      </c>
      <c r="D131">
        <v>98</v>
      </c>
      <c r="E131">
        <v>1</v>
      </c>
      <c r="F131">
        <v>2</v>
      </c>
      <c r="G131" t="s">
        <v>26</v>
      </c>
      <c r="H131">
        <v>1044.95</v>
      </c>
      <c r="L131" t="s">
        <v>12</v>
      </c>
      <c r="M131">
        <v>1.5</v>
      </c>
      <c r="N131" t="s">
        <v>28</v>
      </c>
      <c r="O131">
        <v>200</v>
      </c>
      <c r="P131">
        <v>70</v>
      </c>
      <c r="Q131">
        <v>18</v>
      </c>
    </row>
    <row r="132" spans="1:17" hidden="1" x14ac:dyDescent="0.2">
      <c r="A132" t="s">
        <v>64</v>
      </c>
      <c r="B132" t="s">
        <v>76</v>
      </c>
      <c r="C132" t="s">
        <v>74</v>
      </c>
      <c r="D132">
        <v>98</v>
      </c>
      <c r="E132">
        <v>1</v>
      </c>
      <c r="F132">
        <v>2</v>
      </c>
      <c r="G132" t="s">
        <v>26</v>
      </c>
      <c r="H132">
        <v>776.55</v>
      </c>
      <c r="L132" t="s">
        <v>12</v>
      </c>
      <c r="M132">
        <v>3</v>
      </c>
      <c r="N132" t="s">
        <v>28</v>
      </c>
      <c r="O132">
        <v>200</v>
      </c>
      <c r="P132">
        <v>70</v>
      </c>
      <c r="Q132">
        <v>18</v>
      </c>
    </row>
    <row r="133" spans="1:17" hidden="1" x14ac:dyDescent="0.2">
      <c r="A133" t="s">
        <v>64</v>
      </c>
      <c r="B133" t="s">
        <v>76</v>
      </c>
      <c r="C133" t="s">
        <v>79</v>
      </c>
      <c r="D133">
        <v>98</v>
      </c>
      <c r="E133">
        <v>1</v>
      </c>
      <c r="F133">
        <v>2</v>
      </c>
      <c r="G133" t="s">
        <v>26</v>
      </c>
      <c r="L133" t="s">
        <v>12</v>
      </c>
      <c r="M133">
        <v>3</v>
      </c>
      <c r="N133" t="s">
        <v>28</v>
      </c>
      <c r="O133">
        <v>200</v>
      </c>
      <c r="P133">
        <v>70</v>
      </c>
      <c r="Q133">
        <v>18</v>
      </c>
    </row>
    <row r="134" spans="1:17" hidden="1" x14ac:dyDescent="0.2">
      <c r="A134" t="s">
        <v>64</v>
      </c>
      <c r="B134" t="s">
        <v>77</v>
      </c>
      <c r="C134" t="s">
        <v>71</v>
      </c>
      <c r="D134">
        <v>98</v>
      </c>
      <c r="E134">
        <v>1</v>
      </c>
      <c r="F134">
        <v>5</v>
      </c>
      <c r="G134" t="s">
        <v>26</v>
      </c>
      <c r="H134">
        <v>706.62</v>
      </c>
      <c r="L134" t="s">
        <v>12</v>
      </c>
      <c r="M134">
        <v>0.6</v>
      </c>
      <c r="N134" t="s">
        <v>28</v>
      </c>
      <c r="O134">
        <v>200</v>
      </c>
      <c r="P134">
        <v>70</v>
      </c>
      <c r="Q134">
        <v>18</v>
      </c>
    </row>
    <row r="135" spans="1:17" hidden="1" x14ac:dyDescent="0.2">
      <c r="A135" t="s">
        <v>64</v>
      </c>
      <c r="B135" t="s">
        <v>77</v>
      </c>
      <c r="C135" t="s">
        <v>72</v>
      </c>
      <c r="D135">
        <v>98</v>
      </c>
      <c r="E135">
        <v>1</v>
      </c>
      <c r="F135">
        <v>5</v>
      </c>
      <c r="G135" t="s">
        <v>26</v>
      </c>
      <c r="H135">
        <v>709.18</v>
      </c>
      <c r="L135" t="s">
        <v>12</v>
      </c>
      <c r="M135">
        <v>0.6</v>
      </c>
      <c r="N135" t="s">
        <v>28</v>
      </c>
      <c r="O135">
        <v>200</v>
      </c>
      <c r="P135">
        <v>70</v>
      </c>
      <c r="Q135">
        <v>18</v>
      </c>
    </row>
    <row r="136" spans="1:17" hidden="1" x14ac:dyDescent="0.2">
      <c r="A136" t="s">
        <v>64</v>
      </c>
      <c r="B136" t="s">
        <v>77</v>
      </c>
      <c r="C136" t="s">
        <v>73</v>
      </c>
      <c r="D136">
        <v>98</v>
      </c>
      <c r="E136">
        <v>1</v>
      </c>
      <c r="F136">
        <v>5</v>
      </c>
      <c r="G136" t="s">
        <v>26</v>
      </c>
      <c r="H136">
        <v>715.6</v>
      </c>
      <c r="L136" t="s">
        <v>12</v>
      </c>
      <c r="M136">
        <v>0.6</v>
      </c>
      <c r="N136" t="s">
        <v>28</v>
      </c>
      <c r="O136">
        <v>200</v>
      </c>
      <c r="P136">
        <v>70</v>
      </c>
      <c r="Q136">
        <v>18</v>
      </c>
    </row>
    <row r="137" spans="1:17" hidden="1" x14ac:dyDescent="0.2">
      <c r="A137" t="s">
        <v>64</v>
      </c>
      <c r="B137" t="s">
        <v>77</v>
      </c>
      <c r="C137" t="s">
        <v>74</v>
      </c>
      <c r="D137">
        <v>98</v>
      </c>
      <c r="E137">
        <v>1</v>
      </c>
      <c r="F137">
        <v>5</v>
      </c>
      <c r="G137" t="s">
        <v>26</v>
      </c>
      <c r="H137">
        <v>727.24</v>
      </c>
      <c r="L137" t="s">
        <v>12</v>
      </c>
      <c r="M137">
        <v>0.6</v>
      </c>
      <c r="N137" t="s">
        <v>28</v>
      </c>
      <c r="O137">
        <v>200</v>
      </c>
      <c r="P137">
        <v>70</v>
      </c>
      <c r="Q137">
        <v>18</v>
      </c>
    </row>
    <row r="138" spans="1:17" hidden="1" x14ac:dyDescent="0.2">
      <c r="A138" t="s">
        <v>64</v>
      </c>
      <c r="B138" t="s">
        <v>78</v>
      </c>
      <c r="C138" t="s">
        <v>72</v>
      </c>
      <c r="D138">
        <v>98</v>
      </c>
      <c r="E138">
        <v>1</v>
      </c>
      <c r="F138">
        <v>7</v>
      </c>
      <c r="G138" t="s">
        <v>26</v>
      </c>
      <c r="L138" t="s">
        <v>12</v>
      </c>
      <c r="M138">
        <v>0.42857139999999999</v>
      </c>
      <c r="N138" t="s">
        <v>28</v>
      </c>
      <c r="O138">
        <v>200</v>
      </c>
      <c r="P138">
        <v>70</v>
      </c>
      <c r="Q138">
        <v>18</v>
      </c>
    </row>
    <row r="139" spans="1:17" hidden="1" x14ac:dyDescent="0.2">
      <c r="A139" t="s">
        <v>64</v>
      </c>
      <c r="B139" t="s">
        <v>78</v>
      </c>
      <c r="C139" t="s">
        <v>73</v>
      </c>
      <c r="D139">
        <v>98</v>
      </c>
      <c r="E139">
        <v>1</v>
      </c>
      <c r="F139">
        <v>7</v>
      </c>
      <c r="G139" t="s">
        <v>26</v>
      </c>
      <c r="L139" t="s">
        <v>12</v>
      </c>
      <c r="M139">
        <v>0.42857142857142855</v>
      </c>
      <c r="N139" t="s">
        <v>28</v>
      </c>
      <c r="O139">
        <v>200</v>
      </c>
      <c r="P139">
        <v>70</v>
      </c>
      <c r="Q139">
        <v>18</v>
      </c>
    </row>
    <row r="140" spans="1:17" hidden="1" x14ac:dyDescent="0.2">
      <c r="A140" s="4" t="s">
        <v>64</v>
      </c>
      <c r="B140" s="4" t="s">
        <v>78</v>
      </c>
      <c r="C140" s="4" t="s">
        <v>74</v>
      </c>
      <c r="D140" s="4">
        <v>98</v>
      </c>
      <c r="E140" s="4">
        <v>1</v>
      </c>
      <c r="F140" s="4">
        <v>7</v>
      </c>
      <c r="G140" s="4" t="s">
        <v>26</v>
      </c>
      <c r="H140" s="4"/>
      <c r="I140" s="4"/>
      <c r="J140" s="4"/>
      <c r="K140" s="4"/>
      <c r="L140" s="4" t="s">
        <v>12</v>
      </c>
      <c r="M140" s="4">
        <v>0.42857142857142855</v>
      </c>
      <c r="N140" s="4" t="s">
        <v>28</v>
      </c>
      <c r="O140" s="4">
        <v>200</v>
      </c>
      <c r="P140" s="4">
        <v>70</v>
      </c>
      <c r="Q140" s="4">
        <v>18</v>
      </c>
    </row>
    <row r="141" spans="1:17" x14ac:dyDescent="0.2">
      <c r="A141" t="s">
        <v>64</v>
      </c>
      <c r="B141" t="s">
        <v>70</v>
      </c>
      <c r="C141" t="s">
        <v>71</v>
      </c>
      <c r="D141">
        <v>112</v>
      </c>
      <c r="E141">
        <v>1</v>
      </c>
      <c r="F141">
        <v>1</v>
      </c>
      <c r="G141" t="s">
        <v>26</v>
      </c>
      <c r="H141">
        <v>1903.2</v>
      </c>
      <c r="I141">
        <v>0</v>
      </c>
      <c r="J141">
        <v>0</v>
      </c>
      <c r="K141">
        <v>0</v>
      </c>
      <c r="L141" t="s">
        <v>27</v>
      </c>
      <c r="M141">
        <v>3</v>
      </c>
      <c r="N141" t="s">
        <v>28</v>
      </c>
      <c r="O141">
        <v>200</v>
      </c>
      <c r="P141">
        <v>70</v>
      </c>
      <c r="Q141">
        <v>18</v>
      </c>
    </row>
    <row r="142" spans="1:17" hidden="1" x14ac:dyDescent="0.2">
      <c r="A142" t="s">
        <v>64</v>
      </c>
      <c r="B142" t="s">
        <v>75</v>
      </c>
      <c r="C142" t="s">
        <v>71</v>
      </c>
      <c r="D142">
        <v>112</v>
      </c>
      <c r="E142">
        <v>1</v>
      </c>
      <c r="F142">
        <v>2</v>
      </c>
      <c r="G142" t="s">
        <v>26</v>
      </c>
      <c r="H142">
        <v>1196.25</v>
      </c>
      <c r="I142">
        <v>15</v>
      </c>
      <c r="J142">
        <f>I142/F142</f>
        <v>7.5</v>
      </c>
      <c r="K142">
        <f t="shared" ref="K142:K151" si="3">J142+K114</f>
        <v>8</v>
      </c>
      <c r="L142" t="s">
        <v>27</v>
      </c>
      <c r="M142">
        <v>1.5</v>
      </c>
      <c r="N142" t="s">
        <v>28</v>
      </c>
      <c r="O142">
        <v>200</v>
      </c>
      <c r="P142">
        <v>70</v>
      </c>
      <c r="Q142">
        <v>18</v>
      </c>
    </row>
    <row r="143" spans="1:17" hidden="1" x14ac:dyDescent="0.2">
      <c r="A143" t="s">
        <v>64</v>
      </c>
      <c r="B143" t="s">
        <v>75</v>
      </c>
      <c r="C143" t="s">
        <v>72</v>
      </c>
      <c r="D143">
        <v>112</v>
      </c>
      <c r="E143">
        <v>1</v>
      </c>
      <c r="F143">
        <v>2</v>
      </c>
      <c r="G143" t="s">
        <v>26</v>
      </c>
      <c r="H143">
        <v>1143.4000000000001</v>
      </c>
      <c r="I143">
        <v>13</v>
      </c>
      <c r="J143">
        <f t="shared" ref="J143:J151" si="4">I143/F143</f>
        <v>6.5</v>
      </c>
      <c r="K143">
        <f t="shared" si="3"/>
        <v>7</v>
      </c>
      <c r="L143" t="s">
        <v>27</v>
      </c>
      <c r="M143">
        <v>1.5</v>
      </c>
      <c r="N143" t="s">
        <v>28</v>
      </c>
      <c r="O143">
        <v>200</v>
      </c>
      <c r="P143">
        <v>70</v>
      </c>
      <c r="Q143">
        <v>18</v>
      </c>
    </row>
    <row r="144" spans="1:17" hidden="1" x14ac:dyDescent="0.2">
      <c r="A144" t="s">
        <v>64</v>
      </c>
      <c r="B144" t="s">
        <v>75</v>
      </c>
      <c r="C144" t="s">
        <v>73</v>
      </c>
      <c r="D144">
        <v>112</v>
      </c>
      <c r="E144">
        <v>1</v>
      </c>
      <c r="F144">
        <v>2</v>
      </c>
      <c r="G144" t="s">
        <v>26</v>
      </c>
      <c r="H144">
        <v>914.2</v>
      </c>
      <c r="I144">
        <v>13</v>
      </c>
      <c r="J144">
        <f t="shared" si="4"/>
        <v>6.5</v>
      </c>
      <c r="K144">
        <f t="shared" si="3"/>
        <v>7</v>
      </c>
      <c r="L144" t="s">
        <v>27</v>
      </c>
      <c r="M144">
        <v>1.5</v>
      </c>
      <c r="N144" t="s">
        <v>28</v>
      </c>
      <c r="O144">
        <v>200</v>
      </c>
      <c r="P144">
        <v>70</v>
      </c>
      <c r="Q144">
        <v>18</v>
      </c>
    </row>
    <row r="145" spans="1:17" hidden="1" x14ac:dyDescent="0.2">
      <c r="A145" t="s">
        <v>64</v>
      </c>
      <c r="B145" t="s">
        <v>75</v>
      </c>
      <c r="C145" t="s">
        <v>74</v>
      </c>
      <c r="D145">
        <v>112</v>
      </c>
      <c r="E145">
        <v>1</v>
      </c>
      <c r="F145">
        <v>2</v>
      </c>
      <c r="G145" t="s">
        <v>26</v>
      </c>
      <c r="H145">
        <v>1197.05</v>
      </c>
      <c r="I145">
        <v>27</v>
      </c>
      <c r="J145">
        <f t="shared" si="4"/>
        <v>13.5</v>
      </c>
      <c r="K145">
        <f t="shared" si="3"/>
        <v>16</v>
      </c>
      <c r="L145" t="s">
        <v>27</v>
      </c>
      <c r="M145">
        <v>1.5</v>
      </c>
      <c r="N145" t="s">
        <v>28</v>
      </c>
      <c r="O145">
        <v>200</v>
      </c>
      <c r="P145">
        <v>70</v>
      </c>
      <c r="Q145">
        <v>18</v>
      </c>
    </row>
    <row r="146" spans="1:17" hidden="1" x14ac:dyDescent="0.2">
      <c r="A146" t="s">
        <v>64</v>
      </c>
      <c r="B146" t="s">
        <v>76</v>
      </c>
      <c r="C146" t="s">
        <v>74</v>
      </c>
      <c r="D146">
        <v>112</v>
      </c>
      <c r="E146">
        <v>1</v>
      </c>
      <c r="F146">
        <v>2</v>
      </c>
      <c r="G146" t="s">
        <v>26</v>
      </c>
      <c r="H146">
        <v>878.85</v>
      </c>
      <c r="I146">
        <v>6</v>
      </c>
      <c r="J146">
        <f t="shared" si="4"/>
        <v>3</v>
      </c>
      <c r="K146">
        <f t="shared" si="3"/>
        <v>3</v>
      </c>
      <c r="L146" t="s">
        <v>27</v>
      </c>
      <c r="M146">
        <v>3</v>
      </c>
      <c r="N146" t="s">
        <v>28</v>
      </c>
      <c r="O146">
        <v>200</v>
      </c>
      <c r="P146">
        <v>70</v>
      </c>
      <c r="Q146">
        <v>18</v>
      </c>
    </row>
    <row r="147" spans="1:17" hidden="1" x14ac:dyDescent="0.2">
      <c r="A147" t="s">
        <v>64</v>
      </c>
      <c r="B147" t="s">
        <v>76</v>
      </c>
      <c r="C147" t="s">
        <v>79</v>
      </c>
      <c r="D147">
        <v>112</v>
      </c>
      <c r="E147">
        <v>1</v>
      </c>
      <c r="F147">
        <v>2</v>
      </c>
      <c r="G147" t="s">
        <v>26</v>
      </c>
      <c r="H147">
        <v>1181.8499999999999</v>
      </c>
      <c r="J147">
        <f t="shared" si="4"/>
        <v>0</v>
      </c>
      <c r="K147">
        <f t="shared" si="3"/>
        <v>3</v>
      </c>
      <c r="L147" t="s">
        <v>27</v>
      </c>
      <c r="M147">
        <v>3</v>
      </c>
      <c r="N147" t="s">
        <v>28</v>
      </c>
      <c r="O147">
        <v>200</v>
      </c>
      <c r="P147">
        <v>70</v>
      </c>
      <c r="Q147">
        <v>18</v>
      </c>
    </row>
    <row r="148" spans="1:17" hidden="1" x14ac:dyDescent="0.2">
      <c r="A148" t="s">
        <v>64</v>
      </c>
      <c r="B148" t="s">
        <v>77</v>
      </c>
      <c r="C148" t="s">
        <v>71</v>
      </c>
      <c r="D148">
        <v>112</v>
      </c>
      <c r="E148">
        <v>1</v>
      </c>
      <c r="F148">
        <v>5</v>
      </c>
      <c r="G148" t="s">
        <v>26</v>
      </c>
      <c r="H148">
        <v>783.88</v>
      </c>
      <c r="I148">
        <v>2</v>
      </c>
      <c r="J148">
        <f t="shared" si="4"/>
        <v>0.4</v>
      </c>
      <c r="K148">
        <f t="shared" si="3"/>
        <v>1.6</v>
      </c>
      <c r="L148" t="s">
        <v>27</v>
      </c>
      <c r="M148">
        <v>0.6</v>
      </c>
      <c r="N148" t="s">
        <v>28</v>
      </c>
      <c r="O148">
        <v>200</v>
      </c>
      <c r="P148">
        <v>70</v>
      </c>
      <c r="Q148">
        <v>18</v>
      </c>
    </row>
    <row r="149" spans="1:17" hidden="1" x14ac:dyDescent="0.2">
      <c r="A149" t="s">
        <v>64</v>
      </c>
      <c r="B149" t="s">
        <v>77</v>
      </c>
      <c r="C149" t="s">
        <v>72</v>
      </c>
      <c r="D149">
        <v>112</v>
      </c>
      <c r="E149">
        <v>1</v>
      </c>
      <c r="F149">
        <v>5</v>
      </c>
      <c r="G149" t="s">
        <v>26</v>
      </c>
      <c r="H149">
        <v>846.2</v>
      </c>
      <c r="I149">
        <v>36</v>
      </c>
      <c r="J149">
        <f t="shared" si="4"/>
        <v>7.2</v>
      </c>
      <c r="K149">
        <f t="shared" si="3"/>
        <v>8</v>
      </c>
      <c r="L149" t="s">
        <v>27</v>
      </c>
      <c r="M149">
        <v>0.6</v>
      </c>
      <c r="N149" t="s">
        <v>28</v>
      </c>
      <c r="O149">
        <v>200</v>
      </c>
      <c r="P149">
        <v>70</v>
      </c>
      <c r="Q149">
        <v>18</v>
      </c>
    </row>
    <row r="150" spans="1:17" hidden="1" x14ac:dyDescent="0.2">
      <c r="A150" t="s">
        <v>64</v>
      </c>
      <c r="B150" t="s">
        <v>77</v>
      </c>
      <c r="C150" t="s">
        <v>73</v>
      </c>
      <c r="D150">
        <v>112</v>
      </c>
      <c r="E150">
        <v>1</v>
      </c>
      <c r="F150">
        <v>5</v>
      </c>
      <c r="G150" t="s">
        <v>26</v>
      </c>
      <c r="H150">
        <v>779.36</v>
      </c>
      <c r="I150">
        <v>29</v>
      </c>
      <c r="J150">
        <f t="shared" si="4"/>
        <v>5.8</v>
      </c>
      <c r="K150">
        <f t="shared" si="3"/>
        <v>7.1999999999999993</v>
      </c>
      <c r="L150" t="s">
        <v>27</v>
      </c>
      <c r="M150">
        <v>0.6</v>
      </c>
      <c r="N150" t="s">
        <v>28</v>
      </c>
      <c r="O150">
        <v>200</v>
      </c>
      <c r="P150">
        <v>70</v>
      </c>
      <c r="Q150">
        <v>18</v>
      </c>
    </row>
    <row r="151" spans="1:17" s="4" customFormat="1" hidden="1" x14ac:dyDescent="0.2">
      <c r="A151" s="4" t="s">
        <v>64</v>
      </c>
      <c r="B151" s="4" t="s">
        <v>77</v>
      </c>
      <c r="C151" s="4" t="s">
        <v>74</v>
      </c>
      <c r="D151" s="4">
        <v>112</v>
      </c>
      <c r="E151" s="4">
        <v>1</v>
      </c>
      <c r="F151" s="4">
        <v>5</v>
      </c>
      <c r="G151" s="4" t="s">
        <v>26</v>
      </c>
      <c r="H151" s="4">
        <v>924.56</v>
      </c>
      <c r="I151" s="4">
        <v>38</v>
      </c>
      <c r="J151" s="4">
        <f t="shared" si="4"/>
        <v>7.6</v>
      </c>
      <c r="K151" s="4">
        <f t="shared" si="3"/>
        <v>7.6</v>
      </c>
      <c r="L151" s="4" t="s">
        <v>27</v>
      </c>
      <c r="M151" s="4">
        <v>0.6</v>
      </c>
      <c r="N151" s="4" t="s">
        <v>28</v>
      </c>
      <c r="O151" s="4">
        <v>200</v>
      </c>
      <c r="P151" s="4">
        <v>70</v>
      </c>
      <c r="Q151" s="4">
        <v>18</v>
      </c>
    </row>
    <row r="152" spans="1:17" hidden="1" x14ac:dyDescent="0.2">
      <c r="A152" t="s">
        <v>64</v>
      </c>
      <c r="B152" t="s">
        <v>75</v>
      </c>
      <c r="C152" t="s">
        <v>71</v>
      </c>
      <c r="D152">
        <v>126</v>
      </c>
      <c r="E152">
        <v>1</v>
      </c>
      <c r="F152">
        <v>2</v>
      </c>
      <c r="G152" t="s">
        <v>26</v>
      </c>
      <c r="H152">
        <v>1259.55</v>
      </c>
      <c r="L152" t="s">
        <v>12</v>
      </c>
      <c r="M152">
        <v>1.5</v>
      </c>
      <c r="N152" t="s">
        <v>28</v>
      </c>
      <c r="O152">
        <v>200</v>
      </c>
      <c r="P152">
        <v>70</v>
      </c>
      <c r="Q152">
        <v>18</v>
      </c>
    </row>
    <row r="153" spans="1:17" hidden="1" x14ac:dyDescent="0.2">
      <c r="A153" t="s">
        <v>64</v>
      </c>
      <c r="B153" t="s">
        <v>75</v>
      </c>
      <c r="C153" t="s">
        <v>72</v>
      </c>
      <c r="D153">
        <v>126</v>
      </c>
      <c r="E153">
        <v>1</v>
      </c>
      <c r="F153">
        <v>2</v>
      </c>
      <c r="G153" t="s">
        <v>26</v>
      </c>
      <c r="H153">
        <v>1151.25</v>
      </c>
      <c r="L153" t="s">
        <v>12</v>
      </c>
      <c r="M153">
        <v>1.5</v>
      </c>
      <c r="N153" t="s">
        <v>28</v>
      </c>
      <c r="O153">
        <v>200</v>
      </c>
      <c r="P153">
        <v>70</v>
      </c>
      <c r="Q153">
        <v>18</v>
      </c>
    </row>
    <row r="154" spans="1:17" hidden="1" x14ac:dyDescent="0.2">
      <c r="A154" t="s">
        <v>64</v>
      </c>
      <c r="B154" t="s">
        <v>75</v>
      </c>
      <c r="C154" t="s">
        <v>73</v>
      </c>
      <c r="D154">
        <v>126</v>
      </c>
      <c r="E154">
        <v>1</v>
      </c>
      <c r="F154">
        <v>2</v>
      </c>
      <c r="G154" t="s">
        <v>26</v>
      </c>
      <c r="H154">
        <v>921.95</v>
      </c>
      <c r="L154" t="s">
        <v>12</v>
      </c>
      <c r="M154">
        <v>1.5</v>
      </c>
      <c r="N154" t="s">
        <v>28</v>
      </c>
      <c r="O154">
        <v>200</v>
      </c>
      <c r="P154">
        <v>70</v>
      </c>
      <c r="Q154">
        <v>18</v>
      </c>
    </row>
    <row r="155" spans="1:17" hidden="1" x14ac:dyDescent="0.2">
      <c r="A155" t="s">
        <v>64</v>
      </c>
      <c r="B155" t="s">
        <v>75</v>
      </c>
      <c r="C155" t="s">
        <v>74</v>
      </c>
      <c r="D155">
        <v>126</v>
      </c>
      <c r="E155">
        <v>1</v>
      </c>
      <c r="F155">
        <v>2</v>
      </c>
      <c r="G155" t="s">
        <v>26</v>
      </c>
      <c r="H155">
        <v>1183.8</v>
      </c>
      <c r="L155" t="s">
        <v>12</v>
      </c>
      <c r="M155">
        <v>1.5</v>
      </c>
      <c r="N155" t="s">
        <v>28</v>
      </c>
      <c r="O155">
        <v>200</v>
      </c>
      <c r="P155">
        <v>70</v>
      </c>
      <c r="Q155">
        <v>18</v>
      </c>
    </row>
    <row r="156" spans="1:17" hidden="1" x14ac:dyDescent="0.2">
      <c r="A156" t="s">
        <v>64</v>
      </c>
      <c r="B156" t="s">
        <v>76</v>
      </c>
      <c r="C156" t="s">
        <v>74</v>
      </c>
      <c r="D156">
        <v>126</v>
      </c>
      <c r="E156">
        <v>1</v>
      </c>
      <c r="F156">
        <v>2</v>
      </c>
      <c r="G156" t="s">
        <v>26</v>
      </c>
      <c r="H156">
        <v>956.05</v>
      </c>
      <c r="L156" t="s">
        <v>12</v>
      </c>
      <c r="M156">
        <v>3</v>
      </c>
      <c r="N156" t="s">
        <v>28</v>
      </c>
      <c r="O156">
        <v>200</v>
      </c>
      <c r="P156">
        <v>70</v>
      </c>
      <c r="Q156">
        <v>18</v>
      </c>
    </row>
    <row r="157" spans="1:17" hidden="1" x14ac:dyDescent="0.2">
      <c r="A157" t="s">
        <v>64</v>
      </c>
      <c r="B157" t="s">
        <v>76</v>
      </c>
      <c r="C157" t="s">
        <v>79</v>
      </c>
      <c r="D157">
        <v>126</v>
      </c>
      <c r="E157">
        <v>1</v>
      </c>
      <c r="F157">
        <v>2</v>
      </c>
      <c r="G157" t="s">
        <v>26</v>
      </c>
      <c r="H157">
        <v>1046.3499999999999</v>
      </c>
      <c r="I157">
        <v>16</v>
      </c>
      <c r="J157">
        <f>I157/F157</f>
        <v>8</v>
      </c>
      <c r="K157">
        <f>J157+K147</f>
        <v>11</v>
      </c>
      <c r="L157" t="s">
        <v>12</v>
      </c>
      <c r="M157">
        <v>3</v>
      </c>
      <c r="N157" t="s">
        <v>28</v>
      </c>
      <c r="O157">
        <v>200</v>
      </c>
      <c r="P157">
        <v>70</v>
      </c>
      <c r="Q157">
        <v>18</v>
      </c>
    </row>
    <row r="158" spans="1:17" hidden="1" x14ac:dyDescent="0.2">
      <c r="A158" t="s">
        <v>64</v>
      </c>
      <c r="B158" t="s">
        <v>77</v>
      </c>
      <c r="C158" t="s">
        <v>71</v>
      </c>
      <c r="D158">
        <v>126</v>
      </c>
      <c r="E158">
        <v>1</v>
      </c>
      <c r="F158">
        <v>5</v>
      </c>
      <c r="G158" t="s">
        <v>26</v>
      </c>
      <c r="H158">
        <v>771.7</v>
      </c>
      <c r="L158" t="s">
        <v>12</v>
      </c>
      <c r="M158">
        <v>0.6</v>
      </c>
      <c r="N158" t="s">
        <v>28</v>
      </c>
      <c r="O158">
        <v>200</v>
      </c>
      <c r="P158">
        <v>70</v>
      </c>
      <c r="Q158">
        <v>18</v>
      </c>
    </row>
    <row r="159" spans="1:17" hidden="1" x14ac:dyDescent="0.2">
      <c r="A159" t="s">
        <v>64</v>
      </c>
      <c r="B159" t="s">
        <v>77</v>
      </c>
      <c r="C159" t="s">
        <v>72</v>
      </c>
      <c r="D159">
        <v>126</v>
      </c>
      <c r="E159">
        <v>1</v>
      </c>
      <c r="F159">
        <v>5</v>
      </c>
      <c r="G159" t="s">
        <v>26</v>
      </c>
      <c r="H159">
        <v>850.42</v>
      </c>
      <c r="L159" t="s">
        <v>12</v>
      </c>
      <c r="M159">
        <v>0.6</v>
      </c>
      <c r="N159" t="s">
        <v>28</v>
      </c>
      <c r="O159">
        <v>200</v>
      </c>
      <c r="P159">
        <v>70</v>
      </c>
      <c r="Q159">
        <v>18</v>
      </c>
    </row>
    <row r="160" spans="1:17" hidden="1" x14ac:dyDescent="0.2">
      <c r="A160" t="s">
        <v>64</v>
      </c>
      <c r="B160" t="s">
        <v>77</v>
      </c>
      <c r="C160" t="s">
        <v>73</v>
      </c>
      <c r="D160">
        <v>126</v>
      </c>
      <c r="E160">
        <v>1</v>
      </c>
      <c r="F160">
        <v>5</v>
      </c>
      <c r="G160" t="s">
        <v>26</v>
      </c>
      <c r="H160">
        <v>790.36</v>
      </c>
      <c r="L160" t="s">
        <v>12</v>
      </c>
      <c r="M160">
        <v>0.6</v>
      </c>
      <c r="N160" t="s">
        <v>28</v>
      </c>
      <c r="O160">
        <v>200</v>
      </c>
      <c r="P160">
        <v>70</v>
      </c>
      <c r="Q160">
        <v>18</v>
      </c>
    </row>
    <row r="161" spans="1:17" s="4" customFormat="1" hidden="1" x14ac:dyDescent="0.2">
      <c r="A161" s="4" t="s">
        <v>64</v>
      </c>
      <c r="B161" s="4" t="s">
        <v>77</v>
      </c>
      <c r="C161" s="4" t="s">
        <v>74</v>
      </c>
      <c r="D161" s="4">
        <v>126</v>
      </c>
      <c r="E161" s="4">
        <v>1</v>
      </c>
      <c r="F161" s="4">
        <v>5</v>
      </c>
      <c r="G161" s="4" t="s">
        <v>26</v>
      </c>
      <c r="H161" s="4">
        <v>998.96</v>
      </c>
      <c r="L161" s="4" t="s">
        <v>12</v>
      </c>
      <c r="M161" s="4">
        <v>0.6</v>
      </c>
      <c r="N161" s="4" t="s">
        <v>28</v>
      </c>
      <c r="O161" s="4">
        <v>200</v>
      </c>
      <c r="P161" s="4">
        <v>70</v>
      </c>
      <c r="Q161" s="4">
        <v>18</v>
      </c>
    </row>
    <row r="162" spans="1:17" hidden="1" x14ac:dyDescent="0.2">
      <c r="A162" t="s">
        <v>64</v>
      </c>
      <c r="B162" t="s">
        <v>75</v>
      </c>
      <c r="C162" t="s">
        <v>71</v>
      </c>
      <c r="D162">
        <v>140</v>
      </c>
      <c r="E162">
        <v>1</v>
      </c>
      <c r="F162">
        <v>2</v>
      </c>
      <c r="G162" t="s">
        <v>26</v>
      </c>
      <c r="H162">
        <v>1446.45</v>
      </c>
      <c r="I162">
        <v>21</v>
      </c>
      <c r="J162">
        <f>I162/F162</f>
        <v>10.5</v>
      </c>
      <c r="K162">
        <f>J162+K142</f>
        <v>18.5</v>
      </c>
      <c r="L162" t="s">
        <v>27</v>
      </c>
      <c r="M162">
        <v>1.5</v>
      </c>
      <c r="N162" t="s">
        <v>28</v>
      </c>
      <c r="O162">
        <v>200</v>
      </c>
      <c r="P162">
        <v>70</v>
      </c>
      <c r="Q162">
        <v>18</v>
      </c>
    </row>
    <row r="163" spans="1:17" hidden="1" x14ac:dyDescent="0.2">
      <c r="A163" t="s">
        <v>64</v>
      </c>
      <c r="B163" t="s">
        <v>75</v>
      </c>
      <c r="C163" t="s">
        <v>72</v>
      </c>
      <c r="D163">
        <v>140</v>
      </c>
      <c r="E163">
        <v>1</v>
      </c>
      <c r="F163">
        <v>2</v>
      </c>
      <c r="G163" t="s">
        <v>26</v>
      </c>
      <c r="H163">
        <v>1377.05</v>
      </c>
      <c r="I163">
        <v>29</v>
      </c>
      <c r="J163">
        <f t="shared" ref="J163:J171" si="5">I163/F163</f>
        <v>14.5</v>
      </c>
      <c r="K163">
        <f>J163+K143</f>
        <v>21.5</v>
      </c>
      <c r="L163" t="s">
        <v>27</v>
      </c>
      <c r="M163">
        <v>1.5</v>
      </c>
      <c r="N163" t="s">
        <v>28</v>
      </c>
      <c r="O163">
        <v>200</v>
      </c>
      <c r="P163">
        <v>70</v>
      </c>
      <c r="Q163">
        <v>18</v>
      </c>
    </row>
    <row r="164" spans="1:17" hidden="1" x14ac:dyDescent="0.2">
      <c r="A164" t="s">
        <v>64</v>
      </c>
      <c r="B164" t="s">
        <v>75</v>
      </c>
      <c r="C164" t="s">
        <v>73</v>
      </c>
      <c r="D164">
        <v>140</v>
      </c>
      <c r="E164">
        <v>1</v>
      </c>
      <c r="F164">
        <v>2</v>
      </c>
      <c r="G164" t="s">
        <v>26</v>
      </c>
      <c r="H164">
        <v>976.75</v>
      </c>
      <c r="I164">
        <v>37</v>
      </c>
      <c r="J164">
        <f t="shared" si="5"/>
        <v>18.5</v>
      </c>
      <c r="K164">
        <f>J164+K144</f>
        <v>25.5</v>
      </c>
      <c r="L164" t="s">
        <v>27</v>
      </c>
      <c r="M164">
        <v>1.5</v>
      </c>
      <c r="N164" t="s">
        <v>28</v>
      </c>
      <c r="O164">
        <v>200</v>
      </c>
      <c r="P164">
        <v>70</v>
      </c>
      <c r="Q164">
        <v>18</v>
      </c>
    </row>
    <row r="165" spans="1:17" hidden="1" x14ac:dyDescent="0.2">
      <c r="A165" t="s">
        <v>64</v>
      </c>
      <c r="B165" t="s">
        <v>75</v>
      </c>
      <c r="C165" t="s">
        <v>74</v>
      </c>
      <c r="D165">
        <v>140</v>
      </c>
      <c r="E165">
        <v>1</v>
      </c>
      <c r="F165">
        <v>2</v>
      </c>
      <c r="G165" t="s">
        <v>26</v>
      </c>
      <c r="H165">
        <v>1305.55</v>
      </c>
      <c r="I165">
        <v>31</v>
      </c>
      <c r="J165">
        <f t="shared" si="5"/>
        <v>15.5</v>
      </c>
      <c r="K165">
        <f>J165+K145</f>
        <v>31.5</v>
      </c>
      <c r="L165" t="s">
        <v>27</v>
      </c>
      <c r="M165">
        <v>1.5</v>
      </c>
      <c r="N165" t="s">
        <v>28</v>
      </c>
      <c r="O165">
        <v>200</v>
      </c>
      <c r="P165">
        <v>70</v>
      </c>
      <c r="Q165">
        <v>18</v>
      </c>
    </row>
    <row r="166" spans="1:17" hidden="1" x14ac:dyDescent="0.2">
      <c r="A166" t="s">
        <v>64</v>
      </c>
      <c r="B166" t="s">
        <v>76</v>
      </c>
      <c r="C166" t="s">
        <v>74</v>
      </c>
      <c r="D166">
        <v>140</v>
      </c>
      <c r="E166">
        <v>1</v>
      </c>
      <c r="F166">
        <v>2</v>
      </c>
      <c r="G166" t="s">
        <v>26</v>
      </c>
      <c r="H166">
        <v>1009.55</v>
      </c>
      <c r="I166">
        <v>7</v>
      </c>
      <c r="J166">
        <f t="shared" si="5"/>
        <v>3.5</v>
      </c>
      <c r="K166">
        <f>J166+K146</f>
        <v>6.5</v>
      </c>
      <c r="L166" t="s">
        <v>27</v>
      </c>
      <c r="M166">
        <v>3</v>
      </c>
      <c r="N166" t="s">
        <v>28</v>
      </c>
      <c r="O166">
        <v>200</v>
      </c>
      <c r="P166">
        <v>70</v>
      </c>
      <c r="Q166">
        <v>18</v>
      </c>
    </row>
    <row r="167" spans="1:17" hidden="1" x14ac:dyDescent="0.2">
      <c r="A167" t="s">
        <v>64</v>
      </c>
      <c r="B167" t="s">
        <v>76</v>
      </c>
      <c r="C167" t="s">
        <v>79</v>
      </c>
      <c r="D167">
        <v>140</v>
      </c>
      <c r="E167">
        <v>1</v>
      </c>
      <c r="F167">
        <v>2</v>
      </c>
      <c r="G167" t="s">
        <v>26</v>
      </c>
      <c r="L167" t="s">
        <v>27</v>
      </c>
      <c r="M167">
        <v>3</v>
      </c>
      <c r="N167" t="s">
        <v>28</v>
      </c>
      <c r="O167">
        <v>200</v>
      </c>
      <c r="P167">
        <v>70</v>
      </c>
      <c r="Q167">
        <v>18</v>
      </c>
    </row>
    <row r="168" spans="1:17" hidden="1" x14ac:dyDescent="0.2">
      <c r="A168" t="s">
        <v>64</v>
      </c>
      <c r="B168" t="s">
        <v>77</v>
      </c>
      <c r="C168" t="s">
        <v>71</v>
      </c>
      <c r="D168">
        <v>140</v>
      </c>
      <c r="E168">
        <v>1</v>
      </c>
      <c r="F168">
        <v>5</v>
      </c>
      <c r="G168" t="s">
        <v>26</v>
      </c>
      <c r="H168">
        <v>838.08</v>
      </c>
      <c r="I168">
        <v>45</v>
      </c>
      <c r="J168">
        <f t="shared" si="5"/>
        <v>9</v>
      </c>
      <c r="K168">
        <f>J168+K148</f>
        <v>10.6</v>
      </c>
      <c r="L168" t="s">
        <v>27</v>
      </c>
      <c r="M168">
        <v>0.6</v>
      </c>
      <c r="N168" t="s">
        <v>28</v>
      </c>
      <c r="O168">
        <v>200</v>
      </c>
      <c r="P168">
        <v>70</v>
      </c>
      <c r="Q168">
        <v>18</v>
      </c>
    </row>
    <row r="169" spans="1:17" hidden="1" x14ac:dyDescent="0.2">
      <c r="A169" t="s">
        <v>64</v>
      </c>
      <c r="B169" t="s">
        <v>77</v>
      </c>
      <c r="C169" t="s">
        <v>72</v>
      </c>
      <c r="D169">
        <v>140</v>
      </c>
      <c r="E169">
        <v>1</v>
      </c>
      <c r="F169">
        <v>5</v>
      </c>
      <c r="G169" t="s">
        <v>26</v>
      </c>
      <c r="H169">
        <v>854.02</v>
      </c>
      <c r="I169">
        <v>39</v>
      </c>
      <c r="J169">
        <f t="shared" si="5"/>
        <v>7.8</v>
      </c>
      <c r="K169">
        <f>J169+K149</f>
        <v>15.8</v>
      </c>
      <c r="L169" t="s">
        <v>27</v>
      </c>
      <c r="M169">
        <v>0.6</v>
      </c>
      <c r="N169" t="s">
        <v>28</v>
      </c>
      <c r="O169">
        <v>200</v>
      </c>
      <c r="P169">
        <v>70</v>
      </c>
      <c r="Q169">
        <v>18</v>
      </c>
    </row>
    <row r="170" spans="1:17" hidden="1" x14ac:dyDescent="0.2">
      <c r="A170" t="s">
        <v>64</v>
      </c>
      <c r="B170" t="s">
        <v>77</v>
      </c>
      <c r="C170" t="s">
        <v>73</v>
      </c>
      <c r="D170">
        <v>140</v>
      </c>
      <c r="E170">
        <v>1</v>
      </c>
      <c r="F170">
        <v>5</v>
      </c>
      <c r="G170" t="s">
        <v>26</v>
      </c>
      <c r="H170">
        <v>779.2</v>
      </c>
      <c r="I170">
        <v>38</v>
      </c>
      <c r="J170">
        <f t="shared" si="5"/>
        <v>7.6</v>
      </c>
      <c r="K170">
        <f>J170+K150</f>
        <v>14.799999999999999</v>
      </c>
      <c r="L170" t="s">
        <v>27</v>
      </c>
      <c r="M170">
        <v>0.6</v>
      </c>
      <c r="N170" t="s">
        <v>28</v>
      </c>
      <c r="O170">
        <v>200</v>
      </c>
      <c r="P170">
        <v>70</v>
      </c>
      <c r="Q170">
        <v>18</v>
      </c>
    </row>
    <row r="171" spans="1:17" s="4" customFormat="1" hidden="1" x14ac:dyDescent="0.2">
      <c r="A171" s="4" t="s">
        <v>64</v>
      </c>
      <c r="B171" s="4" t="s">
        <v>77</v>
      </c>
      <c r="C171" s="4" t="s">
        <v>74</v>
      </c>
      <c r="D171" s="4">
        <v>140</v>
      </c>
      <c r="E171" s="4">
        <v>1</v>
      </c>
      <c r="F171" s="4">
        <v>5</v>
      </c>
      <c r="G171" s="4" t="s">
        <v>26</v>
      </c>
      <c r="H171" s="4">
        <v>1115.8599999999999</v>
      </c>
      <c r="I171" s="4">
        <v>12</v>
      </c>
      <c r="J171" s="4">
        <f t="shared" si="5"/>
        <v>2.4</v>
      </c>
      <c r="K171" s="4">
        <f>J171+K151</f>
        <v>10</v>
      </c>
      <c r="L171" s="4" t="s">
        <v>27</v>
      </c>
      <c r="M171" s="4">
        <v>0.6</v>
      </c>
      <c r="N171" s="4" t="s">
        <v>28</v>
      </c>
      <c r="O171" s="4">
        <v>200</v>
      </c>
      <c r="P171" s="4">
        <v>70</v>
      </c>
      <c r="Q171" s="4">
        <v>18</v>
      </c>
    </row>
    <row r="172" spans="1:17" hidden="1" x14ac:dyDescent="0.2">
      <c r="A172" t="s">
        <v>64</v>
      </c>
      <c r="B172" t="s">
        <v>75</v>
      </c>
      <c r="C172" t="s">
        <v>71</v>
      </c>
      <c r="D172">
        <v>154</v>
      </c>
      <c r="E172">
        <v>1</v>
      </c>
      <c r="F172">
        <v>2</v>
      </c>
      <c r="G172" t="s">
        <v>26</v>
      </c>
      <c r="H172">
        <v>1240.05</v>
      </c>
      <c r="I172">
        <v>8</v>
      </c>
      <c r="J172">
        <f>I172/F172</f>
        <v>4</v>
      </c>
      <c r="K172">
        <f>J172+K162</f>
        <v>22.5</v>
      </c>
      <c r="L172" t="s">
        <v>27</v>
      </c>
      <c r="M172">
        <v>1.5</v>
      </c>
      <c r="N172" t="s">
        <v>28</v>
      </c>
      <c r="O172">
        <v>200</v>
      </c>
      <c r="P172">
        <v>70</v>
      </c>
      <c r="Q172">
        <v>18</v>
      </c>
    </row>
    <row r="173" spans="1:17" hidden="1" x14ac:dyDescent="0.2">
      <c r="A173" t="s">
        <v>64</v>
      </c>
      <c r="B173" t="s">
        <v>75</v>
      </c>
      <c r="C173" t="s">
        <v>72</v>
      </c>
      <c r="D173">
        <v>154</v>
      </c>
      <c r="E173">
        <v>1</v>
      </c>
      <c r="F173">
        <v>2</v>
      </c>
      <c r="G173" t="s">
        <v>26</v>
      </c>
      <c r="H173">
        <v>1242.95</v>
      </c>
      <c r="I173">
        <v>10</v>
      </c>
      <c r="J173">
        <f t="shared" ref="J173:J181" si="6">I173/F173</f>
        <v>5</v>
      </c>
      <c r="K173">
        <f>J173+K163</f>
        <v>26.5</v>
      </c>
      <c r="L173" t="s">
        <v>27</v>
      </c>
      <c r="M173">
        <v>1.5</v>
      </c>
      <c r="N173" t="s">
        <v>28</v>
      </c>
      <c r="O173">
        <v>200</v>
      </c>
      <c r="P173">
        <v>70</v>
      </c>
      <c r="Q173">
        <v>18</v>
      </c>
    </row>
    <row r="174" spans="1:17" hidden="1" x14ac:dyDescent="0.2">
      <c r="A174" t="s">
        <v>64</v>
      </c>
      <c r="B174" t="s">
        <v>75</v>
      </c>
      <c r="C174" t="s">
        <v>73</v>
      </c>
      <c r="D174">
        <v>154</v>
      </c>
      <c r="E174">
        <v>1</v>
      </c>
      <c r="F174">
        <v>2</v>
      </c>
      <c r="G174" t="s">
        <v>26</v>
      </c>
      <c r="H174">
        <v>843.6</v>
      </c>
      <c r="I174">
        <v>18</v>
      </c>
      <c r="J174">
        <f t="shared" si="6"/>
        <v>9</v>
      </c>
      <c r="K174">
        <f>J174+K164</f>
        <v>34.5</v>
      </c>
      <c r="L174" t="s">
        <v>27</v>
      </c>
      <c r="M174">
        <v>1.5</v>
      </c>
      <c r="N174" t="s">
        <v>28</v>
      </c>
      <c r="O174">
        <v>200</v>
      </c>
      <c r="P174">
        <v>70</v>
      </c>
      <c r="Q174">
        <v>18</v>
      </c>
    </row>
    <row r="175" spans="1:17" hidden="1" x14ac:dyDescent="0.2">
      <c r="A175" t="s">
        <v>64</v>
      </c>
      <c r="B175" t="s">
        <v>75</v>
      </c>
      <c r="C175" t="s">
        <v>74</v>
      </c>
      <c r="D175">
        <v>154</v>
      </c>
      <c r="E175">
        <v>1</v>
      </c>
      <c r="F175">
        <v>2</v>
      </c>
      <c r="G175" t="s">
        <v>26</v>
      </c>
      <c r="H175">
        <v>1035.3</v>
      </c>
      <c r="I175">
        <v>10</v>
      </c>
      <c r="J175">
        <f t="shared" si="6"/>
        <v>5</v>
      </c>
      <c r="K175">
        <f>J175+K165</f>
        <v>36.5</v>
      </c>
      <c r="L175" t="s">
        <v>27</v>
      </c>
      <c r="M175">
        <v>1.5</v>
      </c>
      <c r="N175" t="s">
        <v>28</v>
      </c>
      <c r="O175">
        <v>200</v>
      </c>
      <c r="P175">
        <v>70</v>
      </c>
      <c r="Q175">
        <v>18</v>
      </c>
    </row>
    <row r="176" spans="1:17" hidden="1" x14ac:dyDescent="0.2">
      <c r="A176" t="s">
        <v>64</v>
      </c>
      <c r="B176" t="s">
        <v>76</v>
      </c>
      <c r="C176" t="s">
        <v>74</v>
      </c>
      <c r="D176">
        <v>154</v>
      </c>
      <c r="E176">
        <v>1</v>
      </c>
      <c r="F176">
        <v>2</v>
      </c>
      <c r="G176" t="s">
        <v>26</v>
      </c>
      <c r="H176">
        <v>922.25</v>
      </c>
      <c r="I176">
        <v>8</v>
      </c>
      <c r="J176">
        <f t="shared" si="6"/>
        <v>4</v>
      </c>
      <c r="K176">
        <f>J176+K166</f>
        <v>10.5</v>
      </c>
      <c r="L176" t="s">
        <v>27</v>
      </c>
      <c r="M176">
        <v>3</v>
      </c>
      <c r="N176" t="s">
        <v>28</v>
      </c>
      <c r="O176">
        <v>200</v>
      </c>
      <c r="P176">
        <v>70</v>
      </c>
      <c r="Q176">
        <v>18</v>
      </c>
    </row>
    <row r="177" spans="1:17" hidden="1" x14ac:dyDescent="0.2">
      <c r="A177" t="s">
        <v>64</v>
      </c>
      <c r="B177" t="s">
        <v>76</v>
      </c>
      <c r="C177" t="s">
        <v>79</v>
      </c>
      <c r="D177">
        <v>154</v>
      </c>
      <c r="E177">
        <v>1</v>
      </c>
      <c r="F177">
        <v>2</v>
      </c>
      <c r="G177" t="s">
        <v>26</v>
      </c>
      <c r="L177" t="s">
        <v>27</v>
      </c>
      <c r="M177">
        <v>3</v>
      </c>
      <c r="N177" t="s">
        <v>28</v>
      </c>
      <c r="O177">
        <v>200</v>
      </c>
      <c r="P177">
        <v>70</v>
      </c>
      <c r="Q177">
        <v>18</v>
      </c>
    </row>
    <row r="178" spans="1:17" hidden="1" x14ac:dyDescent="0.2">
      <c r="A178" t="s">
        <v>64</v>
      </c>
      <c r="B178" t="s">
        <v>77</v>
      </c>
      <c r="C178" t="s">
        <v>71</v>
      </c>
      <c r="D178">
        <v>154</v>
      </c>
      <c r="E178">
        <v>1</v>
      </c>
      <c r="F178">
        <v>5</v>
      </c>
      <c r="G178" t="s">
        <v>26</v>
      </c>
      <c r="H178">
        <v>712.94</v>
      </c>
      <c r="I178">
        <v>20</v>
      </c>
      <c r="J178">
        <f t="shared" si="6"/>
        <v>4</v>
      </c>
      <c r="K178">
        <f>J178+K168</f>
        <v>14.6</v>
      </c>
      <c r="L178" t="s">
        <v>27</v>
      </c>
      <c r="M178">
        <v>0.6</v>
      </c>
      <c r="N178" t="s">
        <v>28</v>
      </c>
      <c r="O178">
        <v>200</v>
      </c>
      <c r="P178">
        <v>70</v>
      </c>
      <c r="Q178">
        <v>18</v>
      </c>
    </row>
    <row r="179" spans="1:17" hidden="1" x14ac:dyDescent="0.2">
      <c r="A179" t="s">
        <v>64</v>
      </c>
      <c r="B179" t="s">
        <v>77</v>
      </c>
      <c r="C179" t="s">
        <v>72</v>
      </c>
      <c r="D179">
        <v>154</v>
      </c>
      <c r="E179">
        <v>1</v>
      </c>
      <c r="F179">
        <v>5</v>
      </c>
      <c r="G179" t="s">
        <v>26</v>
      </c>
      <c r="H179">
        <v>813.92</v>
      </c>
      <c r="I179">
        <v>14</v>
      </c>
      <c r="J179">
        <f t="shared" si="6"/>
        <v>2.8</v>
      </c>
      <c r="K179">
        <f>J179+K169</f>
        <v>18.600000000000001</v>
      </c>
      <c r="L179" t="s">
        <v>27</v>
      </c>
      <c r="M179">
        <v>0.6</v>
      </c>
      <c r="N179" t="s">
        <v>28</v>
      </c>
      <c r="O179">
        <v>200</v>
      </c>
      <c r="P179">
        <v>70</v>
      </c>
      <c r="Q179">
        <v>18</v>
      </c>
    </row>
    <row r="180" spans="1:17" hidden="1" x14ac:dyDescent="0.2">
      <c r="A180" t="s">
        <v>64</v>
      </c>
      <c r="B180" t="s">
        <v>77</v>
      </c>
      <c r="C180" t="s">
        <v>73</v>
      </c>
      <c r="D180">
        <v>154</v>
      </c>
      <c r="E180">
        <v>1</v>
      </c>
      <c r="F180">
        <v>5</v>
      </c>
      <c r="G180" t="s">
        <v>26</v>
      </c>
      <c r="H180">
        <v>732.16</v>
      </c>
      <c r="I180">
        <v>18</v>
      </c>
      <c r="J180">
        <f t="shared" si="6"/>
        <v>3.6</v>
      </c>
      <c r="K180">
        <f>J180+K170</f>
        <v>18.399999999999999</v>
      </c>
      <c r="L180" t="s">
        <v>27</v>
      </c>
      <c r="M180">
        <v>0.6</v>
      </c>
      <c r="N180" t="s">
        <v>28</v>
      </c>
      <c r="O180">
        <v>200</v>
      </c>
      <c r="P180">
        <v>70</v>
      </c>
      <c r="Q180">
        <v>18</v>
      </c>
    </row>
    <row r="181" spans="1:17" hidden="1" x14ac:dyDescent="0.2">
      <c r="A181" s="4" t="s">
        <v>64</v>
      </c>
      <c r="B181" s="4" t="s">
        <v>77</v>
      </c>
      <c r="C181" s="4" t="s">
        <v>74</v>
      </c>
      <c r="D181" s="4">
        <v>154</v>
      </c>
      <c r="E181" s="4">
        <v>1</v>
      </c>
      <c r="F181" s="4">
        <v>5</v>
      </c>
      <c r="G181" s="4" t="s">
        <v>26</v>
      </c>
      <c r="H181" s="4">
        <v>1131.24</v>
      </c>
      <c r="I181" s="4">
        <v>7</v>
      </c>
      <c r="J181" s="4">
        <f t="shared" si="6"/>
        <v>1.4</v>
      </c>
      <c r="K181">
        <f>J181+K171</f>
        <v>11.4</v>
      </c>
      <c r="L181" s="4" t="s">
        <v>27</v>
      </c>
      <c r="M181" s="4">
        <v>0.6</v>
      </c>
      <c r="N181" s="4" t="s">
        <v>28</v>
      </c>
      <c r="O181" s="4">
        <v>200</v>
      </c>
      <c r="P181" s="4">
        <v>70</v>
      </c>
      <c r="Q181" s="4">
        <v>18</v>
      </c>
    </row>
  </sheetData>
  <autoFilter ref="A1:Q181" xr:uid="{FE4D3614-26DC-1244-8744-81EE209993A0}">
    <filterColumn colId="1">
      <filters>
        <filter val="D1"/>
      </filters>
    </filterColumn>
  </autoFilter>
  <phoneticPr fontId="2" type="noConversion"/>
  <conditionalFormatting sqref="G1">
    <cfRule type="cellIs" dxfId="27" priority="1" operator="equal">
      <formula>"J"</formula>
    </cfRule>
    <cfRule type="cellIs" dxfId="26" priority="2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6203-ABE8-DB44-BE18-EFEDDEF147EB}">
  <dimension ref="A1:T218"/>
  <sheetViews>
    <sheetView workbookViewId="0">
      <selection activeCell="G120" sqref="G120"/>
    </sheetView>
  </sheetViews>
  <sheetFormatPr baseColWidth="10" defaultRowHeight="16" x14ac:dyDescent="0.2"/>
  <cols>
    <col min="2" max="2" width="17.6640625" bestFit="1" customWidth="1"/>
    <col min="3" max="3" width="15" bestFit="1" customWidth="1"/>
    <col min="5" max="5" width="7.83203125" bestFit="1" customWidth="1"/>
    <col min="6" max="6" width="22.1640625" bestFit="1" customWidth="1"/>
    <col min="7" max="7" width="9.5" bestFit="1" customWidth="1"/>
    <col min="8" max="8" width="8.83203125" bestFit="1" customWidth="1"/>
    <col min="9" max="9" width="13" bestFit="1" customWidth="1"/>
    <col min="10" max="10" width="10.33203125" bestFit="1" customWidth="1"/>
    <col min="11" max="11" width="13.83203125" bestFit="1" customWidth="1"/>
    <col min="12" max="12" width="14.5" bestFit="1" customWidth="1"/>
    <col min="13" max="13" width="14.1640625" bestFit="1" customWidth="1"/>
    <col min="14" max="14" width="17.83203125" bestFit="1" customWidth="1"/>
    <col min="15" max="15" width="7.5" bestFit="1" customWidth="1"/>
    <col min="16" max="16" width="9.1640625" bestFit="1" customWidth="1"/>
    <col min="17" max="17" width="7.83203125" bestFit="1" customWidth="1"/>
    <col min="18" max="18" width="7.6640625" bestFit="1" customWidth="1"/>
    <col min="19" max="19" width="16.83203125" bestFit="1" customWidth="1"/>
    <col min="20" max="20" width="19.33203125" bestFit="1" customWidth="1"/>
  </cols>
  <sheetData>
    <row r="1" spans="1:20" x14ac:dyDescent="0.2">
      <c r="A1" t="s">
        <v>81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82</v>
      </c>
      <c r="T1" t="s">
        <v>83</v>
      </c>
    </row>
    <row r="2" spans="1:20" hidden="1" x14ac:dyDescent="0.2">
      <c r="A2">
        <v>1</v>
      </c>
      <c r="B2" t="s">
        <v>17</v>
      </c>
      <c r="C2" t="s">
        <v>18</v>
      </c>
      <c r="D2" t="s">
        <v>19</v>
      </c>
      <c r="E2">
        <v>0</v>
      </c>
      <c r="F2">
        <v>1</v>
      </c>
      <c r="G2">
        <v>1</v>
      </c>
      <c r="H2" t="s">
        <v>25</v>
      </c>
      <c r="I2" t="s">
        <v>84</v>
      </c>
      <c r="J2" t="s">
        <v>85</v>
      </c>
      <c r="K2" t="s">
        <v>85</v>
      </c>
      <c r="L2" t="s">
        <v>85</v>
      </c>
      <c r="M2" t="s">
        <v>27</v>
      </c>
      <c r="N2" t="s">
        <v>86</v>
      </c>
      <c r="O2" t="s">
        <v>28</v>
      </c>
      <c r="P2">
        <v>400</v>
      </c>
      <c r="Q2">
        <v>70</v>
      </c>
      <c r="R2">
        <v>15</v>
      </c>
      <c r="S2" t="s">
        <v>87</v>
      </c>
      <c r="T2" t="s">
        <v>18</v>
      </c>
    </row>
    <row r="3" spans="1:20" hidden="1" x14ac:dyDescent="0.2">
      <c r="A3">
        <v>2</v>
      </c>
      <c r="B3" t="s">
        <v>17</v>
      </c>
      <c r="C3" t="s">
        <v>18</v>
      </c>
      <c r="D3" t="s">
        <v>19</v>
      </c>
      <c r="E3">
        <v>14</v>
      </c>
      <c r="F3">
        <v>1</v>
      </c>
      <c r="G3">
        <v>1</v>
      </c>
      <c r="H3" t="s">
        <v>25</v>
      </c>
      <c r="I3" t="s">
        <v>88</v>
      </c>
      <c r="J3" t="s">
        <v>89</v>
      </c>
      <c r="K3" t="s">
        <v>89</v>
      </c>
      <c r="L3" t="s">
        <v>89</v>
      </c>
      <c r="M3" t="s">
        <v>12</v>
      </c>
      <c r="N3" t="s">
        <v>86</v>
      </c>
      <c r="O3" t="s">
        <v>28</v>
      </c>
      <c r="P3">
        <v>400</v>
      </c>
      <c r="Q3">
        <v>70</v>
      </c>
      <c r="R3">
        <v>15</v>
      </c>
      <c r="S3" t="s">
        <v>90</v>
      </c>
      <c r="T3" t="s">
        <v>18</v>
      </c>
    </row>
    <row r="4" spans="1:20" hidden="1" x14ac:dyDescent="0.2">
      <c r="A4">
        <v>3</v>
      </c>
      <c r="B4" t="s">
        <v>17</v>
      </c>
      <c r="C4" t="s">
        <v>18</v>
      </c>
      <c r="D4" t="s">
        <v>19</v>
      </c>
      <c r="E4">
        <v>28</v>
      </c>
      <c r="F4">
        <v>1</v>
      </c>
      <c r="G4">
        <v>1</v>
      </c>
      <c r="H4" t="s">
        <v>25</v>
      </c>
      <c r="I4" t="s">
        <v>91</v>
      </c>
      <c r="J4" t="s">
        <v>85</v>
      </c>
      <c r="K4" t="s">
        <v>85</v>
      </c>
      <c r="L4" t="s">
        <v>85</v>
      </c>
      <c r="M4" t="s">
        <v>27</v>
      </c>
      <c r="N4" t="s">
        <v>86</v>
      </c>
      <c r="O4" t="s">
        <v>28</v>
      </c>
      <c r="P4">
        <v>400</v>
      </c>
      <c r="Q4">
        <v>70</v>
      </c>
      <c r="R4">
        <v>15</v>
      </c>
      <c r="S4" t="s">
        <v>92</v>
      </c>
      <c r="T4" t="s">
        <v>18</v>
      </c>
    </row>
    <row r="5" spans="1:20" hidden="1" x14ac:dyDescent="0.2">
      <c r="A5">
        <v>4</v>
      </c>
      <c r="B5" t="s">
        <v>17</v>
      </c>
      <c r="C5" t="s">
        <v>18</v>
      </c>
      <c r="D5" t="s">
        <v>19</v>
      </c>
      <c r="E5">
        <v>42</v>
      </c>
      <c r="F5">
        <v>1</v>
      </c>
      <c r="G5">
        <v>1</v>
      </c>
      <c r="H5" t="s">
        <v>25</v>
      </c>
      <c r="I5" t="s">
        <v>93</v>
      </c>
      <c r="J5" t="s">
        <v>89</v>
      </c>
      <c r="K5" t="s">
        <v>89</v>
      </c>
      <c r="L5" t="s">
        <v>89</v>
      </c>
      <c r="M5" t="s">
        <v>12</v>
      </c>
      <c r="N5" t="s">
        <v>86</v>
      </c>
      <c r="O5" t="s">
        <v>28</v>
      </c>
      <c r="P5">
        <v>400</v>
      </c>
      <c r="Q5">
        <v>70</v>
      </c>
      <c r="R5">
        <v>15</v>
      </c>
      <c r="S5" t="s">
        <v>94</v>
      </c>
      <c r="T5" t="s">
        <v>18</v>
      </c>
    </row>
    <row r="6" spans="1:20" hidden="1" x14ac:dyDescent="0.2">
      <c r="A6">
        <v>5</v>
      </c>
      <c r="B6" t="s">
        <v>17</v>
      </c>
      <c r="C6" t="s">
        <v>18</v>
      </c>
      <c r="D6" t="s">
        <v>19</v>
      </c>
      <c r="E6">
        <v>56</v>
      </c>
      <c r="F6">
        <v>1</v>
      </c>
      <c r="G6">
        <v>1</v>
      </c>
      <c r="H6" t="s">
        <v>25</v>
      </c>
      <c r="I6" t="s">
        <v>95</v>
      </c>
      <c r="J6" t="s">
        <v>85</v>
      </c>
      <c r="K6" t="s">
        <v>85</v>
      </c>
      <c r="L6" t="s">
        <v>85</v>
      </c>
      <c r="M6" t="s">
        <v>27</v>
      </c>
      <c r="N6" t="s">
        <v>86</v>
      </c>
      <c r="O6" t="s">
        <v>28</v>
      </c>
      <c r="P6">
        <v>400</v>
      </c>
      <c r="Q6">
        <v>70</v>
      </c>
      <c r="R6">
        <v>15</v>
      </c>
      <c r="S6" t="s">
        <v>96</v>
      </c>
      <c r="T6" t="s">
        <v>18</v>
      </c>
    </row>
    <row r="7" spans="1:20" hidden="1" x14ac:dyDescent="0.2">
      <c r="A7">
        <v>6</v>
      </c>
      <c r="B7" t="s">
        <v>17</v>
      </c>
      <c r="C7" t="s">
        <v>18</v>
      </c>
      <c r="D7" t="s">
        <v>19</v>
      </c>
      <c r="E7">
        <v>70</v>
      </c>
      <c r="F7">
        <v>1</v>
      </c>
      <c r="G7">
        <v>1</v>
      </c>
      <c r="H7" t="s">
        <v>25</v>
      </c>
      <c r="I7" t="s">
        <v>97</v>
      </c>
      <c r="J7" t="s">
        <v>89</v>
      </c>
      <c r="K7" t="s">
        <v>89</v>
      </c>
      <c r="L7" t="s">
        <v>89</v>
      </c>
      <c r="M7" t="s">
        <v>12</v>
      </c>
      <c r="N7" t="s">
        <v>86</v>
      </c>
      <c r="O7" t="s">
        <v>28</v>
      </c>
      <c r="P7">
        <v>400</v>
      </c>
      <c r="Q7">
        <v>70</v>
      </c>
      <c r="R7">
        <v>15</v>
      </c>
      <c r="S7" t="s">
        <v>98</v>
      </c>
      <c r="T7" t="s">
        <v>18</v>
      </c>
    </row>
    <row r="8" spans="1:20" hidden="1" x14ac:dyDescent="0.2">
      <c r="A8">
        <v>7</v>
      </c>
      <c r="B8" t="s">
        <v>17</v>
      </c>
      <c r="C8" t="s">
        <v>18</v>
      </c>
      <c r="D8" t="s">
        <v>19</v>
      </c>
      <c r="E8">
        <v>84</v>
      </c>
      <c r="F8">
        <v>1</v>
      </c>
      <c r="G8">
        <v>1</v>
      </c>
      <c r="H8" t="s">
        <v>25</v>
      </c>
      <c r="I8" t="s">
        <v>99</v>
      </c>
      <c r="J8" t="s">
        <v>85</v>
      </c>
      <c r="K8" t="s">
        <v>85</v>
      </c>
      <c r="L8" t="s">
        <v>85</v>
      </c>
      <c r="M8" t="s">
        <v>27</v>
      </c>
      <c r="N8" t="s">
        <v>86</v>
      </c>
      <c r="O8" t="s">
        <v>28</v>
      </c>
      <c r="P8">
        <v>400</v>
      </c>
      <c r="Q8">
        <v>70</v>
      </c>
      <c r="R8">
        <v>15</v>
      </c>
      <c r="S8" t="s">
        <v>100</v>
      </c>
      <c r="T8" t="s">
        <v>18</v>
      </c>
    </row>
    <row r="9" spans="1:20" hidden="1" x14ac:dyDescent="0.2">
      <c r="A9">
        <v>8</v>
      </c>
      <c r="B9" t="s">
        <v>17</v>
      </c>
      <c r="C9" t="s">
        <v>18</v>
      </c>
      <c r="D9" t="s">
        <v>19</v>
      </c>
      <c r="E9">
        <v>98</v>
      </c>
      <c r="F9">
        <v>1</v>
      </c>
      <c r="G9">
        <v>1</v>
      </c>
      <c r="H9" t="s">
        <v>26</v>
      </c>
      <c r="I9" t="s">
        <v>101</v>
      </c>
      <c r="J9" t="s">
        <v>89</v>
      </c>
      <c r="K9" t="s">
        <v>89</v>
      </c>
      <c r="L9" t="s">
        <v>89</v>
      </c>
      <c r="M9" t="s">
        <v>12</v>
      </c>
      <c r="N9" t="s">
        <v>86</v>
      </c>
      <c r="O9" t="s">
        <v>28</v>
      </c>
      <c r="P9">
        <v>400</v>
      </c>
      <c r="Q9">
        <v>70</v>
      </c>
      <c r="R9">
        <v>15</v>
      </c>
      <c r="S9" t="s">
        <v>102</v>
      </c>
      <c r="T9" t="s">
        <v>18</v>
      </c>
    </row>
    <row r="10" spans="1:20" hidden="1" x14ac:dyDescent="0.2">
      <c r="A10">
        <v>9</v>
      </c>
      <c r="B10" t="s">
        <v>17</v>
      </c>
      <c r="C10" t="s">
        <v>18</v>
      </c>
      <c r="D10" t="s">
        <v>19</v>
      </c>
      <c r="E10">
        <v>112</v>
      </c>
      <c r="F10">
        <v>1</v>
      </c>
      <c r="G10">
        <v>1</v>
      </c>
      <c r="H10" t="s">
        <v>26</v>
      </c>
      <c r="I10" t="s">
        <v>103</v>
      </c>
      <c r="J10" t="s">
        <v>85</v>
      </c>
      <c r="K10" t="s">
        <v>85</v>
      </c>
      <c r="L10" t="s">
        <v>85</v>
      </c>
      <c r="M10" t="s">
        <v>27</v>
      </c>
      <c r="N10" t="s">
        <v>86</v>
      </c>
      <c r="O10" t="s">
        <v>28</v>
      </c>
      <c r="P10">
        <v>400</v>
      </c>
      <c r="Q10">
        <v>70</v>
      </c>
      <c r="R10">
        <v>15</v>
      </c>
      <c r="S10" t="s">
        <v>104</v>
      </c>
      <c r="T10" t="s">
        <v>18</v>
      </c>
    </row>
    <row r="11" spans="1:20" hidden="1" x14ac:dyDescent="0.2">
      <c r="A11">
        <v>10</v>
      </c>
      <c r="B11" t="s">
        <v>17</v>
      </c>
      <c r="C11" t="s">
        <v>18</v>
      </c>
      <c r="D11" t="s">
        <v>19</v>
      </c>
      <c r="E11">
        <v>126</v>
      </c>
      <c r="F11">
        <v>1</v>
      </c>
      <c r="G11">
        <v>1</v>
      </c>
      <c r="H11" t="s">
        <v>26</v>
      </c>
      <c r="I11" t="s">
        <v>105</v>
      </c>
      <c r="J11" t="s">
        <v>89</v>
      </c>
      <c r="K11" t="s">
        <v>89</v>
      </c>
      <c r="L11" t="s">
        <v>89</v>
      </c>
      <c r="M11" t="s">
        <v>12</v>
      </c>
      <c r="N11" t="s">
        <v>86</v>
      </c>
      <c r="O11" t="s">
        <v>28</v>
      </c>
      <c r="P11">
        <v>400</v>
      </c>
      <c r="Q11">
        <v>70</v>
      </c>
      <c r="R11">
        <v>15</v>
      </c>
      <c r="S11" t="s">
        <v>106</v>
      </c>
      <c r="T11" t="s">
        <v>18</v>
      </c>
    </row>
    <row r="12" spans="1:20" hidden="1" x14ac:dyDescent="0.2">
      <c r="A12">
        <v>11</v>
      </c>
      <c r="B12" t="s">
        <v>17</v>
      </c>
      <c r="C12" t="s">
        <v>18</v>
      </c>
      <c r="D12" t="s">
        <v>19</v>
      </c>
      <c r="E12">
        <v>140</v>
      </c>
      <c r="F12">
        <v>1</v>
      </c>
      <c r="G12">
        <v>1</v>
      </c>
      <c r="H12" t="s">
        <v>26</v>
      </c>
      <c r="I12" t="s">
        <v>107</v>
      </c>
      <c r="J12" t="s">
        <v>85</v>
      </c>
      <c r="K12" t="s">
        <v>85</v>
      </c>
      <c r="L12" t="s">
        <v>85</v>
      </c>
      <c r="M12" t="s">
        <v>27</v>
      </c>
      <c r="N12" t="s">
        <v>86</v>
      </c>
      <c r="O12" t="s">
        <v>28</v>
      </c>
      <c r="P12">
        <v>400</v>
      </c>
      <c r="Q12">
        <v>70</v>
      </c>
      <c r="R12">
        <v>15</v>
      </c>
      <c r="S12" t="s">
        <v>108</v>
      </c>
      <c r="T12" t="s">
        <v>18</v>
      </c>
    </row>
    <row r="13" spans="1:20" hidden="1" x14ac:dyDescent="0.2">
      <c r="A13">
        <v>12</v>
      </c>
      <c r="B13" t="s">
        <v>17</v>
      </c>
      <c r="C13" t="s">
        <v>18</v>
      </c>
      <c r="D13" t="s">
        <v>19</v>
      </c>
      <c r="E13">
        <v>154</v>
      </c>
      <c r="F13">
        <v>1</v>
      </c>
      <c r="G13">
        <v>1</v>
      </c>
      <c r="H13" t="s">
        <v>26</v>
      </c>
      <c r="I13" t="s">
        <v>109</v>
      </c>
      <c r="J13" t="s">
        <v>89</v>
      </c>
      <c r="K13" t="s">
        <v>89</v>
      </c>
      <c r="L13" t="s">
        <v>89</v>
      </c>
      <c r="M13" t="s">
        <v>12</v>
      </c>
      <c r="N13" t="s">
        <v>86</v>
      </c>
      <c r="O13" t="s">
        <v>28</v>
      </c>
      <c r="P13">
        <v>400</v>
      </c>
      <c r="Q13">
        <v>70</v>
      </c>
      <c r="R13">
        <v>15</v>
      </c>
      <c r="S13" t="s">
        <v>110</v>
      </c>
      <c r="T13" t="s">
        <v>18</v>
      </c>
    </row>
    <row r="14" spans="1:20" hidden="1" x14ac:dyDescent="0.2">
      <c r="A14">
        <v>13</v>
      </c>
      <c r="B14" t="s">
        <v>17</v>
      </c>
      <c r="C14" t="s">
        <v>18</v>
      </c>
      <c r="D14" t="s">
        <v>19</v>
      </c>
      <c r="E14">
        <v>168</v>
      </c>
      <c r="F14">
        <v>1</v>
      </c>
      <c r="G14">
        <v>1</v>
      </c>
      <c r="H14" t="s">
        <v>26</v>
      </c>
      <c r="I14" t="s">
        <v>111</v>
      </c>
      <c r="J14" t="s">
        <v>85</v>
      </c>
      <c r="K14" t="s">
        <v>85</v>
      </c>
      <c r="L14" t="s">
        <v>85</v>
      </c>
      <c r="M14" t="s">
        <v>27</v>
      </c>
      <c r="N14" t="s">
        <v>86</v>
      </c>
      <c r="O14" t="s">
        <v>28</v>
      </c>
      <c r="P14">
        <v>400</v>
      </c>
      <c r="Q14">
        <v>70</v>
      </c>
      <c r="R14">
        <v>15</v>
      </c>
      <c r="S14" t="s">
        <v>112</v>
      </c>
      <c r="T14" t="s">
        <v>18</v>
      </c>
    </row>
    <row r="15" spans="1:20" hidden="1" x14ac:dyDescent="0.2">
      <c r="A15">
        <v>14</v>
      </c>
      <c r="B15" t="s">
        <v>17</v>
      </c>
      <c r="C15" t="s">
        <v>18</v>
      </c>
      <c r="D15" t="s">
        <v>19</v>
      </c>
      <c r="E15">
        <v>182</v>
      </c>
      <c r="F15">
        <v>1</v>
      </c>
      <c r="G15">
        <v>1</v>
      </c>
      <c r="H15" t="s">
        <v>26</v>
      </c>
      <c r="I15" t="s">
        <v>113</v>
      </c>
      <c r="J15" t="s">
        <v>89</v>
      </c>
      <c r="K15" t="s">
        <v>89</v>
      </c>
      <c r="L15" t="s">
        <v>89</v>
      </c>
      <c r="M15" t="s">
        <v>12</v>
      </c>
      <c r="N15" t="s">
        <v>86</v>
      </c>
      <c r="O15" t="s">
        <v>28</v>
      </c>
      <c r="P15">
        <v>400</v>
      </c>
      <c r="Q15">
        <v>70</v>
      </c>
      <c r="R15">
        <v>15</v>
      </c>
      <c r="S15" t="s">
        <v>114</v>
      </c>
      <c r="T15" t="s">
        <v>18</v>
      </c>
    </row>
    <row r="16" spans="1:20" hidden="1" x14ac:dyDescent="0.2">
      <c r="A16">
        <v>15</v>
      </c>
      <c r="B16" t="s">
        <v>17</v>
      </c>
      <c r="C16" t="s">
        <v>18</v>
      </c>
      <c r="D16" t="s">
        <v>19</v>
      </c>
      <c r="E16">
        <v>196</v>
      </c>
      <c r="F16">
        <v>1</v>
      </c>
      <c r="G16">
        <v>1</v>
      </c>
      <c r="H16" t="s">
        <v>26</v>
      </c>
      <c r="I16" t="s">
        <v>115</v>
      </c>
      <c r="J16" t="s">
        <v>85</v>
      </c>
      <c r="K16" t="s">
        <v>85</v>
      </c>
      <c r="L16" t="s">
        <v>85</v>
      </c>
      <c r="M16" t="s">
        <v>27</v>
      </c>
      <c r="N16" t="s">
        <v>86</v>
      </c>
      <c r="O16" t="s">
        <v>28</v>
      </c>
      <c r="P16">
        <v>400</v>
      </c>
      <c r="Q16">
        <v>70</v>
      </c>
      <c r="R16">
        <v>15</v>
      </c>
      <c r="S16" t="s">
        <v>116</v>
      </c>
      <c r="T16" t="s">
        <v>18</v>
      </c>
    </row>
    <row r="17" spans="1:20" hidden="1" x14ac:dyDescent="0.2">
      <c r="A17">
        <v>16</v>
      </c>
      <c r="B17" t="s">
        <v>17</v>
      </c>
      <c r="C17" t="s">
        <v>18</v>
      </c>
      <c r="D17" t="s">
        <v>19</v>
      </c>
      <c r="E17">
        <v>210</v>
      </c>
      <c r="F17">
        <v>1</v>
      </c>
      <c r="G17">
        <v>1</v>
      </c>
      <c r="H17" t="s">
        <v>26</v>
      </c>
      <c r="I17" t="s">
        <v>117</v>
      </c>
      <c r="J17" t="s">
        <v>89</v>
      </c>
      <c r="K17" t="s">
        <v>89</v>
      </c>
      <c r="L17" t="s">
        <v>89</v>
      </c>
      <c r="M17" t="s">
        <v>12</v>
      </c>
      <c r="N17" t="s">
        <v>86</v>
      </c>
      <c r="O17" t="s">
        <v>28</v>
      </c>
      <c r="P17">
        <v>400</v>
      </c>
      <c r="Q17">
        <v>70</v>
      </c>
      <c r="R17">
        <v>15</v>
      </c>
      <c r="S17" t="s">
        <v>118</v>
      </c>
      <c r="T17" t="s">
        <v>18</v>
      </c>
    </row>
    <row r="18" spans="1:20" hidden="1" x14ac:dyDescent="0.2">
      <c r="A18">
        <v>17</v>
      </c>
      <c r="B18" t="s">
        <v>17</v>
      </c>
      <c r="C18" t="s">
        <v>18</v>
      </c>
      <c r="D18" t="s">
        <v>19</v>
      </c>
      <c r="E18">
        <v>224</v>
      </c>
      <c r="F18">
        <v>1</v>
      </c>
      <c r="G18">
        <v>1</v>
      </c>
      <c r="H18" t="s">
        <v>26</v>
      </c>
      <c r="I18" t="s">
        <v>119</v>
      </c>
      <c r="J18" t="s">
        <v>85</v>
      </c>
      <c r="K18" t="s">
        <v>85</v>
      </c>
      <c r="L18" t="s">
        <v>85</v>
      </c>
      <c r="M18" t="s">
        <v>27</v>
      </c>
      <c r="N18" t="s">
        <v>86</v>
      </c>
      <c r="O18" t="s">
        <v>28</v>
      </c>
      <c r="P18">
        <v>400</v>
      </c>
      <c r="Q18">
        <v>70</v>
      </c>
      <c r="R18">
        <v>15</v>
      </c>
      <c r="S18" t="s">
        <v>120</v>
      </c>
      <c r="T18" t="s">
        <v>18</v>
      </c>
    </row>
    <row r="19" spans="1:20" hidden="1" x14ac:dyDescent="0.2">
      <c r="A19">
        <v>18</v>
      </c>
      <c r="B19" t="s">
        <v>17</v>
      </c>
      <c r="C19" t="s">
        <v>18</v>
      </c>
      <c r="D19" t="s">
        <v>19</v>
      </c>
      <c r="E19">
        <v>238</v>
      </c>
      <c r="F19">
        <v>1</v>
      </c>
      <c r="G19">
        <v>1</v>
      </c>
      <c r="H19" t="s">
        <v>26</v>
      </c>
      <c r="I19" t="s">
        <v>121</v>
      </c>
      <c r="J19" t="s">
        <v>89</v>
      </c>
      <c r="K19" t="s">
        <v>89</v>
      </c>
      <c r="L19" t="s">
        <v>89</v>
      </c>
      <c r="M19" t="s">
        <v>12</v>
      </c>
      <c r="N19" t="s">
        <v>86</v>
      </c>
      <c r="O19" t="s">
        <v>28</v>
      </c>
      <c r="P19">
        <v>400</v>
      </c>
      <c r="Q19">
        <v>70</v>
      </c>
      <c r="R19">
        <v>15</v>
      </c>
      <c r="S19" t="s">
        <v>122</v>
      </c>
      <c r="T19" t="s">
        <v>18</v>
      </c>
    </row>
    <row r="20" spans="1:20" hidden="1" x14ac:dyDescent="0.2">
      <c r="A20">
        <v>19</v>
      </c>
      <c r="B20" t="s">
        <v>17</v>
      </c>
      <c r="C20" t="s">
        <v>18</v>
      </c>
      <c r="D20" t="s">
        <v>19</v>
      </c>
      <c r="E20">
        <v>252</v>
      </c>
      <c r="F20">
        <v>1</v>
      </c>
      <c r="G20">
        <v>1</v>
      </c>
      <c r="H20" t="s">
        <v>26</v>
      </c>
      <c r="I20" t="s">
        <v>123</v>
      </c>
      <c r="J20" t="s">
        <v>85</v>
      </c>
      <c r="K20" t="s">
        <v>85</v>
      </c>
      <c r="L20" t="s">
        <v>85</v>
      </c>
      <c r="M20" t="s">
        <v>27</v>
      </c>
      <c r="N20" t="s">
        <v>86</v>
      </c>
      <c r="O20" t="s">
        <v>28</v>
      </c>
      <c r="P20">
        <v>400</v>
      </c>
      <c r="Q20">
        <v>70</v>
      </c>
      <c r="R20">
        <v>15</v>
      </c>
      <c r="S20" t="s">
        <v>124</v>
      </c>
      <c r="T20" t="s">
        <v>18</v>
      </c>
    </row>
    <row r="21" spans="1:20" hidden="1" x14ac:dyDescent="0.2">
      <c r="A21">
        <v>20</v>
      </c>
      <c r="B21" t="s">
        <v>17</v>
      </c>
      <c r="C21" t="s">
        <v>18</v>
      </c>
      <c r="D21" t="s">
        <v>19</v>
      </c>
      <c r="E21">
        <v>266</v>
      </c>
      <c r="F21">
        <v>1</v>
      </c>
      <c r="G21">
        <v>1</v>
      </c>
      <c r="H21" t="s">
        <v>26</v>
      </c>
      <c r="I21" t="s">
        <v>125</v>
      </c>
      <c r="J21" t="s">
        <v>89</v>
      </c>
      <c r="K21" t="s">
        <v>89</v>
      </c>
      <c r="L21" t="s">
        <v>89</v>
      </c>
      <c r="M21" t="s">
        <v>12</v>
      </c>
      <c r="N21" t="s">
        <v>86</v>
      </c>
      <c r="O21" t="s">
        <v>28</v>
      </c>
      <c r="P21">
        <v>400</v>
      </c>
      <c r="Q21">
        <v>70</v>
      </c>
      <c r="R21">
        <v>15</v>
      </c>
      <c r="S21" t="s">
        <v>126</v>
      </c>
      <c r="T21" t="s">
        <v>18</v>
      </c>
    </row>
    <row r="22" spans="1:20" hidden="1" x14ac:dyDescent="0.2">
      <c r="A22">
        <v>21</v>
      </c>
      <c r="B22" t="s">
        <v>17</v>
      </c>
      <c r="C22" t="s">
        <v>18</v>
      </c>
      <c r="D22" t="s">
        <v>19</v>
      </c>
      <c r="E22">
        <v>280</v>
      </c>
      <c r="F22">
        <v>1</v>
      </c>
      <c r="G22">
        <v>1</v>
      </c>
      <c r="H22" t="s">
        <v>26</v>
      </c>
      <c r="I22" t="s">
        <v>127</v>
      </c>
      <c r="J22" t="s">
        <v>85</v>
      </c>
      <c r="K22" t="s">
        <v>85</v>
      </c>
      <c r="L22" t="s">
        <v>85</v>
      </c>
      <c r="M22" t="s">
        <v>27</v>
      </c>
      <c r="N22" t="s">
        <v>86</v>
      </c>
      <c r="O22" t="s">
        <v>28</v>
      </c>
      <c r="P22">
        <v>400</v>
      </c>
      <c r="Q22">
        <v>70</v>
      </c>
      <c r="R22">
        <v>15</v>
      </c>
      <c r="S22" t="s">
        <v>128</v>
      </c>
      <c r="T22" t="s">
        <v>18</v>
      </c>
    </row>
    <row r="23" spans="1:20" hidden="1" x14ac:dyDescent="0.2">
      <c r="A23">
        <v>22</v>
      </c>
      <c r="B23" t="s">
        <v>17</v>
      </c>
      <c r="C23" t="s">
        <v>18</v>
      </c>
      <c r="D23" t="s">
        <v>19</v>
      </c>
      <c r="E23">
        <v>294</v>
      </c>
      <c r="F23">
        <v>1</v>
      </c>
      <c r="G23">
        <v>1</v>
      </c>
      <c r="H23" t="s">
        <v>26</v>
      </c>
      <c r="I23" t="s">
        <v>129</v>
      </c>
      <c r="J23" t="s">
        <v>89</v>
      </c>
      <c r="K23" t="s">
        <v>89</v>
      </c>
      <c r="L23" t="s">
        <v>89</v>
      </c>
      <c r="M23" t="s">
        <v>12</v>
      </c>
      <c r="N23" t="s">
        <v>86</v>
      </c>
      <c r="O23" t="s">
        <v>28</v>
      </c>
      <c r="P23">
        <v>400</v>
      </c>
      <c r="Q23">
        <v>70</v>
      </c>
      <c r="R23">
        <v>15</v>
      </c>
      <c r="S23" t="s">
        <v>130</v>
      </c>
      <c r="T23" t="s">
        <v>18</v>
      </c>
    </row>
    <row r="24" spans="1:20" hidden="1" x14ac:dyDescent="0.2">
      <c r="A24">
        <v>23</v>
      </c>
      <c r="B24" t="s">
        <v>17</v>
      </c>
      <c r="C24" t="s">
        <v>18</v>
      </c>
      <c r="D24" t="s">
        <v>19</v>
      </c>
      <c r="E24">
        <v>308</v>
      </c>
      <c r="F24">
        <v>1</v>
      </c>
      <c r="G24">
        <v>1</v>
      </c>
      <c r="H24" t="s">
        <v>26</v>
      </c>
      <c r="I24" t="s">
        <v>131</v>
      </c>
      <c r="J24" t="s">
        <v>85</v>
      </c>
      <c r="K24" t="s">
        <v>85</v>
      </c>
      <c r="L24" t="s">
        <v>85</v>
      </c>
      <c r="M24" t="s">
        <v>27</v>
      </c>
      <c r="N24" t="s">
        <v>86</v>
      </c>
      <c r="O24" t="s">
        <v>28</v>
      </c>
      <c r="P24">
        <v>400</v>
      </c>
      <c r="Q24">
        <v>70</v>
      </c>
      <c r="R24">
        <v>15</v>
      </c>
      <c r="S24" t="s">
        <v>132</v>
      </c>
      <c r="T24" t="s">
        <v>18</v>
      </c>
    </row>
    <row r="25" spans="1:20" hidden="1" x14ac:dyDescent="0.2">
      <c r="A25">
        <v>24</v>
      </c>
      <c r="B25" t="s">
        <v>17</v>
      </c>
      <c r="C25" t="s">
        <v>18</v>
      </c>
      <c r="D25" t="s">
        <v>19</v>
      </c>
      <c r="E25">
        <v>322</v>
      </c>
      <c r="F25">
        <v>1</v>
      </c>
      <c r="G25">
        <v>1</v>
      </c>
      <c r="H25" t="s">
        <v>26</v>
      </c>
      <c r="I25" t="s">
        <v>133</v>
      </c>
      <c r="J25" t="s">
        <v>89</v>
      </c>
      <c r="K25" t="s">
        <v>89</v>
      </c>
      <c r="L25" t="s">
        <v>89</v>
      </c>
      <c r="M25" t="s">
        <v>12</v>
      </c>
      <c r="N25" t="s">
        <v>86</v>
      </c>
      <c r="O25" t="s">
        <v>28</v>
      </c>
      <c r="P25">
        <v>400</v>
      </c>
      <c r="Q25">
        <v>70</v>
      </c>
      <c r="R25">
        <v>15</v>
      </c>
      <c r="S25" t="s">
        <v>134</v>
      </c>
      <c r="T25" t="s">
        <v>18</v>
      </c>
    </row>
    <row r="26" spans="1:20" hidden="1" x14ac:dyDescent="0.2">
      <c r="A26">
        <v>25</v>
      </c>
      <c r="B26" t="s">
        <v>17</v>
      </c>
      <c r="C26" t="s">
        <v>18</v>
      </c>
      <c r="D26" t="s">
        <v>19</v>
      </c>
      <c r="E26">
        <v>336</v>
      </c>
      <c r="F26">
        <v>1</v>
      </c>
      <c r="G26">
        <v>1</v>
      </c>
      <c r="H26" t="s">
        <v>26</v>
      </c>
      <c r="I26" t="s">
        <v>135</v>
      </c>
      <c r="J26" t="s">
        <v>85</v>
      </c>
      <c r="K26" t="s">
        <v>85</v>
      </c>
      <c r="L26" t="s">
        <v>85</v>
      </c>
      <c r="M26" t="s">
        <v>27</v>
      </c>
      <c r="N26" t="s">
        <v>86</v>
      </c>
      <c r="O26" t="s">
        <v>28</v>
      </c>
      <c r="P26">
        <v>400</v>
      </c>
      <c r="Q26">
        <v>70</v>
      </c>
      <c r="R26">
        <v>15</v>
      </c>
      <c r="S26" t="s">
        <v>136</v>
      </c>
      <c r="T26" t="s">
        <v>18</v>
      </c>
    </row>
    <row r="27" spans="1:20" hidden="1" x14ac:dyDescent="0.2">
      <c r="A27">
        <v>26</v>
      </c>
      <c r="B27" t="s">
        <v>17</v>
      </c>
      <c r="C27" t="s">
        <v>18</v>
      </c>
      <c r="D27" t="s">
        <v>19</v>
      </c>
      <c r="E27">
        <v>350</v>
      </c>
      <c r="F27">
        <v>1</v>
      </c>
      <c r="G27">
        <v>1</v>
      </c>
      <c r="H27" t="s">
        <v>26</v>
      </c>
      <c r="I27" t="s">
        <v>137</v>
      </c>
      <c r="J27" t="s">
        <v>89</v>
      </c>
      <c r="K27" t="s">
        <v>89</v>
      </c>
      <c r="L27" t="s">
        <v>89</v>
      </c>
      <c r="M27" t="s">
        <v>12</v>
      </c>
      <c r="N27" t="s">
        <v>86</v>
      </c>
      <c r="O27" t="s">
        <v>28</v>
      </c>
      <c r="P27">
        <v>400</v>
      </c>
      <c r="Q27">
        <v>70</v>
      </c>
      <c r="R27">
        <v>15</v>
      </c>
      <c r="S27" t="s">
        <v>138</v>
      </c>
      <c r="T27" t="s">
        <v>18</v>
      </c>
    </row>
    <row r="28" spans="1:20" hidden="1" x14ac:dyDescent="0.2">
      <c r="A28">
        <v>27</v>
      </c>
      <c r="B28" t="s">
        <v>17</v>
      </c>
      <c r="C28" t="s">
        <v>18</v>
      </c>
      <c r="D28" t="s">
        <v>19</v>
      </c>
      <c r="E28">
        <v>364</v>
      </c>
      <c r="F28">
        <v>1</v>
      </c>
      <c r="G28">
        <v>1</v>
      </c>
      <c r="H28" t="s">
        <v>26</v>
      </c>
      <c r="I28" t="s">
        <v>139</v>
      </c>
      <c r="J28" t="s">
        <v>85</v>
      </c>
      <c r="K28" t="s">
        <v>85</v>
      </c>
      <c r="L28" t="s">
        <v>85</v>
      </c>
      <c r="M28" t="s">
        <v>29</v>
      </c>
      <c r="N28" t="s">
        <v>86</v>
      </c>
      <c r="O28" t="s">
        <v>28</v>
      </c>
      <c r="P28">
        <v>400</v>
      </c>
      <c r="Q28">
        <v>70</v>
      </c>
      <c r="R28">
        <v>15</v>
      </c>
      <c r="S28" t="s">
        <v>140</v>
      </c>
      <c r="T28" t="s">
        <v>18</v>
      </c>
    </row>
    <row r="29" spans="1:20" hidden="1" x14ac:dyDescent="0.2">
      <c r="A29">
        <v>28</v>
      </c>
      <c r="B29" t="s">
        <v>17</v>
      </c>
      <c r="C29" t="s">
        <v>24</v>
      </c>
      <c r="D29" t="s">
        <v>30</v>
      </c>
      <c r="E29">
        <v>0</v>
      </c>
      <c r="F29">
        <v>1</v>
      </c>
      <c r="G29">
        <v>1</v>
      </c>
      <c r="H29" t="s">
        <v>25</v>
      </c>
      <c r="I29" t="s">
        <v>141</v>
      </c>
      <c r="J29" t="s">
        <v>85</v>
      </c>
      <c r="K29" t="s">
        <v>85</v>
      </c>
      <c r="L29" t="s">
        <v>85</v>
      </c>
      <c r="M29" t="s">
        <v>27</v>
      </c>
      <c r="N29" t="s">
        <v>86</v>
      </c>
      <c r="O29" t="s">
        <v>28</v>
      </c>
      <c r="P29">
        <v>400</v>
      </c>
      <c r="Q29">
        <v>70</v>
      </c>
      <c r="R29">
        <v>15</v>
      </c>
      <c r="S29" t="s">
        <v>142</v>
      </c>
      <c r="T29" t="s">
        <v>24</v>
      </c>
    </row>
    <row r="30" spans="1:20" hidden="1" x14ac:dyDescent="0.2">
      <c r="A30">
        <v>29</v>
      </c>
      <c r="B30" t="s">
        <v>17</v>
      </c>
      <c r="C30" t="s">
        <v>24</v>
      </c>
      <c r="D30" t="s">
        <v>30</v>
      </c>
      <c r="E30">
        <v>14</v>
      </c>
      <c r="F30">
        <v>1</v>
      </c>
      <c r="G30">
        <v>1</v>
      </c>
      <c r="H30" t="s">
        <v>25</v>
      </c>
      <c r="I30" t="s">
        <v>143</v>
      </c>
      <c r="J30" t="s">
        <v>89</v>
      </c>
      <c r="K30" t="s">
        <v>89</v>
      </c>
      <c r="L30" t="s">
        <v>89</v>
      </c>
      <c r="M30" t="s">
        <v>12</v>
      </c>
      <c r="N30" t="s">
        <v>86</v>
      </c>
      <c r="O30" t="s">
        <v>28</v>
      </c>
      <c r="P30">
        <v>400</v>
      </c>
      <c r="Q30">
        <v>70</v>
      </c>
      <c r="R30">
        <v>15</v>
      </c>
      <c r="S30" t="s">
        <v>144</v>
      </c>
      <c r="T30" t="s">
        <v>24</v>
      </c>
    </row>
    <row r="31" spans="1:20" hidden="1" x14ac:dyDescent="0.2">
      <c r="A31">
        <v>30</v>
      </c>
      <c r="B31" t="s">
        <v>17</v>
      </c>
      <c r="C31" t="s">
        <v>24</v>
      </c>
      <c r="D31" t="s">
        <v>30</v>
      </c>
      <c r="E31">
        <v>28</v>
      </c>
      <c r="F31">
        <v>1</v>
      </c>
      <c r="G31">
        <v>1</v>
      </c>
      <c r="H31" t="s">
        <v>25</v>
      </c>
      <c r="I31" t="s">
        <v>145</v>
      </c>
      <c r="J31" t="s">
        <v>85</v>
      </c>
      <c r="K31" t="s">
        <v>85</v>
      </c>
      <c r="L31" t="s">
        <v>85</v>
      </c>
      <c r="M31" t="s">
        <v>27</v>
      </c>
      <c r="N31" t="s">
        <v>86</v>
      </c>
      <c r="O31" t="s">
        <v>28</v>
      </c>
      <c r="P31">
        <v>400</v>
      </c>
      <c r="Q31">
        <v>70</v>
      </c>
      <c r="R31">
        <v>15</v>
      </c>
      <c r="S31" t="s">
        <v>146</v>
      </c>
      <c r="T31" t="s">
        <v>24</v>
      </c>
    </row>
    <row r="32" spans="1:20" hidden="1" x14ac:dyDescent="0.2">
      <c r="A32">
        <v>31</v>
      </c>
      <c r="B32" t="s">
        <v>17</v>
      </c>
      <c r="C32" t="s">
        <v>24</v>
      </c>
      <c r="D32" t="s">
        <v>30</v>
      </c>
      <c r="E32">
        <v>42</v>
      </c>
      <c r="F32">
        <v>1</v>
      </c>
      <c r="G32">
        <v>1</v>
      </c>
      <c r="H32" t="s">
        <v>25</v>
      </c>
      <c r="I32" t="s">
        <v>147</v>
      </c>
      <c r="J32" t="s">
        <v>89</v>
      </c>
      <c r="K32" t="s">
        <v>89</v>
      </c>
      <c r="L32" t="s">
        <v>89</v>
      </c>
      <c r="M32" t="s">
        <v>12</v>
      </c>
      <c r="N32" t="s">
        <v>86</v>
      </c>
      <c r="O32" t="s">
        <v>28</v>
      </c>
      <c r="P32">
        <v>400</v>
      </c>
      <c r="Q32">
        <v>70</v>
      </c>
      <c r="R32">
        <v>15</v>
      </c>
      <c r="S32" t="s">
        <v>148</v>
      </c>
      <c r="T32" t="s">
        <v>24</v>
      </c>
    </row>
    <row r="33" spans="1:20" hidden="1" x14ac:dyDescent="0.2">
      <c r="A33">
        <v>32</v>
      </c>
      <c r="B33" t="s">
        <v>17</v>
      </c>
      <c r="C33" t="s">
        <v>24</v>
      </c>
      <c r="D33" t="s">
        <v>30</v>
      </c>
      <c r="E33">
        <v>56</v>
      </c>
      <c r="F33">
        <v>1</v>
      </c>
      <c r="G33">
        <v>1</v>
      </c>
      <c r="H33" t="s">
        <v>25</v>
      </c>
      <c r="I33" t="s">
        <v>149</v>
      </c>
      <c r="J33" t="s">
        <v>85</v>
      </c>
      <c r="K33" t="s">
        <v>85</v>
      </c>
      <c r="L33" t="s">
        <v>85</v>
      </c>
      <c r="M33" t="s">
        <v>27</v>
      </c>
      <c r="N33" t="s">
        <v>86</v>
      </c>
      <c r="O33" t="s">
        <v>28</v>
      </c>
      <c r="P33">
        <v>400</v>
      </c>
      <c r="Q33">
        <v>70</v>
      </c>
      <c r="R33">
        <v>15</v>
      </c>
      <c r="S33" t="s">
        <v>150</v>
      </c>
      <c r="T33" t="s">
        <v>24</v>
      </c>
    </row>
    <row r="34" spans="1:20" hidden="1" x14ac:dyDescent="0.2">
      <c r="A34">
        <v>33</v>
      </c>
      <c r="B34" t="s">
        <v>17</v>
      </c>
      <c r="C34" t="s">
        <v>24</v>
      </c>
      <c r="D34" t="s">
        <v>30</v>
      </c>
      <c r="E34">
        <v>70</v>
      </c>
      <c r="F34">
        <v>1</v>
      </c>
      <c r="G34">
        <v>1</v>
      </c>
      <c r="H34" t="s">
        <v>25</v>
      </c>
      <c r="I34" t="s">
        <v>151</v>
      </c>
      <c r="J34" t="s">
        <v>89</v>
      </c>
      <c r="K34" t="s">
        <v>89</v>
      </c>
      <c r="L34" t="s">
        <v>89</v>
      </c>
      <c r="M34" t="s">
        <v>12</v>
      </c>
      <c r="N34" t="s">
        <v>86</v>
      </c>
      <c r="O34" t="s">
        <v>28</v>
      </c>
      <c r="P34">
        <v>400</v>
      </c>
      <c r="Q34">
        <v>70</v>
      </c>
      <c r="R34">
        <v>15</v>
      </c>
      <c r="S34" t="s">
        <v>152</v>
      </c>
      <c r="T34" t="s">
        <v>24</v>
      </c>
    </row>
    <row r="35" spans="1:20" hidden="1" x14ac:dyDescent="0.2">
      <c r="A35">
        <v>34</v>
      </c>
      <c r="B35" t="s">
        <v>17</v>
      </c>
      <c r="C35" t="s">
        <v>24</v>
      </c>
      <c r="D35" t="s">
        <v>30</v>
      </c>
      <c r="E35">
        <v>84</v>
      </c>
      <c r="F35">
        <v>1</v>
      </c>
      <c r="G35">
        <v>1</v>
      </c>
      <c r="H35" t="s">
        <v>26</v>
      </c>
      <c r="I35" t="s">
        <v>153</v>
      </c>
      <c r="J35" t="s">
        <v>85</v>
      </c>
      <c r="K35" t="s">
        <v>85</v>
      </c>
      <c r="L35" t="s">
        <v>85</v>
      </c>
      <c r="M35" t="s">
        <v>27</v>
      </c>
      <c r="N35" t="s">
        <v>86</v>
      </c>
      <c r="O35" t="s">
        <v>28</v>
      </c>
      <c r="P35">
        <v>400</v>
      </c>
      <c r="Q35">
        <v>70</v>
      </c>
      <c r="R35">
        <v>15</v>
      </c>
      <c r="S35" t="s">
        <v>154</v>
      </c>
      <c r="T35" t="s">
        <v>24</v>
      </c>
    </row>
    <row r="36" spans="1:20" hidden="1" x14ac:dyDescent="0.2">
      <c r="A36">
        <v>35</v>
      </c>
      <c r="B36" t="s">
        <v>17</v>
      </c>
      <c r="C36" t="s">
        <v>24</v>
      </c>
      <c r="D36" t="s">
        <v>30</v>
      </c>
      <c r="E36">
        <v>98</v>
      </c>
      <c r="F36">
        <v>1</v>
      </c>
      <c r="G36">
        <v>1</v>
      </c>
      <c r="H36" t="s">
        <v>26</v>
      </c>
      <c r="I36" t="s">
        <v>155</v>
      </c>
      <c r="J36" t="s">
        <v>89</v>
      </c>
      <c r="K36" t="s">
        <v>89</v>
      </c>
      <c r="L36" t="s">
        <v>85</v>
      </c>
      <c r="M36" t="s">
        <v>12</v>
      </c>
      <c r="N36" t="s">
        <v>86</v>
      </c>
      <c r="O36" t="s">
        <v>28</v>
      </c>
      <c r="P36">
        <v>400</v>
      </c>
      <c r="Q36">
        <v>70</v>
      </c>
      <c r="R36">
        <v>15</v>
      </c>
      <c r="S36" t="s">
        <v>156</v>
      </c>
      <c r="T36" t="s">
        <v>24</v>
      </c>
    </row>
    <row r="37" spans="1:20" hidden="1" x14ac:dyDescent="0.2">
      <c r="A37">
        <v>36</v>
      </c>
      <c r="B37" t="s">
        <v>17</v>
      </c>
      <c r="C37" t="s">
        <v>24</v>
      </c>
      <c r="D37" t="s">
        <v>31</v>
      </c>
      <c r="E37">
        <v>112</v>
      </c>
      <c r="F37">
        <v>2</v>
      </c>
      <c r="G37">
        <v>2</v>
      </c>
      <c r="H37" t="s">
        <v>26</v>
      </c>
      <c r="I37" t="s">
        <v>157</v>
      </c>
      <c r="J37" t="s">
        <v>158</v>
      </c>
      <c r="K37" t="s">
        <v>159</v>
      </c>
      <c r="L37" t="s">
        <v>159</v>
      </c>
      <c r="M37" t="s">
        <v>27</v>
      </c>
      <c r="N37" t="s">
        <v>86</v>
      </c>
      <c r="O37" t="s">
        <v>28</v>
      </c>
      <c r="P37">
        <v>400</v>
      </c>
      <c r="Q37">
        <v>70</v>
      </c>
      <c r="R37">
        <v>15</v>
      </c>
      <c r="S37" t="s">
        <v>160</v>
      </c>
      <c r="T37" t="s">
        <v>24</v>
      </c>
    </row>
    <row r="38" spans="1:20" hidden="1" x14ac:dyDescent="0.2">
      <c r="A38">
        <v>37</v>
      </c>
      <c r="B38" t="s">
        <v>17</v>
      </c>
      <c r="C38" t="s">
        <v>24</v>
      </c>
      <c r="D38" t="s">
        <v>31</v>
      </c>
      <c r="E38">
        <v>126</v>
      </c>
      <c r="F38">
        <v>2</v>
      </c>
      <c r="G38">
        <v>2</v>
      </c>
      <c r="H38" t="s">
        <v>26</v>
      </c>
      <c r="I38" t="s">
        <v>161</v>
      </c>
      <c r="J38" t="s">
        <v>89</v>
      </c>
      <c r="K38" t="s">
        <v>85</v>
      </c>
      <c r="L38" t="s">
        <v>89</v>
      </c>
      <c r="M38" t="s">
        <v>12</v>
      </c>
      <c r="N38" t="s">
        <v>86</v>
      </c>
      <c r="O38" t="s">
        <v>28</v>
      </c>
      <c r="P38">
        <v>400</v>
      </c>
      <c r="Q38">
        <v>70</v>
      </c>
      <c r="R38">
        <v>15</v>
      </c>
      <c r="S38" t="s">
        <v>162</v>
      </c>
      <c r="T38" t="s">
        <v>24</v>
      </c>
    </row>
    <row r="39" spans="1:20" hidden="1" x14ac:dyDescent="0.2">
      <c r="A39">
        <v>38</v>
      </c>
      <c r="B39" t="s">
        <v>17</v>
      </c>
      <c r="C39" t="s">
        <v>24</v>
      </c>
      <c r="D39" t="s">
        <v>31</v>
      </c>
      <c r="E39">
        <v>140</v>
      </c>
      <c r="F39">
        <v>2</v>
      </c>
      <c r="G39">
        <v>2</v>
      </c>
      <c r="H39" t="s">
        <v>26</v>
      </c>
      <c r="I39" t="s">
        <v>163</v>
      </c>
      <c r="J39" t="s">
        <v>164</v>
      </c>
      <c r="K39" t="s">
        <v>165</v>
      </c>
      <c r="L39" t="s">
        <v>166</v>
      </c>
      <c r="M39" t="s">
        <v>27</v>
      </c>
      <c r="N39" t="s">
        <v>86</v>
      </c>
      <c r="O39" t="s">
        <v>28</v>
      </c>
      <c r="P39">
        <v>400</v>
      </c>
      <c r="Q39">
        <v>70</v>
      </c>
      <c r="R39">
        <v>15</v>
      </c>
      <c r="S39" t="s">
        <v>167</v>
      </c>
      <c r="T39" t="s">
        <v>24</v>
      </c>
    </row>
    <row r="40" spans="1:20" hidden="1" x14ac:dyDescent="0.2">
      <c r="A40">
        <v>39</v>
      </c>
      <c r="B40" t="s">
        <v>17</v>
      </c>
      <c r="C40" t="s">
        <v>24</v>
      </c>
      <c r="D40" t="s">
        <v>31</v>
      </c>
      <c r="E40">
        <v>154</v>
      </c>
      <c r="F40">
        <v>2</v>
      </c>
      <c r="G40">
        <v>2</v>
      </c>
      <c r="H40" t="s">
        <v>26</v>
      </c>
      <c r="I40" t="s">
        <v>168</v>
      </c>
      <c r="J40" t="s">
        <v>89</v>
      </c>
      <c r="K40" t="s">
        <v>85</v>
      </c>
      <c r="L40" t="s">
        <v>89</v>
      </c>
      <c r="M40" t="s">
        <v>12</v>
      </c>
      <c r="N40" t="s">
        <v>86</v>
      </c>
      <c r="O40" t="s">
        <v>28</v>
      </c>
      <c r="P40">
        <v>400</v>
      </c>
      <c r="Q40">
        <v>70</v>
      </c>
      <c r="R40">
        <v>15</v>
      </c>
      <c r="S40" t="s">
        <v>169</v>
      </c>
      <c r="T40" t="s">
        <v>24</v>
      </c>
    </row>
    <row r="41" spans="1:20" hidden="1" x14ac:dyDescent="0.2">
      <c r="A41">
        <v>40</v>
      </c>
      <c r="B41" t="s">
        <v>17</v>
      </c>
      <c r="C41" t="s">
        <v>24</v>
      </c>
      <c r="D41" t="s">
        <v>31</v>
      </c>
      <c r="E41">
        <v>168</v>
      </c>
      <c r="F41">
        <v>2</v>
      </c>
      <c r="G41">
        <v>2</v>
      </c>
      <c r="H41" t="s">
        <v>26</v>
      </c>
      <c r="I41" t="s">
        <v>170</v>
      </c>
      <c r="J41" t="s">
        <v>171</v>
      </c>
      <c r="K41" t="s">
        <v>172</v>
      </c>
      <c r="L41" t="s">
        <v>173</v>
      </c>
      <c r="M41" t="s">
        <v>27</v>
      </c>
      <c r="N41" t="s">
        <v>86</v>
      </c>
      <c r="O41" t="s">
        <v>28</v>
      </c>
      <c r="P41">
        <v>400</v>
      </c>
      <c r="Q41">
        <v>70</v>
      </c>
      <c r="R41">
        <v>15</v>
      </c>
      <c r="S41" t="s">
        <v>174</v>
      </c>
      <c r="T41" t="s">
        <v>24</v>
      </c>
    </row>
    <row r="42" spans="1:20" hidden="1" x14ac:dyDescent="0.2">
      <c r="A42">
        <v>41</v>
      </c>
      <c r="B42" t="s">
        <v>17</v>
      </c>
      <c r="C42" t="s">
        <v>24</v>
      </c>
      <c r="D42" t="s">
        <v>31</v>
      </c>
      <c r="E42">
        <v>182</v>
      </c>
      <c r="F42">
        <v>2</v>
      </c>
      <c r="G42">
        <v>2</v>
      </c>
      <c r="H42" t="s">
        <v>26</v>
      </c>
      <c r="I42" t="s">
        <v>175</v>
      </c>
      <c r="J42" t="s">
        <v>89</v>
      </c>
      <c r="K42" t="s">
        <v>85</v>
      </c>
      <c r="L42" t="s">
        <v>89</v>
      </c>
      <c r="M42" t="s">
        <v>12</v>
      </c>
      <c r="N42" t="s">
        <v>86</v>
      </c>
      <c r="O42" t="s">
        <v>28</v>
      </c>
      <c r="P42">
        <v>400</v>
      </c>
      <c r="Q42">
        <v>70</v>
      </c>
      <c r="R42">
        <v>15</v>
      </c>
      <c r="S42" t="s">
        <v>176</v>
      </c>
      <c r="T42" t="s">
        <v>24</v>
      </c>
    </row>
    <row r="43" spans="1:20" hidden="1" x14ac:dyDescent="0.2">
      <c r="A43">
        <v>42</v>
      </c>
      <c r="B43" t="s">
        <v>17</v>
      </c>
      <c r="C43" t="s">
        <v>24</v>
      </c>
      <c r="D43" t="s">
        <v>31</v>
      </c>
      <c r="E43">
        <v>196</v>
      </c>
      <c r="F43">
        <v>2</v>
      </c>
      <c r="G43">
        <v>2</v>
      </c>
      <c r="H43" t="s">
        <v>26</v>
      </c>
      <c r="I43" t="s">
        <v>177</v>
      </c>
      <c r="J43" t="s">
        <v>178</v>
      </c>
      <c r="K43" t="s">
        <v>87</v>
      </c>
      <c r="L43" t="s">
        <v>179</v>
      </c>
      <c r="M43" t="s">
        <v>27</v>
      </c>
      <c r="N43" t="s">
        <v>86</v>
      </c>
      <c r="O43" t="s">
        <v>28</v>
      </c>
      <c r="P43">
        <v>400</v>
      </c>
      <c r="Q43">
        <v>70</v>
      </c>
      <c r="R43">
        <v>15</v>
      </c>
      <c r="S43" t="s">
        <v>180</v>
      </c>
      <c r="T43" t="s">
        <v>24</v>
      </c>
    </row>
    <row r="44" spans="1:20" hidden="1" x14ac:dyDescent="0.2">
      <c r="A44">
        <v>43</v>
      </c>
      <c r="B44" t="s">
        <v>17</v>
      </c>
      <c r="C44" t="s">
        <v>24</v>
      </c>
      <c r="D44" t="s">
        <v>31</v>
      </c>
      <c r="E44">
        <v>210</v>
      </c>
      <c r="F44">
        <v>3</v>
      </c>
      <c r="G44">
        <v>3</v>
      </c>
      <c r="H44" t="s">
        <v>26</v>
      </c>
      <c r="I44" t="s">
        <v>181</v>
      </c>
      <c r="J44" t="s">
        <v>89</v>
      </c>
      <c r="K44" t="s">
        <v>85</v>
      </c>
      <c r="L44" t="s">
        <v>89</v>
      </c>
      <c r="M44" t="s">
        <v>12</v>
      </c>
      <c r="N44" t="s">
        <v>86</v>
      </c>
      <c r="O44" t="s">
        <v>28</v>
      </c>
      <c r="P44">
        <v>400</v>
      </c>
      <c r="Q44">
        <v>70</v>
      </c>
      <c r="R44">
        <v>15</v>
      </c>
      <c r="S44" t="s">
        <v>182</v>
      </c>
      <c r="T44" t="s">
        <v>24</v>
      </c>
    </row>
    <row r="45" spans="1:20" hidden="1" x14ac:dyDescent="0.2">
      <c r="A45">
        <v>44</v>
      </c>
      <c r="B45" t="s">
        <v>17</v>
      </c>
      <c r="C45" t="s">
        <v>24</v>
      </c>
      <c r="D45" t="s">
        <v>31</v>
      </c>
      <c r="E45">
        <v>224</v>
      </c>
      <c r="F45">
        <v>3</v>
      </c>
      <c r="G45">
        <v>3</v>
      </c>
      <c r="H45" t="s">
        <v>26</v>
      </c>
      <c r="I45" t="s">
        <v>183</v>
      </c>
      <c r="J45" t="s">
        <v>184</v>
      </c>
      <c r="K45" t="s">
        <v>172</v>
      </c>
      <c r="L45" t="s">
        <v>185</v>
      </c>
      <c r="M45" t="s">
        <v>27</v>
      </c>
      <c r="N45" t="s">
        <v>86</v>
      </c>
      <c r="O45" t="s">
        <v>28</v>
      </c>
      <c r="P45">
        <v>400</v>
      </c>
      <c r="Q45">
        <v>70</v>
      </c>
      <c r="R45">
        <v>15</v>
      </c>
      <c r="S45" t="s">
        <v>186</v>
      </c>
      <c r="T45" t="s">
        <v>24</v>
      </c>
    </row>
    <row r="46" spans="1:20" hidden="1" x14ac:dyDescent="0.2">
      <c r="A46">
        <v>45</v>
      </c>
      <c r="B46" t="s">
        <v>17</v>
      </c>
      <c r="C46" t="s">
        <v>24</v>
      </c>
      <c r="D46" t="s">
        <v>31</v>
      </c>
      <c r="E46">
        <v>238</v>
      </c>
      <c r="F46">
        <v>3</v>
      </c>
      <c r="G46">
        <v>3</v>
      </c>
      <c r="H46" t="s">
        <v>26</v>
      </c>
      <c r="I46" t="s">
        <v>187</v>
      </c>
      <c r="J46" t="s">
        <v>89</v>
      </c>
      <c r="K46" t="s">
        <v>85</v>
      </c>
      <c r="L46" t="s">
        <v>89</v>
      </c>
      <c r="M46" t="s">
        <v>12</v>
      </c>
      <c r="N46" t="s">
        <v>86</v>
      </c>
      <c r="O46" t="s">
        <v>28</v>
      </c>
      <c r="P46">
        <v>400</v>
      </c>
      <c r="Q46">
        <v>70</v>
      </c>
      <c r="R46">
        <v>15</v>
      </c>
      <c r="S46" t="s">
        <v>188</v>
      </c>
      <c r="T46" t="s">
        <v>24</v>
      </c>
    </row>
    <row r="47" spans="1:20" hidden="1" x14ac:dyDescent="0.2">
      <c r="A47">
        <v>46</v>
      </c>
      <c r="B47" t="s">
        <v>17</v>
      </c>
      <c r="C47" t="s">
        <v>24</v>
      </c>
      <c r="D47" t="s">
        <v>31</v>
      </c>
      <c r="E47">
        <v>252</v>
      </c>
      <c r="F47">
        <v>3</v>
      </c>
      <c r="G47">
        <v>3</v>
      </c>
      <c r="H47" t="s">
        <v>26</v>
      </c>
      <c r="I47" t="s">
        <v>189</v>
      </c>
      <c r="J47" t="s">
        <v>190</v>
      </c>
      <c r="K47" t="s">
        <v>191</v>
      </c>
      <c r="L47" t="s">
        <v>192</v>
      </c>
      <c r="M47" t="s">
        <v>27</v>
      </c>
      <c r="N47" t="s">
        <v>86</v>
      </c>
      <c r="O47" t="s">
        <v>28</v>
      </c>
      <c r="P47">
        <v>400</v>
      </c>
      <c r="Q47">
        <v>70</v>
      </c>
      <c r="R47">
        <v>15</v>
      </c>
      <c r="S47" t="s">
        <v>193</v>
      </c>
      <c r="T47" t="s">
        <v>24</v>
      </c>
    </row>
    <row r="48" spans="1:20" hidden="1" x14ac:dyDescent="0.2">
      <c r="A48">
        <v>47</v>
      </c>
      <c r="B48" t="s">
        <v>17</v>
      </c>
      <c r="C48" t="s">
        <v>24</v>
      </c>
      <c r="D48" t="s">
        <v>31</v>
      </c>
      <c r="E48">
        <v>266</v>
      </c>
      <c r="F48">
        <v>3</v>
      </c>
      <c r="G48">
        <v>3</v>
      </c>
      <c r="H48" t="s">
        <v>26</v>
      </c>
      <c r="I48" t="s">
        <v>194</v>
      </c>
      <c r="J48" t="s">
        <v>89</v>
      </c>
      <c r="K48" t="s">
        <v>85</v>
      </c>
      <c r="L48" t="s">
        <v>89</v>
      </c>
      <c r="M48" t="s">
        <v>12</v>
      </c>
      <c r="N48" t="s">
        <v>86</v>
      </c>
      <c r="O48" t="s">
        <v>28</v>
      </c>
      <c r="P48">
        <v>400</v>
      </c>
      <c r="Q48">
        <v>70</v>
      </c>
      <c r="R48">
        <v>15</v>
      </c>
      <c r="S48" t="s">
        <v>195</v>
      </c>
      <c r="T48" t="s">
        <v>24</v>
      </c>
    </row>
    <row r="49" spans="1:20" hidden="1" x14ac:dyDescent="0.2">
      <c r="A49">
        <v>48</v>
      </c>
      <c r="B49" t="s">
        <v>17</v>
      </c>
      <c r="C49" t="s">
        <v>24</v>
      </c>
      <c r="D49" t="s">
        <v>31</v>
      </c>
      <c r="E49">
        <v>280</v>
      </c>
      <c r="F49">
        <v>3</v>
      </c>
      <c r="G49">
        <v>3</v>
      </c>
      <c r="H49" t="s">
        <v>26</v>
      </c>
      <c r="I49" t="s">
        <v>196</v>
      </c>
      <c r="J49" t="s">
        <v>197</v>
      </c>
      <c r="K49" t="s">
        <v>198</v>
      </c>
      <c r="L49" t="s">
        <v>199</v>
      </c>
      <c r="M49" t="s">
        <v>27</v>
      </c>
      <c r="N49" t="s">
        <v>86</v>
      </c>
      <c r="O49" t="s">
        <v>28</v>
      </c>
      <c r="P49">
        <v>400</v>
      </c>
      <c r="Q49">
        <v>70</v>
      </c>
      <c r="R49">
        <v>15</v>
      </c>
      <c r="S49" t="s">
        <v>200</v>
      </c>
      <c r="T49" t="s">
        <v>24</v>
      </c>
    </row>
    <row r="50" spans="1:20" hidden="1" x14ac:dyDescent="0.2">
      <c r="A50">
        <v>49</v>
      </c>
      <c r="B50" t="s">
        <v>17</v>
      </c>
      <c r="C50" t="s">
        <v>24</v>
      </c>
      <c r="D50" t="s">
        <v>31</v>
      </c>
      <c r="E50">
        <v>294</v>
      </c>
      <c r="F50">
        <v>6</v>
      </c>
      <c r="G50">
        <v>6</v>
      </c>
      <c r="H50" t="s">
        <v>26</v>
      </c>
      <c r="I50" t="s">
        <v>201</v>
      </c>
      <c r="J50" t="s">
        <v>89</v>
      </c>
      <c r="K50" t="s">
        <v>85</v>
      </c>
      <c r="L50" t="s">
        <v>89</v>
      </c>
      <c r="M50" t="s">
        <v>12</v>
      </c>
      <c r="N50" t="s">
        <v>86</v>
      </c>
      <c r="O50" t="s">
        <v>28</v>
      </c>
      <c r="P50">
        <v>400</v>
      </c>
      <c r="Q50">
        <v>70</v>
      </c>
      <c r="R50">
        <v>15</v>
      </c>
      <c r="S50" t="s">
        <v>202</v>
      </c>
      <c r="T50" t="s">
        <v>24</v>
      </c>
    </row>
    <row r="51" spans="1:20" hidden="1" x14ac:dyDescent="0.2">
      <c r="A51">
        <v>50</v>
      </c>
      <c r="B51" t="s">
        <v>17</v>
      </c>
      <c r="C51" t="s">
        <v>24</v>
      </c>
      <c r="D51" t="s">
        <v>31</v>
      </c>
      <c r="E51">
        <v>308</v>
      </c>
      <c r="F51">
        <v>6</v>
      </c>
      <c r="G51">
        <v>6</v>
      </c>
      <c r="H51" t="s">
        <v>26</v>
      </c>
      <c r="I51" t="s">
        <v>203</v>
      </c>
      <c r="J51" t="s">
        <v>204</v>
      </c>
      <c r="K51" t="s">
        <v>87</v>
      </c>
      <c r="L51" t="s">
        <v>205</v>
      </c>
      <c r="M51" t="s">
        <v>27</v>
      </c>
      <c r="N51" t="s">
        <v>86</v>
      </c>
      <c r="O51" t="s">
        <v>28</v>
      </c>
      <c r="P51">
        <v>400</v>
      </c>
      <c r="Q51">
        <v>70</v>
      </c>
      <c r="R51">
        <v>15</v>
      </c>
      <c r="S51" t="s">
        <v>206</v>
      </c>
      <c r="T51" t="s">
        <v>24</v>
      </c>
    </row>
    <row r="52" spans="1:20" hidden="1" x14ac:dyDescent="0.2">
      <c r="A52">
        <v>51</v>
      </c>
      <c r="B52" t="s">
        <v>17</v>
      </c>
      <c r="C52" t="s">
        <v>24</v>
      </c>
      <c r="D52" t="s">
        <v>31</v>
      </c>
      <c r="E52">
        <v>322</v>
      </c>
      <c r="F52">
        <v>6</v>
      </c>
      <c r="G52">
        <v>6</v>
      </c>
      <c r="H52" t="s">
        <v>26</v>
      </c>
      <c r="I52" t="s">
        <v>207</v>
      </c>
      <c r="J52" t="s">
        <v>89</v>
      </c>
      <c r="K52" t="s">
        <v>85</v>
      </c>
      <c r="L52" t="s">
        <v>89</v>
      </c>
      <c r="M52" t="s">
        <v>12</v>
      </c>
      <c r="N52" t="s">
        <v>86</v>
      </c>
      <c r="O52" t="s">
        <v>28</v>
      </c>
      <c r="P52">
        <v>400</v>
      </c>
      <c r="Q52">
        <v>70</v>
      </c>
      <c r="R52">
        <v>15</v>
      </c>
      <c r="S52" t="s">
        <v>208</v>
      </c>
      <c r="T52" t="s">
        <v>24</v>
      </c>
    </row>
    <row r="53" spans="1:20" hidden="1" x14ac:dyDescent="0.2">
      <c r="A53">
        <v>52</v>
      </c>
      <c r="B53" t="s">
        <v>17</v>
      </c>
      <c r="C53" t="s">
        <v>24</v>
      </c>
      <c r="D53" t="s">
        <v>31</v>
      </c>
      <c r="E53">
        <v>336</v>
      </c>
      <c r="F53">
        <v>6</v>
      </c>
      <c r="G53">
        <v>6</v>
      </c>
      <c r="H53" t="s">
        <v>26</v>
      </c>
      <c r="I53" t="s">
        <v>209</v>
      </c>
      <c r="J53" t="s">
        <v>210</v>
      </c>
      <c r="K53" t="s">
        <v>211</v>
      </c>
      <c r="L53" t="s">
        <v>212</v>
      </c>
      <c r="M53" t="s">
        <v>27</v>
      </c>
      <c r="N53" t="s">
        <v>86</v>
      </c>
      <c r="O53" t="s">
        <v>28</v>
      </c>
      <c r="P53">
        <v>400</v>
      </c>
      <c r="Q53">
        <v>70</v>
      </c>
      <c r="R53">
        <v>15</v>
      </c>
      <c r="S53" t="s">
        <v>213</v>
      </c>
      <c r="T53" t="s">
        <v>24</v>
      </c>
    </row>
    <row r="54" spans="1:20" hidden="1" x14ac:dyDescent="0.2">
      <c r="A54">
        <v>53</v>
      </c>
      <c r="B54" t="s">
        <v>17</v>
      </c>
      <c r="C54" t="s">
        <v>24</v>
      </c>
      <c r="D54" t="s">
        <v>31</v>
      </c>
      <c r="E54">
        <v>350</v>
      </c>
      <c r="F54">
        <v>6</v>
      </c>
      <c r="G54">
        <v>6</v>
      </c>
      <c r="H54" t="s">
        <v>26</v>
      </c>
      <c r="I54" t="s">
        <v>214</v>
      </c>
      <c r="J54" t="s">
        <v>89</v>
      </c>
      <c r="K54" t="s">
        <v>85</v>
      </c>
      <c r="L54" t="s">
        <v>89</v>
      </c>
      <c r="M54" t="s">
        <v>12</v>
      </c>
      <c r="N54" t="s">
        <v>86</v>
      </c>
      <c r="O54" t="s">
        <v>28</v>
      </c>
      <c r="P54">
        <v>400</v>
      </c>
      <c r="Q54">
        <v>70</v>
      </c>
      <c r="R54">
        <v>15</v>
      </c>
      <c r="S54" t="s">
        <v>215</v>
      </c>
      <c r="T54" t="s">
        <v>24</v>
      </c>
    </row>
    <row r="55" spans="1:20" hidden="1" x14ac:dyDescent="0.2">
      <c r="A55">
        <v>54</v>
      </c>
      <c r="B55" t="s">
        <v>17</v>
      </c>
      <c r="C55" t="s">
        <v>24</v>
      </c>
      <c r="D55" t="s">
        <v>31</v>
      </c>
      <c r="E55">
        <v>364</v>
      </c>
      <c r="F55">
        <v>6</v>
      </c>
      <c r="G55">
        <v>6</v>
      </c>
      <c r="H55" t="s">
        <v>26</v>
      </c>
      <c r="I55" t="s">
        <v>216</v>
      </c>
      <c r="J55" t="s">
        <v>217</v>
      </c>
      <c r="K55" t="s">
        <v>218</v>
      </c>
      <c r="L55" t="s">
        <v>219</v>
      </c>
      <c r="M55" t="s">
        <v>27</v>
      </c>
      <c r="N55" t="s">
        <v>86</v>
      </c>
      <c r="O55" t="s">
        <v>28</v>
      </c>
      <c r="P55">
        <v>400</v>
      </c>
      <c r="Q55">
        <v>70</v>
      </c>
      <c r="R55">
        <v>15</v>
      </c>
      <c r="S55" t="s">
        <v>220</v>
      </c>
      <c r="T55" t="s">
        <v>24</v>
      </c>
    </row>
    <row r="56" spans="1:20" hidden="1" x14ac:dyDescent="0.2">
      <c r="A56">
        <v>55</v>
      </c>
      <c r="B56" t="s">
        <v>17</v>
      </c>
      <c r="C56" t="s">
        <v>32</v>
      </c>
      <c r="D56" t="s">
        <v>33</v>
      </c>
      <c r="E56">
        <v>0</v>
      </c>
      <c r="F56">
        <v>1</v>
      </c>
      <c r="G56">
        <v>1</v>
      </c>
      <c r="H56" t="s">
        <v>25</v>
      </c>
      <c r="I56" t="s">
        <v>88</v>
      </c>
      <c r="J56" t="s">
        <v>85</v>
      </c>
      <c r="K56" t="s">
        <v>85</v>
      </c>
      <c r="L56" t="s">
        <v>85</v>
      </c>
      <c r="M56" t="s">
        <v>27</v>
      </c>
      <c r="N56" t="s">
        <v>86</v>
      </c>
      <c r="O56" t="s">
        <v>28</v>
      </c>
      <c r="P56">
        <v>400</v>
      </c>
      <c r="Q56">
        <v>70</v>
      </c>
      <c r="R56">
        <v>15</v>
      </c>
      <c r="S56" t="s">
        <v>221</v>
      </c>
      <c r="T56" t="s">
        <v>32</v>
      </c>
    </row>
    <row r="57" spans="1:20" hidden="1" x14ac:dyDescent="0.2">
      <c r="A57">
        <v>56</v>
      </c>
      <c r="B57" t="s">
        <v>17</v>
      </c>
      <c r="C57" t="s">
        <v>32</v>
      </c>
      <c r="D57" t="s">
        <v>33</v>
      </c>
      <c r="E57">
        <v>14</v>
      </c>
      <c r="F57">
        <v>1</v>
      </c>
      <c r="G57">
        <v>1</v>
      </c>
      <c r="H57" t="s">
        <v>25</v>
      </c>
      <c r="I57" t="s">
        <v>222</v>
      </c>
      <c r="J57" t="s">
        <v>85</v>
      </c>
      <c r="K57" t="s">
        <v>85</v>
      </c>
      <c r="L57" t="s">
        <v>85</v>
      </c>
      <c r="M57" t="s">
        <v>12</v>
      </c>
      <c r="N57" t="s">
        <v>86</v>
      </c>
      <c r="O57" t="s">
        <v>28</v>
      </c>
      <c r="P57">
        <v>400</v>
      </c>
      <c r="Q57">
        <v>70</v>
      </c>
      <c r="R57">
        <v>15</v>
      </c>
      <c r="S57" t="s">
        <v>223</v>
      </c>
      <c r="T57" t="s">
        <v>32</v>
      </c>
    </row>
    <row r="58" spans="1:20" hidden="1" x14ac:dyDescent="0.2">
      <c r="A58">
        <v>57</v>
      </c>
      <c r="B58" t="s">
        <v>17</v>
      </c>
      <c r="C58" t="s">
        <v>32</v>
      </c>
      <c r="D58" t="s">
        <v>33</v>
      </c>
      <c r="E58">
        <v>28</v>
      </c>
      <c r="F58">
        <v>1</v>
      </c>
      <c r="G58">
        <v>1</v>
      </c>
      <c r="H58" t="s">
        <v>25</v>
      </c>
      <c r="I58" t="s">
        <v>224</v>
      </c>
      <c r="J58" t="s">
        <v>85</v>
      </c>
      <c r="K58" t="s">
        <v>85</v>
      </c>
      <c r="L58" t="s">
        <v>85</v>
      </c>
      <c r="M58" t="s">
        <v>27</v>
      </c>
      <c r="N58" t="s">
        <v>86</v>
      </c>
      <c r="O58" t="s">
        <v>28</v>
      </c>
      <c r="P58">
        <v>400</v>
      </c>
      <c r="Q58">
        <v>70</v>
      </c>
      <c r="R58">
        <v>15</v>
      </c>
      <c r="S58" t="s">
        <v>225</v>
      </c>
      <c r="T58" t="s">
        <v>32</v>
      </c>
    </row>
    <row r="59" spans="1:20" hidden="1" x14ac:dyDescent="0.2">
      <c r="A59">
        <v>58</v>
      </c>
      <c r="B59" t="s">
        <v>17</v>
      </c>
      <c r="C59" t="s">
        <v>32</v>
      </c>
      <c r="D59" t="s">
        <v>33</v>
      </c>
      <c r="E59">
        <v>42</v>
      </c>
      <c r="F59">
        <v>1</v>
      </c>
      <c r="G59">
        <v>1</v>
      </c>
      <c r="H59" t="s">
        <v>25</v>
      </c>
      <c r="I59" t="s">
        <v>226</v>
      </c>
      <c r="J59" t="s">
        <v>85</v>
      </c>
      <c r="K59" t="s">
        <v>85</v>
      </c>
      <c r="L59" t="s">
        <v>85</v>
      </c>
      <c r="M59" t="s">
        <v>12</v>
      </c>
      <c r="N59" t="s">
        <v>86</v>
      </c>
      <c r="O59" t="s">
        <v>28</v>
      </c>
      <c r="P59">
        <v>400</v>
      </c>
      <c r="Q59">
        <v>70</v>
      </c>
      <c r="R59">
        <v>15</v>
      </c>
      <c r="S59" t="s">
        <v>227</v>
      </c>
      <c r="T59" t="s">
        <v>32</v>
      </c>
    </row>
    <row r="60" spans="1:20" hidden="1" x14ac:dyDescent="0.2">
      <c r="A60">
        <v>59</v>
      </c>
      <c r="B60" t="s">
        <v>17</v>
      </c>
      <c r="C60" t="s">
        <v>32</v>
      </c>
      <c r="D60" t="s">
        <v>33</v>
      </c>
      <c r="E60">
        <v>56</v>
      </c>
      <c r="F60">
        <v>1</v>
      </c>
      <c r="G60">
        <v>1</v>
      </c>
      <c r="H60" t="s">
        <v>25</v>
      </c>
      <c r="I60" t="s">
        <v>228</v>
      </c>
      <c r="J60" t="s">
        <v>85</v>
      </c>
      <c r="K60" t="s">
        <v>85</v>
      </c>
      <c r="L60" t="s">
        <v>85</v>
      </c>
      <c r="M60" t="s">
        <v>27</v>
      </c>
      <c r="N60" t="s">
        <v>86</v>
      </c>
      <c r="O60" t="s">
        <v>28</v>
      </c>
      <c r="P60">
        <v>400</v>
      </c>
      <c r="Q60">
        <v>70</v>
      </c>
      <c r="R60">
        <v>15</v>
      </c>
      <c r="S60" t="s">
        <v>229</v>
      </c>
      <c r="T60" t="s">
        <v>32</v>
      </c>
    </row>
    <row r="61" spans="1:20" hidden="1" x14ac:dyDescent="0.2">
      <c r="A61">
        <v>60</v>
      </c>
      <c r="B61" t="s">
        <v>17</v>
      </c>
      <c r="C61" t="s">
        <v>32</v>
      </c>
      <c r="D61" t="s">
        <v>33</v>
      </c>
      <c r="E61">
        <v>70</v>
      </c>
      <c r="F61">
        <v>1</v>
      </c>
      <c r="G61">
        <v>1</v>
      </c>
      <c r="H61" t="s">
        <v>25</v>
      </c>
      <c r="I61" t="s">
        <v>230</v>
      </c>
      <c r="J61" t="s">
        <v>85</v>
      </c>
      <c r="K61" t="s">
        <v>85</v>
      </c>
      <c r="L61" t="s">
        <v>85</v>
      </c>
      <c r="M61" t="s">
        <v>12</v>
      </c>
      <c r="N61" t="s">
        <v>86</v>
      </c>
      <c r="O61" t="s">
        <v>28</v>
      </c>
      <c r="P61">
        <v>400</v>
      </c>
      <c r="Q61">
        <v>70</v>
      </c>
      <c r="R61">
        <v>15</v>
      </c>
      <c r="S61" t="s">
        <v>231</v>
      </c>
      <c r="T61" t="s">
        <v>32</v>
      </c>
    </row>
    <row r="62" spans="1:20" hidden="1" x14ac:dyDescent="0.2">
      <c r="A62">
        <v>61</v>
      </c>
      <c r="B62" t="s">
        <v>17</v>
      </c>
      <c r="C62" t="s">
        <v>32</v>
      </c>
      <c r="D62" t="s">
        <v>33</v>
      </c>
      <c r="E62">
        <v>77</v>
      </c>
      <c r="F62">
        <v>1</v>
      </c>
      <c r="G62">
        <v>1</v>
      </c>
      <c r="H62" t="s">
        <v>25</v>
      </c>
      <c r="I62" t="s">
        <v>232</v>
      </c>
      <c r="J62" t="s">
        <v>85</v>
      </c>
      <c r="K62" t="s">
        <v>85</v>
      </c>
      <c r="L62" t="s">
        <v>85</v>
      </c>
      <c r="M62" t="s">
        <v>27</v>
      </c>
      <c r="N62" t="s">
        <v>86</v>
      </c>
      <c r="O62" t="s">
        <v>28</v>
      </c>
      <c r="P62">
        <v>400</v>
      </c>
      <c r="Q62">
        <v>70</v>
      </c>
      <c r="R62">
        <v>15</v>
      </c>
      <c r="S62" t="s">
        <v>233</v>
      </c>
      <c r="T62" t="s">
        <v>32</v>
      </c>
    </row>
    <row r="63" spans="1:20" hidden="1" x14ac:dyDescent="0.2">
      <c r="A63">
        <v>62</v>
      </c>
      <c r="B63" t="s">
        <v>17</v>
      </c>
      <c r="C63" t="s">
        <v>32</v>
      </c>
      <c r="D63" t="s">
        <v>33</v>
      </c>
      <c r="E63">
        <v>84</v>
      </c>
      <c r="F63">
        <v>1</v>
      </c>
      <c r="G63">
        <v>1</v>
      </c>
      <c r="H63" t="s">
        <v>25</v>
      </c>
      <c r="I63" t="s">
        <v>234</v>
      </c>
      <c r="J63" t="s">
        <v>85</v>
      </c>
      <c r="K63" t="s">
        <v>85</v>
      </c>
      <c r="L63" t="s">
        <v>85</v>
      </c>
      <c r="M63" t="s">
        <v>12</v>
      </c>
      <c r="N63" t="s">
        <v>86</v>
      </c>
      <c r="O63" t="s">
        <v>28</v>
      </c>
      <c r="P63">
        <v>400</v>
      </c>
      <c r="Q63">
        <v>70</v>
      </c>
      <c r="R63">
        <v>15</v>
      </c>
      <c r="S63" t="s">
        <v>235</v>
      </c>
      <c r="T63" t="s">
        <v>32</v>
      </c>
    </row>
    <row r="64" spans="1:20" hidden="1" x14ac:dyDescent="0.2">
      <c r="A64">
        <v>63</v>
      </c>
      <c r="B64" t="s">
        <v>17</v>
      </c>
      <c r="C64" t="s">
        <v>40</v>
      </c>
      <c r="D64" t="s">
        <v>42</v>
      </c>
      <c r="E64">
        <v>0</v>
      </c>
      <c r="F64">
        <v>1</v>
      </c>
      <c r="G64">
        <v>1</v>
      </c>
      <c r="H64" t="s">
        <v>25</v>
      </c>
      <c r="I64" t="s">
        <v>236</v>
      </c>
      <c r="J64" t="s">
        <v>85</v>
      </c>
      <c r="K64" t="s">
        <v>85</v>
      </c>
      <c r="L64" t="s">
        <v>85</v>
      </c>
      <c r="M64" t="s">
        <v>27</v>
      </c>
      <c r="N64" t="s">
        <v>85</v>
      </c>
      <c r="O64" t="s">
        <v>28</v>
      </c>
      <c r="P64">
        <v>400</v>
      </c>
      <c r="Q64">
        <v>70</v>
      </c>
      <c r="R64">
        <v>15</v>
      </c>
      <c r="S64" t="s">
        <v>237</v>
      </c>
      <c r="T64" t="s">
        <v>40</v>
      </c>
    </row>
    <row r="65" spans="1:20" hidden="1" x14ac:dyDescent="0.2">
      <c r="A65">
        <v>64</v>
      </c>
      <c r="B65" t="s">
        <v>17</v>
      </c>
      <c r="C65" t="s">
        <v>40</v>
      </c>
      <c r="D65" t="s">
        <v>42</v>
      </c>
      <c r="E65">
        <v>14</v>
      </c>
      <c r="F65">
        <v>1</v>
      </c>
      <c r="G65">
        <v>1</v>
      </c>
      <c r="H65" t="s">
        <v>25</v>
      </c>
      <c r="I65" t="s">
        <v>238</v>
      </c>
      <c r="J65" t="s">
        <v>85</v>
      </c>
      <c r="K65" t="s">
        <v>85</v>
      </c>
      <c r="L65" t="s">
        <v>85</v>
      </c>
      <c r="M65" t="s">
        <v>12</v>
      </c>
      <c r="N65" t="s">
        <v>85</v>
      </c>
      <c r="O65" t="s">
        <v>28</v>
      </c>
      <c r="P65">
        <v>400</v>
      </c>
      <c r="Q65">
        <v>70</v>
      </c>
      <c r="R65">
        <v>15</v>
      </c>
      <c r="S65" t="s">
        <v>239</v>
      </c>
      <c r="T65" t="s">
        <v>40</v>
      </c>
    </row>
    <row r="66" spans="1:20" hidden="1" x14ac:dyDescent="0.2">
      <c r="A66">
        <v>65</v>
      </c>
      <c r="B66" t="s">
        <v>17</v>
      </c>
      <c r="C66" t="s">
        <v>40</v>
      </c>
      <c r="D66" t="s">
        <v>42</v>
      </c>
      <c r="E66">
        <v>28</v>
      </c>
      <c r="F66">
        <v>1</v>
      </c>
      <c r="G66">
        <v>1</v>
      </c>
      <c r="H66" t="s">
        <v>25</v>
      </c>
      <c r="I66" t="s">
        <v>240</v>
      </c>
      <c r="J66" t="s">
        <v>85</v>
      </c>
      <c r="K66" t="s">
        <v>85</v>
      </c>
      <c r="L66" t="s">
        <v>85</v>
      </c>
      <c r="M66" t="s">
        <v>27</v>
      </c>
      <c r="N66" t="s">
        <v>85</v>
      </c>
      <c r="O66" t="s">
        <v>28</v>
      </c>
      <c r="P66">
        <v>400</v>
      </c>
      <c r="Q66">
        <v>70</v>
      </c>
      <c r="R66">
        <v>15</v>
      </c>
      <c r="S66" t="s">
        <v>241</v>
      </c>
      <c r="T66" t="s">
        <v>40</v>
      </c>
    </row>
    <row r="67" spans="1:20" hidden="1" x14ac:dyDescent="0.2">
      <c r="A67">
        <v>66</v>
      </c>
      <c r="B67" t="s">
        <v>17</v>
      </c>
      <c r="C67" t="s">
        <v>40</v>
      </c>
      <c r="D67" t="s">
        <v>42</v>
      </c>
      <c r="E67">
        <v>42</v>
      </c>
      <c r="F67">
        <v>1</v>
      </c>
      <c r="G67">
        <v>1</v>
      </c>
      <c r="H67" t="s">
        <v>25</v>
      </c>
      <c r="I67" t="s">
        <v>242</v>
      </c>
      <c r="J67" t="s">
        <v>85</v>
      </c>
      <c r="K67" t="s">
        <v>85</v>
      </c>
      <c r="L67" t="s">
        <v>85</v>
      </c>
      <c r="M67" t="s">
        <v>12</v>
      </c>
      <c r="N67" t="s">
        <v>85</v>
      </c>
      <c r="O67" t="s">
        <v>28</v>
      </c>
      <c r="P67">
        <v>400</v>
      </c>
      <c r="Q67">
        <v>70</v>
      </c>
      <c r="R67">
        <v>15</v>
      </c>
      <c r="S67" t="s">
        <v>243</v>
      </c>
      <c r="T67" t="s">
        <v>40</v>
      </c>
    </row>
    <row r="68" spans="1:20" hidden="1" x14ac:dyDescent="0.2">
      <c r="A68">
        <v>67</v>
      </c>
      <c r="B68" t="s">
        <v>17</v>
      </c>
      <c r="C68" t="s">
        <v>40</v>
      </c>
      <c r="D68" t="s">
        <v>42</v>
      </c>
      <c r="E68">
        <v>56</v>
      </c>
      <c r="F68">
        <v>1</v>
      </c>
      <c r="G68">
        <v>1</v>
      </c>
      <c r="H68" t="s">
        <v>25</v>
      </c>
      <c r="I68" t="s">
        <v>244</v>
      </c>
      <c r="J68" t="s">
        <v>85</v>
      </c>
      <c r="K68" t="s">
        <v>85</v>
      </c>
      <c r="L68" t="s">
        <v>85</v>
      </c>
      <c r="M68" t="s">
        <v>27</v>
      </c>
      <c r="N68" t="s">
        <v>85</v>
      </c>
      <c r="O68" t="s">
        <v>28</v>
      </c>
      <c r="P68">
        <v>400</v>
      </c>
      <c r="Q68">
        <v>70</v>
      </c>
      <c r="R68">
        <v>15</v>
      </c>
      <c r="S68" t="s">
        <v>245</v>
      </c>
      <c r="T68" t="s">
        <v>40</v>
      </c>
    </row>
    <row r="69" spans="1:20" hidden="1" x14ac:dyDescent="0.2">
      <c r="A69">
        <v>68</v>
      </c>
      <c r="B69" t="s">
        <v>17</v>
      </c>
      <c r="C69" t="s">
        <v>40</v>
      </c>
      <c r="D69" t="s">
        <v>42</v>
      </c>
      <c r="E69">
        <v>70</v>
      </c>
      <c r="F69">
        <v>1</v>
      </c>
      <c r="G69">
        <v>1</v>
      </c>
      <c r="H69" t="s">
        <v>25</v>
      </c>
      <c r="I69" t="s">
        <v>246</v>
      </c>
      <c r="J69" t="s">
        <v>85</v>
      </c>
      <c r="K69" t="s">
        <v>85</v>
      </c>
      <c r="L69" t="s">
        <v>85</v>
      </c>
      <c r="M69" t="s">
        <v>12</v>
      </c>
      <c r="N69" t="s">
        <v>86</v>
      </c>
      <c r="O69" t="s">
        <v>28</v>
      </c>
      <c r="P69">
        <v>400</v>
      </c>
      <c r="Q69">
        <v>70</v>
      </c>
      <c r="R69">
        <v>15</v>
      </c>
      <c r="S69" t="s">
        <v>247</v>
      </c>
      <c r="T69" t="s">
        <v>40</v>
      </c>
    </row>
    <row r="70" spans="1:20" hidden="1" x14ac:dyDescent="0.2">
      <c r="A70">
        <v>69</v>
      </c>
      <c r="B70" t="s">
        <v>17</v>
      </c>
      <c r="C70" t="s">
        <v>40</v>
      </c>
      <c r="D70" t="s">
        <v>42</v>
      </c>
      <c r="E70">
        <v>84</v>
      </c>
      <c r="F70">
        <v>1</v>
      </c>
      <c r="G70">
        <v>1</v>
      </c>
      <c r="H70" t="s">
        <v>25</v>
      </c>
      <c r="I70" t="s">
        <v>248</v>
      </c>
      <c r="J70" t="s">
        <v>85</v>
      </c>
      <c r="K70" t="s">
        <v>85</v>
      </c>
      <c r="L70" t="s">
        <v>85</v>
      </c>
      <c r="M70" t="s">
        <v>27</v>
      </c>
      <c r="N70" t="s">
        <v>86</v>
      </c>
      <c r="O70" t="s">
        <v>28</v>
      </c>
      <c r="P70">
        <v>400</v>
      </c>
      <c r="Q70">
        <v>70</v>
      </c>
      <c r="R70">
        <v>15</v>
      </c>
      <c r="S70" t="s">
        <v>249</v>
      </c>
      <c r="T70" t="s">
        <v>40</v>
      </c>
    </row>
    <row r="71" spans="1:20" hidden="1" x14ac:dyDescent="0.2">
      <c r="A71">
        <v>70</v>
      </c>
      <c r="B71" t="s">
        <v>17</v>
      </c>
      <c r="C71" t="s">
        <v>40</v>
      </c>
      <c r="D71" t="s">
        <v>42</v>
      </c>
      <c r="E71">
        <v>98</v>
      </c>
      <c r="F71">
        <v>1</v>
      </c>
      <c r="G71">
        <v>1</v>
      </c>
      <c r="H71" t="s">
        <v>25</v>
      </c>
      <c r="I71" t="s">
        <v>250</v>
      </c>
      <c r="J71" t="s">
        <v>85</v>
      </c>
      <c r="K71" t="s">
        <v>85</v>
      </c>
      <c r="L71" t="s">
        <v>85</v>
      </c>
      <c r="M71" t="s">
        <v>27</v>
      </c>
      <c r="N71" t="s">
        <v>85</v>
      </c>
      <c r="O71" t="s">
        <v>28</v>
      </c>
      <c r="P71">
        <v>400</v>
      </c>
      <c r="Q71">
        <v>70</v>
      </c>
      <c r="R71">
        <v>15</v>
      </c>
      <c r="S71" t="s">
        <v>251</v>
      </c>
      <c r="T71" t="s">
        <v>40</v>
      </c>
    </row>
    <row r="72" spans="1:20" hidden="1" x14ac:dyDescent="0.2">
      <c r="A72">
        <v>71</v>
      </c>
      <c r="B72" t="s">
        <v>17</v>
      </c>
      <c r="C72" t="s">
        <v>40</v>
      </c>
      <c r="D72" t="s">
        <v>42</v>
      </c>
      <c r="E72">
        <v>112</v>
      </c>
      <c r="F72">
        <v>1</v>
      </c>
      <c r="G72">
        <v>1</v>
      </c>
      <c r="H72" t="s">
        <v>25</v>
      </c>
      <c r="I72" t="s">
        <v>252</v>
      </c>
      <c r="J72" t="s">
        <v>85</v>
      </c>
      <c r="K72" t="s">
        <v>85</v>
      </c>
      <c r="L72" t="s">
        <v>85</v>
      </c>
      <c r="M72" t="s">
        <v>27</v>
      </c>
      <c r="N72" t="s">
        <v>85</v>
      </c>
      <c r="O72" t="s">
        <v>28</v>
      </c>
      <c r="P72">
        <v>400</v>
      </c>
      <c r="Q72">
        <v>70</v>
      </c>
      <c r="R72">
        <v>15</v>
      </c>
      <c r="S72" t="s">
        <v>253</v>
      </c>
      <c r="T72" t="s">
        <v>40</v>
      </c>
    </row>
    <row r="73" spans="1:20" hidden="1" x14ac:dyDescent="0.2">
      <c r="A73">
        <v>72</v>
      </c>
      <c r="B73" t="s">
        <v>17</v>
      </c>
      <c r="C73" t="s">
        <v>40</v>
      </c>
      <c r="D73" t="s">
        <v>42</v>
      </c>
      <c r="E73">
        <v>126</v>
      </c>
      <c r="F73">
        <v>1</v>
      </c>
      <c r="G73">
        <v>1</v>
      </c>
      <c r="H73" t="s">
        <v>25</v>
      </c>
      <c r="I73" t="s">
        <v>254</v>
      </c>
      <c r="J73" t="s">
        <v>85</v>
      </c>
      <c r="K73" t="s">
        <v>85</v>
      </c>
      <c r="L73" t="s">
        <v>85</v>
      </c>
      <c r="M73" t="s">
        <v>12</v>
      </c>
      <c r="N73" t="s">
        <v>85</v>
      </c>
      <c r="O73" t="s">
        <v>28</v>
      </c>
      <c r="P73">
        <v>400</v>
      </c>
      <c r="Q73">
        <v>70</v>
      </c>
      <c r="R73">
        <v>15</v>
      </c>
      <c r="S73" t="s">
        <v>255</v>
      </c>
      <c r="T73" t="s">
        <v>40</v>
      </c>
    </row>
    <row r="74" spans="1:20" hidden="1" x14ac:dyDescent="0.2">
      <c r="A74">
        <v>73</v>
      </c>
      <c r="B74" t="s">
        <v>17</v>
      </c>
      <c r="C74" t="s">
        <v>40</v>
      </c>
      <c r="D74" t="s">
        <v>42</v>
      </c>
      <c r="E74">
        <v>140</v>
      </c>
      <c r="F74">
        <v>1</v>
      </c>
      <c r="G74">
        <v>1</v>
      </c>
      <c r="H74" t="s">
        <v>25</v>
      </c>
      <c r="I74" t="s">
        <v>256</v>
      </c>
      <c r="J74" t="s">
        <v>85</v>
      </c>
      <c r="K74" t="s">
        <v>85</v>
      </c>
      <c r="L74" t="s">
        <v>85</v>
      </c>
      <c r="M74" t="s">
        <v>27</v>
      </c>
      <c r="N74" t="s">
        <v>86</v>
      </c>
      <c r="O74" t="s">
        <v>28</v>
      </c>
      <c r="P74">
        <v>400</v>
      </c>
      <c r="Q74">
        <v>70</v>
      </c>
      <c r="R74">
        <v>15</v>
      </c>
      <c r="S74" t="s">
        <v>257</v>
      </c>
      <c r="T74" t="s">
        <v>40</v>
      </c>
    </row>
    <row r="75" spans="1:20" hidden="1" x14ac:dyDescent="0.2">
      <c r="A75">
        <v>74</v>
      </c>
      <c r="B75" t="s">
        <v>17</v>
      </c>
      <c r="C75" t="s">
        <v>40</v>
      </c>
      <c r="D75" t="s">
        <v>42</v>
      </c>
      <c r="E75">
        <v>154</v>
      </c>
      <c r="F75">
        <v>1</v>
      </c>
      <c r="G75">
        <v>1</v>
      </c>
      <c r="H75" t="s">
        <v>25</v>
      </c>
      <c r="I75" t="s">
        <v>258</v>
      </c>
      <c r="J75" t="s">
        <v>85</v>
      </c>
      <c r="K75" t="s">
        <v>85</v>
      </c>
      <c r="L75" t="s">
        <v>85</v>
      </c>
      <c r="M75" t="s">
        <v>27</v>
      </c>
      <c r="N75" t="s">
        <v>85</v>
      </c>
      <c r="O75" t="s">
        <v>28</v>
      </c>
      <c r="P75">
        <v>400</v>
      </c>
      <c r="Q75">
        <v>70</v>
      </c>
      <c r="R75">
        <v>15</v>
      </c>
      <c r="S75" t="s">
        <v>259</v>
      </c>
      <c r="T75" t="s">
        <v>40</v>
      </c>
    </row>
    <row r="76" spans="1:20" hidden="1" x14ac:dyDescent="0.2">
      <c r="A76">
        <v>75</v>
      </c>
      <c r="B76" t="s">
        <v>17</v>
      </c>
      <c r="C76" t="s">
        <v>40</v>
      </c>
      <c r="D76" t="s">
        <v>42</v>
      </c>
      <c r="E76">
        <v>168</v>
      </c>
      <c r="F76">
        <v>1</v>
      </c>
      <c r="G76">
        <v>1</v>
      </c>
      <c r="H76" t="s">
        <v>25</v>
      </c>
      <c r="I76" t="s">
        <v>260</v>
      </c>
      <c r="J76" t="s">
        <v>85</v>
      </c>
      <c r="K76" t="s">
        <v>85</v>
      </c>
      <c r="L76" t="s">
        <v>85</v>
      </c>
      <c r="M76" t="s">
        <v>27</v>
      </c>
      <c r="N76" t="s">
        <v>85</v>
      </c>
      <c r="O76" t="s">
        <v>28</v>
      </c>
      <c r="P76">
        <v>400</v>
      </c>
      <c r="Q76">
        <v>70</v>
      </c>
      <c r="R76">
        <v>15</v>
      </c>
      <c r="S76" t="s">
        <v>261</v>
      </c>
      <c r="T76" t="s">
        <v>40</v>
      </c>
    </row>
    <row r="77" spans="1:20" hidden="1" x14ac:dyDescent="0.2">
      <c r="A77">
        <v>76</v>
      </c>
      <c r="B77" t="s">
        <v>17</v>
      </c>
      <c r="C77" t="s">
        <v>40</v>
      </c>
      <c r="D77" t="s">
        <v>42</v>
      </c>
      <c r="E77">
        <v>182</v>
      </c>
      <c r="F77">
        <v>1</v>
      </c>
      <c r="G77">
        <v>1</v>
      </c>
      <c r="H77" t="s">
        <v>25</v>
      </c>
      <c r="I77" t="s">
        <v>262</v>
      </c>
      <c r="J77" t="s">
        <v>85</v>
      </c>
      <c r="K77" t="s">
        <v>85</v>
      </c>
      <c r="L77" t="s">
        <v>85</v>
      </c>
      <c r="M77" t="s">
        <v>12</v>
      </c>
      <c r="N77" t="s">
        <v>85</v>
      </c>
      <c r="O77" t="s">
        <v>28</v>
      </c>
      <c r="P77">
        <v>400</v>
      </c>
      <c r="Q77">
        <v>70</v>
      </c>
      <c r="R77">
        <v>15</v>
      </c>
      <c r="S77" t="s">
        <v>263</v>
      </c>
      <c r="T77" t="s">
        <v>40</v>
      </c>
    </row>
    <row r="78" spans="1:20" hidden="1" x14ac:dyDescent="0.2">
      <c r="A78">
        <v>77</v>
      </c>
      <c r="B78" t="s">
        <v>17</v>
      </c>
      <c r="C78" t="s">
        <v>40</v>
      </c>
      <c r="D78" t="s">
        <v>42</v>
      </c>
      <c r="E78">
        <v>196</v>
      </c>
      <c r="F78">
        <v>1</v>
      </c>
      <c r="G78">
        <v>1</v>
      </c>
      <c r="H78" t="s">
        <v>25</v>
      </c>
      <c r="I78" t="s">
        <v>264</v>
      </c>
      <c r="J78" t="s">
        <v>85</v>
      </c>
      <c r="K78" t="s">
        <v>85</v>
      </c>
      <c r="L78" t="s">
        <v>85</v>
      </c>
      <c r="M78" t="s">
        <v>27</v>
      </c>
      <c r="N78" t="s">
        <v>85</v>
      </c>
      <c r="O78" t="s">
        <v>28</v>
      </c>
      <c r="P78">
        <v>400</v>
      </c>
      <c r="Q78">
        <v>70</v>
      </c>
      <c r="R78">
        <v>15</v>
      </c>
      <c r="S78" t="s">
        <v>265</v>
      </c>
      <c r="T78" t="s">
        <v>40</v>
      </c>
    </row>
    <row r="79" spans="1:20" hidden="1" x14ac:dyDescent="0.2">
      <c r="A79">
        <v>78</v>
      </c>
      <c r="B79" t="s">
        <v>17</v>
      </c>
      <c r="C79" t="s">
        <v>40</v>
      </c>
      <c r="D79" t="s">
        <v>42</v>
      </c>
      <c r="E79">
        <v>210</v>
      </c>
      <c r="F79">
        <v>1</v>
      </c>
      <c r="G79">
        <v>1</v>
      </c>
      <c r="H79" t="s">
        <v>25</v>
      </c>
      <c r="I79" t="s">
        <v>264</v>
      </c>
      <c r="J79" t="s">
        <v>85</v>
      </c>
      <c r="K79" t="s">
        <v>85</v>
      </c>
      <c r="L79" t="s">
        <v>85</v>
      </c>
      <c r="M79" t="s">
        <v>12</v>
      </c>
      <c r="N79" t="s">
        <v>85</v>
      </c>
      <c r="O79" t="s">
        <v>28</v>
      </c>
      <c r="P79">
        <v>400</v>
      </c>
      <c r="Q79">
        <v>70</v>
      </c>
      <c r="R79">
        <v>15</v>
      </c>
      <c r="S79" t="s">
        <v>266</v>
      </c>
      <c r="T79" t="s">
        <v>40</v>
      </c>
    </row>
    <row r="80" spans="1:20" hidden="1" x14ac:dyDescent="0.2">
      <c r="A80">
        <v>79</v>
      </c>
      <c r="B80" t="s">
        <v>17</v>
      </c>
      <c r="C80" t="s">
        <v>40</v>
      </c>
      <c r="D80" t="s">
        <v>42</v>
      </c>
      <c r="E80">
        <v>233</v>
      </c>
      <c r="F80">
        <v>1</v>
      </c>
      <c r="G80">
        <v>1</v>
      </c>
      <c r="H80" t="s">
        <v>25</v>
      </c>
      <c r="I80" t="s">
        <v>267</v>
      </c>
      <c r="J80" t="s">
        <v>85</v>
      </c>
      <c r="K80" t="s">
        <v>85</v>
      </c>
      <c r="L80" t="s">
        <v>85</v>
      </c>
      <c r="M80" t="s">
        <v>27</v>
      </c>
      <c r="N80" t="s">
        <v>85</v>
      </c>
      <c r="O80" t="s">
        <v>28</v>
      </c>
      <c r="P80">
        <v>400</v>
      </c>
      <c r="Q80">
        <v>70</v>
      </c>
      <c r="R80">
        <v>15</v>
      </c>
      <c r="S80" t="s">
        <v>268</v>
      </c>
      <c r="T80" t="s">
        <v>40</v>
      </c>
    </row>
    <row r="81" spans="1:20" hidden="1" x14ac:dyDescent="0.2">
      <c r="A81">
        <v>80</v>
      </c>
      <c r="B81" t="s">
        <v>17</v>
      </c>
      <c r="C81" t="s">
        <v>47</v>
      </c>
      <c r="D81" t="s">
        <v>48</v>
      </c>
      <c r="E81">
        <v>0</v>
      </c>
      <c r="F81">
        <v>1</v>
      </c>
      <c r="G81">
        <v>1</v>
      </c>
      <c r="H81" t="s">
        <v>25</v>
      </c>
      <c r="I81" t="s">
        <v>269</v>
      </c>
      <c r="J81" t="s">
        <v>85</v>
      </c>
      <c r="K81" t="s">
        <v>85</v>
      </c>
      <c r="L81" t="s">
        <v>85</v>
      </c>
      <c r="M81" t="s">
        <v>27</v>
      </c>
      <c r="N81" t="s">
        <v>270</v>
      </c>
      <c r="O81" t="s">
        <v>28</v>
      </c>
      <c r="P81">
        <v>400</v>
      </c>
      <c r="Q81">
        <v>70</v>
      </c>
      <c r="R81">
        <v>15</v>
      </c>
      <c r="S81" t="s">
        <v>271</v>
      </c>
      <c r="T81" t="s">
        <v>47</v>
      </c>
    </row>
    <row r="82" spans="1:20" hidden="1" x14ac:dyDescent="0.2">
      <c r="A82">
        <v>81</v>
      </c>
      <c r="B82" t="s">
        <v>17</v>
      </c>
      <c r="C82" t="s">
        <v>47</v>
      </c>
      <c r="D82" t="s">
        <v>48</v>
      </c>
      <c r="E82">
        <v>14</v>
      </c>
      <c r="F82">
        <v>1</v>
      </c>
      <c r="G82">
        <v>1</v>
      </c>
      <c r="H82" t="s">
        <v>25</v>
      </c>
      <c r="I82" t="s">
        <v>272</v>
      </c>
      <c r="J82" t="s">
        <v>85</v>
      </c>
      <c r="K82" t="s">
        <v>85</v>
      </c>
      <c r="L82" t="s">
        <v>85</v>
      </c>
      <c r="M82" t="s">
        <v>12</v>
      </c>
      <c r="N82" t="s">
        <v>270</v>
      </c>
      <c r="O82" t="s">
        <v>28</v>
      </c>
      <c r="P82">
        <v>400</v>
      </c>
      <c r="Q82">
        <v>70</v>
      </c>
      <c r="R82">
        <v>15</v>
      </c>
      <c r="S82" t="s">
        <v>273</v>
      </c>
      <c r="T82" t="s">
        <v>47</v>
      </c>
    </row>
    <row r="83" spans="1:20" hidden="1" x14ac:dyDescent="0.2">
      <c r="A83">
        <v>82</v>
      </c>
      <c r="B83" t="s">
        <v>17</v>
      </c>
      <c r="C83" t="s">
        <v>47</v>
      </c>
      <c r="D83" t="s">
        <v>48</v>
      </c>
      <c r="E83">
        <v>28</v>
      </c>
      <c r="F83">
        <v>1</v>
      </c>
      <c r="G83">
        <v>1</v>
      </c>
      <c r="H83" t="s">
        <v>25</v>
      </c>
      <c r="I83" t="s">
        <v>274</v>
      </c>
      <c r="J83" t="s">
        <v>85</v>
      </c>
      <c r="K83" t="s">
        <v>85</v>
      </c>
      <c r="L83" t="s">
        <v>85</v>
      </c>
      <c r="M83" t="s">
        <v>27</v>
      </c>
      <c r="N83" t="s">
        <v>270</v>
      </c>
      <c r="O83" t="s">
        <v>28</v>
      </c>
      <c r="P83">
        <v>400</v>
      </c>
      <c r="Q83">
        <v>70</v>
      </c>
      <c r="R83">
        <v>15</v>
      </c>
      <c r="S83" t="s">
        <v>275</v>
      </c>
      <c r="T83" t="s">
        <v>47</v>
      </c>
    </row>
    <row r="84" spans="1:20" hidden="1" x14ac:dyDescent="0.2">
      <c r="A84">
        <v>83</v>
      </c>
      <c r="B84" t="s">
        <v>17</v>
      </c>
      <c r="C84" t="s">
        <v>47</v>
      </c>
      <c r="D84" t="s">
        <v>48</v>
      </c>
      <c r="E84">
        <v>42</v>
      </c>
      <c r="F84">
        <v>1</v>
      </c>
      <c r="G84">
        <v>1</v>
      </c>
      <c r="H84" t="s">
        <v>25</v>
      </c>
      <c r="I84" t="s">
        <v>276</v>
      </c>
      <c r="J84" t="s">
        <v>85</v>
      </c>
      <c r="K84" t="s">
        <v>85</v>
      </c>
      <c r="L84" t="s">
        <v>85</v>
      </c>
      <c r="M84" t="s">
        <v>12</v>
      </c>
      <c r="N84" t="s">
        <v>270</v>
      </c>
      <c r="O84" t="s">
        <v>28</v>
      </c>
      <c r="P84">
        <v>400</v>
      </c>
      <c r="Q84">
        <v>70</v>
      </c>
      <c r="R84">
        <v>15</v>
      </c>
      <c r="S84" t="s">
        <v>277</v>
      </c>
      <c r="T84" t="s">
        <v>47</v>
      </c>
    </row>
    <row r="85" spans="1:20" hidden="1" x14ac:dyDescent="0.2">
      <c r="A85">
        <v>84</v>
      </c>
      <c r="B85" t="s">
        <v>17</v>
      </c>
      <c r="C85" t="s">
        <v>47</v>
      </c>
      <c r="D85" t="s">
        <v>48</v>
      </c>
      <c r="E85">
        <v>56</v>
      </c>
      <c r="F85">
        <v>1</v>
      </c>
      <c r="G85">
        <v>1</v>
      </c>
      <c r="H85" t="s">
        <v>25</v>
      </c>
      <c r="I85" t="s">
        <v>278</v>
      </c>
      <c r="J85" t="s">
        <v>85</v>
      </c>
      <c r="K85" t="s">
        <v>85</v>
      </c>
      <c r="L85" t="s">
        <v>85</v>
      </c>
      <c r="M85" t="s">
        <v>27</v>
      </c>
      <c r="N85" t="s">
        <v>270</v>
      </c>
      <c r="O85" t="s">
        <v>28</v>
      </c>
      <c r="P85">
        <v>400</v>
      </c>
      <c r="Q85">
        <v>70</v>
      </c>
      <c r="R85">
        <v>15</v>
      </c>
      <c r="S85" t="s">
        <v>279</v>
      </c>
      <c r="T85" t="s">
        <v>47</v>
      </c>
    </row>
    <row r="86" spans="1:20" hidden="1" x14ac:dyDescent="0.2">
      <c r="A86">
        <v>85</v>
      </c>
      <c r="B86" t="s">
        <v>17</v>
      </c>
      <c r="C86" t="s">
        <v>47</v>
      </c>
      <c r="D86" t="s">
        <v>48</v>
      </c>
      <c r="E86">
        <v>70</v>
      </c>
      <c r="F86">
        <v>1</v>
      </c>
      <c r="G86">
        <v>1</v>
      </c>
      <c r="H86" t="s">
        <v>25</v>
      </c>
      <c r="I86" t="s">
        <v>280</v>
      </c>
      <c r="J86" t="s">
        <v>85</v>
      </c>
      <c r="K86" t="s">
        <v>85</v>
      </c>
      <c r="L86" t="s">
        <v>85</v>
      </c>
      <c r="M86" t="s">
        <v>12</v>
      </c>
      <c r="N86" t="s">
        <v>270</v>
      </c>
      <c r="O86" t="s">
        <v>28</v>
      </c>
      <c r="P86">
        <v>400</v>
      </c>
      <c r="Q86">
        <v>70</v>
      </c>
      <c r="R86">
        <v>15</v>
      </c>
      <c r="S86" t="s">
        <v>281</v>
      </c>
      <c r="T86" t="s">
        <v>47</v>
      </c>
    </row>
    <row r="87" spans="1:20" hidden="1" x14ac:dyDescent="0.2">
      <c r="A87">
        <v>86</v>
      </c>
      <c r="B87" t="s">
        <v>17</v>
      </c>
      <c r="C87" t="s">
        <v>47</v>
      </c>
      <c r="D87" t="s">
        <v>48</v>
      </c>
      <c r="E87">
        <v>84</v>
      </c>
      <c r="F87">
        <v>1</v>
      </c>
      <c r="G87">
        <v>1</v>
      </c>
      <c r="H87" t="s">
        <v>25</v>
      </c>
      <c r="I87" t="s">
        <v>282</v>
      </c>
      <c r="J87" t="s">
        <v>85</v>
      </c>
      <c r="K87" t="s">
        <v>85</v>
      </c>
      <c r="L87" t="s">
        <v>85</v>
      </c>
      <c r="M87" t="s">
        <v>27</v>
      </c>
      <c r="N87" t="s">
        <v>270</v>
      </c>
      <c r="O87" t="s">
        <v>28</v>
      </c>
      <c r="P87">
        <v>400</v>
      </c>
      <c r="Q87">
        <v>70</v>
      </c>
      <c r="R87">
        <v>15</v>
      </c>
      <c r="S87" t="s">
        <v>283</v>
      </c>
      <c r="T87" t="s">
        <v>47</v>
      </c>
    </row>
    <row r="88" spans="1:20" hidden="1" x14ac:dyDescent="0.2">
      <c r="A88">
        <v>87</v>
      </c>
      <c r="B88" t="s">
        <v>17</v>
      </c>
      <c r="C88" t="s">
        <v>47</v>
      </c>
      <c r="D88" t="s">
        <v>48</v>
      </c>
      <c r="E88">
        <v>98</v>
      </c>
      <c r="F88">
        <v>1</v>
      </c>
      <c r="G88">
        <v>1</v>
      </c>
      <c r="H88" t="s">
        <v>25</v>
      </c>
      <c r="I88" t="s">
        <v>284</v>
      </c>
      <c r="J88" t="s">
        <v>85</v>
      </c>
      <c r="K88" t="s">
        <v>85</v>
      </c>
      <c r="L88" t="s">
        <v>85</v>
      </c>
      <c r="M88" t="s">
        <v>12</v>
      </c>
      <c r="N88" t="s">
        <v>270</v>
      </c>
      <c r="O88" t="s">
        <v>28</v>
      </c>
      <c r="P88">
        <v>400</v>
      </c>
      <c r="Q88">
        <v>70</v>
      </c>
      <c r="R88">
        <v>15</v>
      </c>
      <c r="S88" t="s">
        <v>285</v>
      </c>
      <c r="T88" t="s">
        <v>47</v>
      </c>
    </row>
    <row r="89" spans="1:20" hidden="1" x14ac:dyDescent="0.2">
      <c r="A89">
        <v>88</v>
      </c>
      <c r="B89" t="s">
        <v>17</v>
      </c>
      <c r="C89" t="s">
        <v>47</v>
      </c>
      <c r="D89" t="s">
        <v>48</v>
      </c>
      <c r="E89">
        <v>112</v>
      </c>
      <c r="F89">
        <v>1</v>
      </c>
      <c r="G89">
        <v>1</v>
      </c>
      <c r="H89" t="s">
        <v>25</v>
      </c>
      <c r="I89" t="s">
        <v>286</v>
      </c>
      <c r="J89" t="s">
        <v>85</v>
      </c>
      <c r="K89" t="s">
        <v>85</v>
      </c>
      <c r="L89" t="s">
        <v>85</v>
      </c>
      <c r="M89" t="s">
        <v>27</v>
      </c>
      <c r="N89" t="s">
        <v>270</v>
      </c>
      <c r="O89" t="s">
        <v>28</v>
      </c>
      <c r="P89">
        <v>400</v>
      </c>
      <c r="Q89">
        <v>70</v>
      </c>
      <c r="R89">
        <v>15</v>
      </c>
      <c r="S89" t="s">
        <v>287</v>
      </c>
      <c r="T89" t="s">
        <v>47</v>
      </c>
    </row>
    <row r="90" spans="1:20" hidden="1" x14ac:dyDescent="0.2">
      <c r="A90">
        <v>89</v>
      </c>
      <c r="B90" t="s">
        <v>17</v>
      </c>
      <c r="C90" t="s">
        <v>47</v>
      </c>
      <c r="D90" t="s">
        <v>48</v>
      </c>
      <c r="E90">
        <v>126</v>
      </c>
      <c r="F90">
        <v>1</v>
      </c>
      <c r="G90">
        <v>1</v>
      </c>
      <c r="H90" t="s">
        <v>26</v>
      </c>
      <c r="I90" t="s">
        <v>288</v>
      </c>
      <c r="J90" t="s">
        <v>85</v>
      </c>
      <c r="K90" t="s">
        <v>85</v>
      </c>
      <c r="L90" t="s">
        <v>85</v>
      </c>
      <c r="M90" t="s">
        <v>12</v>
      </c>
      <c r="N90" t="s">
        <v>270</v>
      </c>
      <c r="O90" t="s">
        <v>28</v>
      </c>
      <c r="P90">
        <v>400</v>
      </c>
      <c r="Q90">
        <v>70</v>
      </c>
      <c r="R90">
        <v>15</v>
      </c>
      <c r="S90" t="s">
        <v>289</v>
      </c>
      <c r="T90" t="s">
        <v>47</v>
      </c>
    </row>
    <row r="91" spans="1:20" hidden="1" x14ac:dyDescent="0.2">
      <c r="A91">
        <v>90</v>
      </c>
      <c r="B91" t="s">
        <v>17</v>
      </c>
      <c r="C91" t="s">
        <v>47</v>
      </c>
      <c r="D91" t="s">
        <v>48</v>
      </c>
      <c r="E91">
        <v>140</v>
      </c>
      <c r="F91">
        <v>1</v>
      </c>
      <c r="G91">
        <v>1</v>
      </c>
      <c r="H91" t="s">
        <v>26</v>
      </c>
      <c r="I91" t="s">
        <v>290</v>
      </c>
      <c r="J91" t="s">
        <v>85</v>
      </c>
      <c r="K91" t="s">
        <v>85</v>
      </c>
      <c r="L91" t="s">
        <v>85</v>
      </c>
      <c r="M91" t="s">
        <v>27</v>
      </c>
      <c r="N91" t="s">
        <v>270</v>
      </c>
      <c r="O91" t="s">
        <v>28</v>
      </c>
      <c r="P91">
        <v>400</v>
      </c>
      <c r="Q91">
        <v>70</v>
      </c>
      <c r="R91">
        <v>15</v>
      </c>
      <c r="S91" t="s">
        <v>291</v>
      </c>
      <c r="T91" t="s">
        <v>47</v>
      </c>
    </row>
    <row r="92" spans="1:20" hidden="1" x14ac:dyDescent="0.2">
      <c r="A92">
        <v>91</v>
      </c>
      <c r="B92" t="s">
        <v>17</v>
      </c>
      <c r="C92" t="s">
        <v>47</v>
      </c>
      <c r="D92" t="s">
        <v>48</v>
      </c>
      <c r="E92">
        <v>154</v>
      </c>
      <c r="F92">
        <v>1</v>
      </c>
      <c r="G92">
        <v>1</v>
      </c>
      <c r="H92" t="s">
        <v>26</v>
      </c>
      <c r="I92" t="s">
        <v>292</v>
      </c>
      <c r="J92" t="s">
        <v>85</v>
      </c>
      <c r="K92" t="s">
        <v>85</v>
      </c>
      <c r="L92" t="s">
        <v>85</v>
      </c>
      <c r="M92" t="s">
        <v>12</v>
      </c>
      <c r="N92" t="s">
        <v>270</v>
      </c>
      <c r="O92" t="s">
        <v>28</v>
      </c>
      <c r="P92">
        <v>400</v>
      </c>
      <c r="Q92">
        <v>70</v>
      </c>
      <c r="R92">
        <v>15</v>
      </c>
      <c r="S92" t="s">
        <v>293</v>
      </c>
      <c r="T92" t="s">
        <v>47</v>
      </c>
    </row>
    <row r="93" spans="1:20" hidden="1" x14ac:dyDescent="0.2">
      <c r="A93">
        <v>92</v>
      </c>
      <c r="B93" t="s">
        <v>17</v>
      </c>
      <c r="C93" t="s">
        <v>47</v>
      </c>
      <c r="D93" t="s">
        <v>48</v>
      </c>
      <c r="E93">
        <v>168</v>
      </c>
      <c r="F93">
        <v>1</v>
      </c>
      <c r="G93">
        <v>1</v>
      </c>
      <c r="H93" t="s">
        <v>26</v>
      </c>
      <c r="I93" t="s">
        <v>294</v>
      </c>
      <c r="J93" t="s">
        <v>85</v>
      </c>
      <c r="K93" t="s">
        <v>85</v>
      </c>
      <c r="L93" t="s">
        <v>85</v>
      </c>
      <c r="M93" t="s">
        <v>27</v>
      </c>
      <c r="N93" t="s">
        <v>270</v>
      </c>
      <c r="O93" t="s">
        <v>28</v>
      </c>
      <c r="P93">
        <v>400</v>
      </c>
      <c r="Q93">
        <v>70</v>
      </c>
      <c r="R93">
        <v>15</v>
      </c>
      <c r="S93" t="s">
        <v>295</v>
      </c>
      <c r="T93" t="s">
        <v>47</v>
      </c>
    </row>
    <row r="94" spans="1:20" hidden="1" x14ac:dyDescent="0.2">
      <c r="A94">
        <v>93</v>
      </c>
      <c r="B94" t="s">
        <v>17</v>
      </c>
      <c r="C94" t="s">
        <v>47</v>
      </c>
      <c r="D94" t="s">
        <v>48</v>
      </c>
      <c r="E94">
        <v>182</v>
      </c>
      <c r="F94">
        <v>1</v>
      </c>
      <c r="G94">
        <v>1</v>
      </c>
      <c r="H94" t="s">
        <v>26</v>
      </c>
      <c r="I94" t="s">
        <v>296</v>
      </c>
      <c r="J94" t="s">
        <v>85</v>
      </c>
      <c r="K94" t="s">
        <v>85</v>
      </c>
      <c r="L94" t="s">
        <v>85</v>
      </c>
      <c r="M94" t="s">
        <v>12</v>
      </c>
      <c r="N94" t="s">
        <v>270</v>
      </c>
      <c r="O94" t="s">
        <v>28</v>
      </c>
      <c r="P94">
        <v>400</v>
      </c>
      <c r="Q94">
        <v>70</v>
      </c>
      <c r="R94">
        <v>15</v>
      </c>
      <c r="S94" t="s">
        <v>297</v>
      </c>
      <c r="T94" t="s">
        <v>47</v>
      </c>
    </row>
    <row r="95" spans="1:20" hidden="1" x14ac:dyDescent="0.2">
      <c r="A95">
        <v>94</v>
      </c>
      <c r="B95" t="s">
        <v>17</v>
      </c>
      <c r="C95" t="s">
        <v>47</v>
      </c>
      <c r="D95" t="s">
        <v>48</v>
      </c>
      <c r="E95">
        <v>196</v>
      </c>
      <c r="F95">
        <v>1</v>
      </c>
      <c r="G95">
        <v>1</v>
      </c>
      <c r="H95" t="s">
        <v>26</v>
      </c>
      <c r="I95" t="s">
        <v>298</v>
      </c>
      <c r="J95" t="s">
        <v>85</v>
      </c>
      <c r="K95" t="s">
        <v>85</v>
      </c>
      <c r="L95" t="s">
        <v>85</v>
      </c>
      <c r="M95" t="s">
        <v>27</v>
      </c>
      <c r="N95" t="s">
        <v>270</v>
      </c>
      <c r="O95" t="s">
        <v>28</v>
      </c>
      <c r="P95">
        <v>400</v>
      </c>
      <c r="Q95">
        <v>70</v>
      </c>
      <c r="R95">
        <v>15</v>
      </c>
      <c r="S95" t="s">
        <v>299</v>
      </c>
      <c r="T95" t="s">
        <v>47</v>
      </c>
    </row>
    <row r="96" spans="1:20" hidden="1" x14ac:dyDescent="0.2">
      <c r="A96">
        <v>95</v>
      </c>
      <c r="B96" t="s">
        <v>17</v>
      </c>
      <c r="C96" t="s">
        <v>47</v>
      </c>
      <c r="D96" t="s">
        <v>48</v>
      </c>
      <c r="E96">
        <v>210</v>
      </c>
      <c r="F96">
        <v>1</v>
      </c>
      <c r="G96">
        <v>1</v>
      </c>
      <c r="H96" t="s">
        <v>26</v>
      </c>
      <c r="I96" t="s">
        <v>300</v>
      </c>
      <c r="J96" t="s">
        <v>85</v>
      </c>
      <c r="K96" t="s">
        <v>85</v>
      </c>
      <c r="L96" t="s">
        <v>85</v>
      </c>
      <c r="M96" t="s">
        <v>12</v>
      </c>
      <c r="N96" t="s">
        <v>270</v>
      </c>
      <c r="O96" t="s">
        <v>28</v>
      </c>
      <c r="P96">
        <v>400</v>
      </c>
      <c r="Q96">
        <v>70</v>
      </c>
      <c r="R96">
        <v>15</v>
      </c>
      <c r="S96" t="s">
        <v>301</v>
      </c>
      <c r="T96" t="s">
        <v>47</v>
      </c>
    </row>
    <row r="97" spans="1:20" hidden="1" x14ac:dyDescent="0.2">
      <c r="A97">
        <v>96</v>
      </c>
      <c r="B97" t="s">
        <v>17</v>
      </c>
      <c r="C97" t="s">
        <v>47</v>
      </c>
      <c r="D97" t="s">
        <v>48</v>
      </c>
      <c r="E97">
        <v>224</v>
      </c>
      <c r="F97">
        <v>1</v>
      </c>
      <c r="G97">
        <v>1</v>
      </c>
      <c r="H97" t="s">
        <v>26</v>
      </c>
      <c r="I97" t="s">
        <v>302</v>
      </c>
      <c r="J97" t="s">
        <v>85</v>
      </c>
      <c r="K97" t="s">
        <v>85</v>
      </c>
      <c r="L97" t="s">
        <v>85</v>
      </c>
      <c r="M97" t="s">
        <v>27</v>
      </c>
      <c r="N97" t="s">
        <v>270</v>
      </c>
      <c r="O97" t="s">
        <v>28</v>
      </c>
      <c r="P97">
        <v>400</v>
      </c>
      <c r="Q97">
        <v>70</v>
      </c>
      <c r="R97">
        <v>15</v>
      </c>
      <c r="S97" t="s">
        <v>303</v>
      </c>
      <c r="T97" t="s">
        <v>47</v>
      </c>
    </row>
    <row r="98" spans="1:20" hidden="1" x14ac:dyDescent="0.2">
      <c r="A98">
        <v>97</v>
      </c>
      <c r="B98" t="s">
        <v>17</v>
      </c>
      <c r="C98" t="s">
        <v>47</v>
      </c>
      <c r="D98" t="s">
        <v>48</v>
      </c>
      <c r="E98">
        <v>238</v>
      </c>
      <c r="F98">
        <v>1</v>
      </c>
      <c r="G98">
        <v>1</v>
      </c>
      <c r="H98" t="s">
        <v>26</v>
      </c>
      <c r="I98" t="s">
        <v>304</v>
      </c>
      <c r="J98" t="s">
        <v>85</v>
      </c>
      <c r="K98" t="s">
        <v>85</v>
      </c>
      <c r="L98" t="s">
        <v>85</v>
      </c>
      <c r="M98" t="s">
        <v>12</v>
      </c>
      <c r="N98" t="s">
        <v>270</v>
      </c>
      <c r="O98" t="s">
        <v>28</v>
      </c>
      <c r="P98">
        <v>400</v>
      </c>
      <c r="Q98">
        <v>70</v>
      </c>
      <c r="R98">
        <v>15</v>
      </c>
      <c r="S98" t="s">
        <v>305</v>
      </c>
      <c r="T98" t="s">
        <v>47</v>
      </c>
    </row>
    <row r="99" spans="1:20" hidden="1" x14ac:dyDescent="0.2">
      <c r="A99">
        <v>98</v>
      </c>
      <c r="B99" t="s">
        <v>17</v>
      </c>
      <c r="C99" t="s">
        <v>47</v>
      </c>
      <c r="D99" t="s">
        <v>48</v>
      </c>
      <c r="E99">
        <v>252</v>
      </c>
      <c r="F99">
        <v>1</v>
      </c>
      <c r="G99">
        <v>1</v>
      </c>
      <c r="H99" t="s">
        <v>26</v>
      </c>
      <c r="I99" t="s">
        <v>306</v>
      </c>
      <c r="J99" t="s">
        <v>85</v>
      </c>
      <c r="K99" t="s">
        <v>85</v>
      </c>
      <c r="L99" t="s">
        <v>85</v>
      </c>
      <c r="M99" t="s">
        <v>27</v>
      </c>
      <c r="N99" t="s">
        <v>270</v>
      </c>
      <c r="O99" t="s">
        <v>28</v>
      </c>
      <c r="P99">
        <v>400</v>
      </c>
      <c r="Q99">
        <v>70</v>
      </c>
      <c r="R99">
        <v>15</v>
      </c>
      <c r="S99" t="s">
        <v>307</v>
      </c>
      <c r="T99" t="s">
        <v>47</v>
      </c>
    </row>
    <row r="100" spans="1:20" hidden="1" x14ac:dyDescent="0.2">
      <c r="A100">
        <v>99</v>
      </c>
      <c r="B100" t="s">
        <v>17</v>
      </c>
      <c r="C100" t="s">
        <v>47</v>
      </c>
      <c r="D100" t="s">
        <v>48</v>
      </c>
      <c r="E100">
        <v>266</v>
      </c>
      <c r="F100">
        <v>1</v>
      </c>
      <c r="G100">
        <v>1</v>
      </c>
      <c r="H100" t="s">
        <v>26</v>
      </c>
      <c r="I100" t="s">
        <v>308</v>
      </c>
      <c r="J100" t="s">
        <v>85</v>
      </c>
      <c r="K100" t="s">
        <v>85</v>
      </c>
      <c r="L100" t="s">
        <v>85</v>
      </c>
      <c r="M100" t="s">
        <v>12</v>
      </c>
      <c r="N100" t="s">
        <v>270</v>
      </c>
      <c r="O100" t="s">
        <v>28</v>
      </c>
      <c r="P100">
        <v>400</v>
      </c>
      <c r="Q100">
        <v>70</v>
      </c>
      <c r="R100">
        <v>15</v>
      </c>
      <c r="S100" t="s">
        <v>309</v>
      </c>
      <c r="T100" t="s">
        <v>47</v>
      </c>
    </row>
    <row r="101" spans="1:20" hidden="1" x14ac:dyDescent="0.2">
      <c r="A101">
        <v>100</v>
      </c>
      <c r="B101" t="s">
        <v>17</v>
      </c>
      <c r="C101" t="s">
        <v>47</v>
      </c>
      <c r="D101" t="s">
        <v>48</v>
      </c>
      <c r="E101">
        <v>280</v>
      </c>
      <c r="F101">
        <v>1</v>
      </c>
      <c r="G101">
        <v>1</v>
      </c>
      <c r="H101" t="s">
        <v>26</v>
      </c>
      <c r="I101" t="s">
        <v>310</v>
      </c>
      <c r="J101" t="s">
        <v>85</v>
      </c>
      <c r="K101" t="s">
        <v>85</v>
      </c>
      <c r="L101" t="s">
        <v>85</v>
      </c>
      <c r="M101" t="s">
        <v>27</v>
      </c>
      <c r="N101" t="s">
        <v>270</v>
      </c>
      <c r="O101" t="s">
        <v>28</v>
      </c>
      <c r="P101">
        <v>400</v>
      </c>
      <c r="Q101">
        <v>70</v>
      </c>
      <c r="R101">
        <v>15</v>
      </c>
      <c r="S101" t="s">
        <v>311</v>
      </c>
      <c r="T101" t="s">
        <v>47</v>
      </c>
    </row>
    <row r="102" spans="1:20" hidden="1" x14ac:dyDescent="0.2">
      <c r="A102">
        <v>101</v>
      </c>
      <c r="B102" t="s">
        <v>17</v>
      </c>
      <c r="C102" t="s">
        <v>47</v>
      </c>
      <c r="D102" t="s">
        <v>48</v>
      </c>
      <c r="E102">
        <v>294</v>
      </c>
      <c r="F102">
        <v>1</v>
      </c>
      <c r="G102">
        <v>1</v>
      </c>
      <c r="H102" t="s">
        <v>26</v>
      </c>
      <c r="I102" t="s">
        <v>312</v>
      </c>
      <c r="J102" t="s">
        <v>85</v>
      </c>
      <c r="K102" t="s">
        <v>85</v>
      </c>
      <c r="L102" t="s">
        <v>85</v>
      </c>
      <c r="M102" t="s">
        <v>12</v>
      </c>
      <c r="N102" t="s">
        <v>270</v>
      </c>
      <c r="O102" t="s">
        <v>28</v>
      </c>
      <c r="P102">
        <v>400</v>
      </c>
      <c r="Q102">
        <v>70</v>
      </c>
      <c r="R102">
        <v>15</v>
      </c>
      <c r="S102" t="s">
        <v>313</v>
      </c>
      <c r="T102" t="s">
        <v>47</v>
      </c>
    </row>
    <row r="103" spans="1:20" hidden="1" x14ac:dyDescent="0.2">
      <c r="A103">
        <v>102</v>
      </c>
      <c r="B103" t="s">
        <v>17</v>
      </c>
      <c r="C103" t="s">
        <v>47</v>
      </c>
      <c r="D103" t="s">
        <v>48</v>
      </c>
      <c r="E103">
        <v>308</v>
      </c>
      <c r="F103">
        <v>1</v>
      </c>
      <c r="G103">
        <v>1</v>
      </c>
      <c r="H103" t="s">
        <v>26</v>
      </c>
      <c r="I103" t="s">
        <v>314</v>
      </c>
      <c r="J103" t="s">
        <v>85</v>
      </c>
      <c r="K103" t="s">
        <v>85</v>
      </c>
      <c r="L103" t="s">
        <v>85</v>
      </c>
      <c r="M103" t="s">
        <v>27</v>
      </c>
      <c r="N103" t="s">
        <v>270</v>
      </c>
      <c r="O103" t="s">
        <v>28</v>
      </c>
      <c r="P103">
        <v>400</v>
      </c>
      <c r="Q103">
        <v>70</v>
      </c>
      <c r="R103">
        <v>15</v>
      </c>
      <c r="S103" t="s">
        <v>315</v>
      </c>
      <c r="T103" t="s">
        <v>47</v>
      </c>
    </row>
    <row r="104" spans="1:20" hidden="1" x14ac:dyDescent="0.2">
      <c r="A104">
        <v>103</v>
      </c>
      <c r="B104" t="s">
        <v>17</v>
      </c>
      <c r="C104" t="s">
        <v>47</v>
      </c>
      <c r="D104" t="s">
        <v>48</v>
      </c>
      <c r="E104">
        <v>322</v>
      </c>
      <c r="F104">
        <v>1</v>
      </c>
      <c r="G104">
        <v>1</v>
      </c>
      <c r="H104" t="s">
        <v>26</v>
      </c>
      <c r="I104" t="s">
        <v>316</v>
      </c>
      <c r="J104" t="s">
        <v>85</v>
      </c>
      <c r="K104" t="s">
        <v>85</v>
      </c>
      <c r="L104" t="s">
        <v>85</v>
      </c>
      <c r="M104" t="s">
        <v>12</v>
      </c>
      <c r="N104" t="s">
        <v>270</v>
      </c>
      <c r="O104" t="s">
        <v>28</v>
      </c>
      <c r="P104">
        <v>400</v>
      </c>
      <c r="Q104">
        <v>70</v>
      </c>
      <c r="R104">
        <v>15</v>
      </c>
      <c r="S104" t="s">
        <v>317</v>
      </c>
      <c r="T104" t="s">
        <v>47</v>
      </c>
    </row>
    <row r="105" spans="1:20" hidden="1" x14ac:dyDescent="0.2">
      <c r="A105">
        <v>104</v>
      </c>
      <c r="B105" t="s">
        <v>17</v>
      </c>
      <c r="C105" t="s">
        <v>47</v>
      </c>
      <c r="D105" t="s">
        <v>48</v>
      </c>
      <c r="E105">
        <v>336</v>
      </c>
      <c r="F105">
        <v>1</v>
      </c>
      <c r="G105">
        <v>1</v>
      </c>
      <c r="H105" t="s">
        <v>26</v>
      </c>
      <c r="I105" t="s">
        <v>318</v>
      </c>
      <c r="J105" t="s">
        <v>85</v>
      </c>
      <c r="K105" t="s">
        <v>85</v>
      </c>
      <c r="L105" t="s">
        <v>85</v>
      </c>
      <c r="M105" t="s">
        <v>27</v>
      </c>
      <c r="N105" t="s">
        <v>270</v>
      </c>
      <c r="O105" t="s">
        <v>28</v>
      </c>
      <c r="P105">
        <v>400</v>
      </c>
      <c r="Q105">
        <v>70</v>
      </c>
      <c r="R105">
        <v>15</v>
      </c>
      <c r="S105" t="s">
        <v>319</v>
      </c>
      <c r="T105" t="s">
        <v>47</v>
      </c>
    </row>
    <row r="106" spans="1:20" hidden="1" x14ac:dyDescent="0.2">
      <c r="A106">
        <v>105</v>
      </c>
      <c r="B106" t="s">
        <v>17</v>
      </c>
      <c r="C106" t="s">
        <v>47</v>
      </c>
      <c r="D106" t="s">
        <v>48</v>
      </c>
      <c r="E106">
        <v>350</v>
      </c>
      <c r="F106">
        <v>1</v>
      </c>
      <c r="G106">
        <v>1</v>
      </c>
      <c r="H106" t="s">
        <v>26</v>
      </c>
      <c r="I106" t="s">
        <v>320</v>
      </c>
      <c r="J106" t="s">
        <v>85</v>
      </c>
      <c r="K106" t="s">
        <v>85</v>
      </c>
      <c r="L106" t="s">
        <v>85</v>
      </c>
      <c r="M106" t="s">
        <v>12</v>
      </c>
      <c r="N106" t="s">
        <v>270</v>
      </c>
      <c r="O106" t="s">
        <v>28</v>
      </c>
      <c r="P106">
        <v>400</v>
      </c>
      <c r="Q106">
        <v>70</v>
      </c>
      <c r="R106">
        <v>15</v>
      </c>
      <c r="S106" t="s">
        <v>321</v>
      </c>
      <c r="T106" t="s">
        <v>47</v>
      </c>
    </row>
    <row r="107" spans="1:20" hidden="1" x14ac:dyDescent="0.2">
      <c r="A107">
        <v>106</v>
      </c>
      <c r="B107" t="s">
        <v>17</v>
      </c>
      <c r="C107" t="s">
        <v>47</v>
      </c>
      <c r="D107" t="s">
        <v>48</v>
      </c>
      <c r="E107">
        <v>364</v>
      </c>
      <c r="F107">
        <v>1</v>
      </c>
      <c r="G107">
        <v>1</v>
      </c>
      <c r="H107" t="s">
        <v>26</v>
      </c>
      <c r="I107" t="s">
        <v>322</v>
      </c>
      <c r="J107" t="s">
        <v>85</v>
      </c>
      <c r="K107" t="s">
        <v>85</v>
      </c>
      <c r="L107" t="s">
        <v>85</v>
      </c>
      <c r="M107" t="s">
        <v>27</v>
      </c>
      <c r="N107" t="s">
        <v>270</v>
      </c>
      <c r="O107" t="s">
        <v>28</v>
      </c>
      <c r="P107">
        <v>400</v>
      </c>
      <c r="Q107">
        <v>70</v>
      </c>
      <c r="R107">
        <v>15</v>
      </c>
      <c r="S107" t="s">
        <v>323</v>
      </c>
      <c r="T107" t="s">
        <v>47</v>
      </c>
    </row>
    <row r="108" spans="1:20" hidden="1" x14ac:dyDescent="0.2">
      <c r="A108">
        <v>107</v>
      </c>
      <c r="B108" t="s">
        <v>17</v>
      </c>
      <c r="C108" t="s">
        <v>47</v>
      </c>
      <c r="D108" t="s">
        <v>48</v>
      </c>
      <c r="E108">
        <v>378</v>
      </c>
      <c r="F108">
        <v>1</v>
      </c>
      <c r="G108">
        <v>1</v>
      </c>
      <c r="H108" t="s">
        <v>26</v>
      </c>
      <c r="I108" t="s">
        <v>324</v>
      </c>
      <c r="J108" t="s">
        <v>85</v>
      </c>
      <c r="K108" t="s">
        <v>85</v>
      </c>
      <c r="L108" t="s">
        <v>85</v>
      </c>
      <c r="M108" t="s">
        <v>12</v>
      </c>
      <c r="N108" t="s">
        <v>270</v>
      </c>
      <c r="O108" t="s">
        <v>28</v>
      </c>
      <c r="P108">
        <v>400</v>
      </c>
      <c r="Q108">
        <v>70</v>
      </c>
      <c r="R108">
        <v>15</v>
      </c>
      <c r="S108" t="s">
        <v>325</v>
      </c>
      <c r="T108" t="s">
        <v>47</v>
      </c>
    </row>
    <row r="109" spans="1:20" hidden="1" x14ac:dyDescent="0.2">
      <c r="A109">
        <v>108</v>
      </c>
      <c r="B109" t="s">
        <v>17</v>
      </c>
      <c r="C109" t="s">
        <v>47</v>
      </c>
      <c r="D109" t="s">
        <v>48</v>
      </c>
      <c r="E109">
        <v>392</v>
      </c>
      <c r="F109">
        <v>1</v>
      </c>
      <c r="G109">
        <v>1</v>
      </c>
      <c r="H109" t="s">
        <v>26</v>
      </c>
      <c r="I109" t="s">
        <v>326</v>
      </c>
      <c r="J109" t="s">
        <v>85</v>
      </c>
      <c r="K109" t="s">
        <v>85</v>
      </c>
      <c r="L109" t="s">
        <v>85</v>
      </c>
      <c r="M109" t="s">
        <v>27</v>
      </c>
      <c r="N109" t="s">
        <v>270</v>
      </c>
      <c r="O109" t="s">
        <v>28</v>
      </c>
      <c r="P109">
        <v>400</v>
      </c>
      <c r="Q109">
        <v>70</v>
      </c>
      <c r="R109">
        <v>15</v>
      </c>
      <c r="S109" t="s">
        <v>327</v>
      </c>
      <c r="T109" t="s">
        <v>47</v>
      </c>
    </row>
    <row r="110" spans="1:20" x14ac:dyDescent="0.2">
      <c r="A110">
        <v>109</v>
      </c>
      <c r="B110" t="s">
        <v>17</v>
      </c>
      <c r="C110" t="s">
        <v>56</v>
      </c>
      <c r="D110" t="s">
        <v>50</v>
      </c>
      <c r="E110">
        <v>0</v>
      </c>
      <c r="F110">
        <v>1</v>
      </c>
      <c r="G110">
        <v>1</v>
      </c>
      <c r="H110" t="s">
        <v>25</v>
      </c>
      <c r="I110" t="s">
        <v>269</v>
      </c>
      <c r="J110" t="s">
        <v>85</v>
      </c>
      <c r="K110" t="s">
        <v>85</v>
      </c>
      <c r="L110" t="s">
        <v>85</v>
      </c>
      <c r="M110" t="s">
        <v>27</v>
      </c>
      <c r="N110" t="s">
        <v>270</v>
      </c>
      <c r="O110" t="s">
        <v>28</v>
      </c>
      <c r="P110">
        <v>400</v>
      </c>
      <c r="Q110">
        <v>70</v>
      </c>
      <c r="R110">
        <v>15</v>
      </c>
      <c r="S110" t="s">
        <v>328</v>
      </c>
      <c r="T110" t="s">
        <v>56</v>
      </c>
    </row>
    <row r="111" spans="1:20" x14ac:dyDescent="0.2">
      <c r="A111">
        <v>110</v>
      </c>
      <c r="B111" t="s">
        <v>17</v>
      </c>
      <c r="C111" t="s">
        <v>56</v>
      </c>
      <c r="D111" t="s">
        <v>50</v>
      </c>
      <c r="E111">
        <v>14</v>
      </c>
      <c r="F111">
        <v>1</v>
      </c>
      <c r="G111">
        <v>1</v>
      </c>
      <c r="H111" t="s">
        <v>25</v>
      </c>
      <c r="I111" t="s">
        <v>329</v>
      </c>
      <c r="J111" t="s">
        <v>85</v>
      </c>
      <c r="K111" t="s">
        <v>85</v>
      </c>
      <c r="L111" t="s">
        <v>85</v>
      </c>
      <c r="M111" t="s">
        <v>12</v>
      </c>
      <c r="N111" t="s">
        <v>270</v>
      </c>
      <c r="O111" t="s">
        <v>28</v>
      </c>
      <c r="P111">
        <v>400</v>
      </c>
      <c r="Q111">
        <v>70</v>
      </c>
      <c r="R111">
        <v>15</v>
      </c>
      <c r="S111" t="s">
        <v>330</v>
      </c>
      <c r="T111" t="s">
        <v>56</v>
      </c>
    </row>
    <row r="112" spans="1:20" x14ac:dyDescent="0.2">
      <c r="A112">
        <v>111</v>
      </c>
      <c r="B112" t="s">
        <v>17</v>
      </c>
      <c r="C112" t="s">
        <v>56</v>
      </c>
      <c r="D112" t="s">
        <v>50</v>
      </c>
      <c r="E112">
        <v>28</v>
      </c>
      <c r="F112">
        <v>1</v>
      </c>
      <c r="G112">
        <v>1</v>
      </c>
      <c r="H112" t="s">
        <v>25</v>
      </c>
      <c r="I112" t="s">
        <v>331</v>
      </c>
      <c r="J112" t="s">
        <v>85</v>
      </c>
      <c r="K112" t="s">
        <v>85</v>
      </c>
      <c r="L112" t="s">
        <v>85</v>
      </c>
      <c r="M112" t="s">
        <v>27</v>
      </c>
      <c r="N112" t="s">
        <v>270</v>
      </c>
      <c r="O112" t="s">
        <v>28</v>
      </c>
      <c r="P112">
        <v>400</v>
      </c>
      <c r="Q112">
        <v>70</v>
      </c>
      <c r="R112">
        <v>15</v>
      </c>
      <c r="S112" t="s">
        <v>332</v>
      </c>
      <c r="T112" t="s">
        <v>56</v>
      </c>
    </row>
    <row r="113" spans="1:20" x14ac:dyDescent="0.2">
      <c r="A113">
        <v>112</v>
      </c>
      <c r="B113" t="s">
        <v>17</v>
      </c>
      <c r="C113" t="s">
        <v>56</v>
      </c>
      <c r="D113" t="s">
        <v>50</v>
      </c>
      <c r="E113">
        <v>42</v>
      </c>
      <c r="F113">
        <v>1</v>
      </c>
      <c r="G113">
        <v>1</v>
      </c>
      <c r="H113" t="s">
        <v>25</v>
      </c>
      <c r="I113" t="s">
        <v>333</v>
      </c>
      <c r="J113" t="s">
        <v>85</v>
      </c>
      <c r="K113" t="s">
        <v>85</v>
      </c>
      <c r="L113" t="s">
        <v>85</v>
      </c>
      <c r="M113" t="s">
        <v>12</v>
      </c>
      <c r="N113" t="s">
        <v>270</v>
      </c>
      <c r="O113" t="s">
        <v>28</v>
      </c>
      <c r="P113">
        <v>400</v>
      </c>
      <c r="Q113">
        <v>70</v>
      </c>
      <c r="R113">
        <v>15</v>
      </c>
      <c r="S113" t="s">
        <v>334</v>
      </c>
      <c r="T113" t="s">
        <v>56</v>
      </c>
    </row>
    <row r="114" spans="1:20" x14ac:dyDescent="0.2">
      <c r="A114">
        <v>113</v>
      </c>
      <c r="B114" t="s">
        <v>17</v>
      </c>
      <c r="C114" t="s">
        <v>56</v>
      </c>
      <c r="D114" t="s">
        <v>50</v>
      </c>
      <c r="E114">
        <v>56</v>
      </c>
      <c r="F114">
        <v>1</v>
      </c>
      <c r="G114">
        <v>1</v>
      </c>
      <c r="H114" t="s">
        <v>25</v>
      </c>
      <c r="I114" t="s">
        <v>335</v>
      </c>
      <c r="J114" t="s">
        <v>85</v>
      </c>
      <c r="K114" t="s">
        <v>85</v>
      </c>
      <c r="L114" t="s">
        <v>85</v>
      </c>
      <c r="M114" t="s">
        <v>27</v>
      </c>
      <c r="N114" t="s">
        <v>270</v>
      </c>
      <c r="O114" t="s">
        <v>28</v>
      </c>
      <c r="P114">
        <v>400</v>
      </c>
      <c r="Q114">
        <v>70</v>
      </c>
      <c r="R114">
        <v>15</v>
      </c>
      <c r="S114" t="s">
        <v>336</v>
      </c>
      <c r="T114" t="s">
        <v>56</v>
      </c>
    </row>
    <row r="115" spans="1:20" x14ac:dyDescent="0.2">
      <c r="A115">
        <v>114</v>
      </c>
      <c r="B115" t="s">
        <v>17</v>
      </c>
      <c r="C115" t="s">
        <v>56</v>
      </c>
      <c r="D115" t="s">
        <v>50</v>
      </c>
      <c r="E115">
        <v>70</v>
      </c>
      <c r="F115">
        <v>1</v>
      </c>
      <c r="G115">
        <v>1</v>
      </c>
      <c r="H115" t="s">
        <v>25</v>
      </c>
      <c r="I115" t="s">
        <v>337</v>
      </c>
      <c r="J115" t="s">
        <v>85</v>
      </c>
      <c r="K115" t="s">
        <v>85</v>
      </c>
      <c r="L115" t="s">
        <v>85</v>
      </c>
      <c r="M115" t="s">
        <v>12</v>
      </c>
      <c r="N115" t="s">
        <v>270</v>
      </c>
      <c r="O115" t="s">
        <v>28</v>
      </c>
      <c r="P115">
        <v>400</v>
      </c>
      <c r="Q115">
        <v>70</v>
      </c>
      <c r="R115">
        <v>15</v>
      </c>
      <c r="S115" t="s">
        <v>338</v>
      </c>
      <c r="T115" t="s">
        <v>56</v>
      </c>
    </row>
    <row r="116" spans="1:20" x14ac:dyDescent="0.2">
      <c r="A116">
        <v>115</v>
      </c>
      <c r="B116" t="s">
        <v>17</v>
      </c>
      <c r="C116" t="s">
        <v>56</v>
      </c>
      <c r="D116" t="s">
        <v>50</v>
      </c>
      <c r="E116">
        <v>84</v>
      </c>
      <c r="F116">
        <v>1</v>
      </c>
      <c r="G116">
        <v>1</v>
      </c>
      <c r="H116" t="s">
        <v>25</v>
      </c>
      <c r="I116" t="s">
        <v>339</v>
      </c>
      <c r="J116" t="s">
        <v>85</v>
      </c>
      <c r="K116" t="s">
        <v>85</v>
      </c>
      <c r="L116" t="s">
        <v>85</v>
      </c>
      <c r="M116" t="s">
        <v>27</v>
      </c>
      <c r="N116" t="s">
        <v>270</v>
      </c>
      <c r="O116" t="s">
        <v>28</v>
      </c>
      <c r="P116">
        <v>400</v>
      </c>
      <c r="Q116">
        <v>70</v>
      </c>
      <c r="R116">
        <v>15</v>
      </c>
      <c r="S116" t="s">
        <v>340</v>
      </c>
      <c r="T116" t="s">
        <v>56</v>
      </c>
    </row>
    <row r="117" spans="1:20" x14ac:dyDescent="0.2">
      <c r="A117">
        <v>116</v>
      </c>
      <c r="B117" t="s">
        <v>17</v>
      </c>
      <c r="C117" t="s">
        <v>56</v>
      </c>
      <c r="D117" t="s">
        <v>50</v>
      </c>
      <c r="E117">
        <v>98</v>
      </c>
      <c r="F117">
        <v>1</v>
      </c>
      <c r="G117">
        <v>1</v>
      </c>
      <c r="H117" t="s">
        <v>25</v>
      </c>
      <c r="I117" t="s">
        <v>341</v>
      </c>
      <c r="J117" t="s">
        <v>85</v>
      </c>
      <c r="K117" t="s">
        <v>85</v>
      </c>
      <c r="L117" t="s">
        <v>85</v>
      </c>
      <c r="M117" t="s">
        <v>12</v>
      </c>
      <c r="N117" t="s">
        <v>270</v>
      </c>
      <c r="O117" t="s">
        <v>28</v>
      </c>
      <c r="P117">
        <v>400</v>
      </c>
      <c r="Q117">
        <v>70</v>
      </c>
      <c r="R117">
        <v>15</v>
      </c>
      <c r="S117" t="s">
        <v>342</v>
      </c>
      <c r="T117" t="s">
        <v>56</v>
      </c>
    </row>
    <row r="118" spans="1:20" x14ac:dyDescent="0.2">
      <c r="A118">
        <v>117</v>
      </c>
      <c r="B118" t="s">
        <v>17</v>
      </c>
      <c r="C118" t="s">
        <v>56</v>
      </c>
      <c r="D118" t="s">
        <v>50</v>
      </c>
      <c r="E118">
        <v>112</v>
      </c>
      <c r="F118">
        <v>1</v>
      </c>
      <c r="G118">
        <v>1</v>
      </c>
      <c r="H118" t="s">
        <v>25</v>
      </c>
      <c r="I118" t="s">
        <v>343</v>
      </c>
      <c r="J118" t="s">
        <v>85</v>
      </c>
      <c r="K118" t="s">
        <v>85</v>
      </c>
      <c r="L118" t="s">
        <v>85</v>
      </c>
      <c r="M118" t="s">
        <v>27</v>
      </c>
      <c r="N118" t="s">
        <v>270</v>
      </c>
      <c r="O118" t="s">
        <v>28</v>
      </c>
      <c r="P118">
        <v>400</v>
      </c>
      <c r="Q118">
        <v>70</v>
      </c>
      <c r="R118">
        <v>15</v>
      </c>
      <c r="S118" t="s">
        <v>344</v>
      </c>
      <c r="T118" t="s">
        <v>56</v>
      </c>
    </row>
    <row r="119" spans="1:20" x14ac:dyDescent="0.2">
      <c r="A119">
        <v>118</v>
      </c>
      <c r="B119" t="s">
        <v>17</v>
      </c>
      <c r="C119" t="s">
        <v>56</v>
      </c>
      <c r="D119" t="s">
        <v>50</v>
      </c>
      <c r="E119">
        <v>126</v>
      </c>
      <c r="F119">
        <v>1</v>
      </c>
      <c r="G119">
        <v>1</v>
      </c>
      <c r="H119" t="s">
        <v>26</v>
      </c>
      <c r="I119" t="s">
        <v>345</v>
      </c>
      <c r="J119" t="s">
        <v>85</v>
      </c>
      <c r="K119" t="s">
        <v>85</v>
      </c>
      <c r="L119" t="s">
        <v>85</v>
      </c>
      <c r="M119" t="s">
        <v>12</v>
      </c>
      <c r="N119" t="s">
        <v>270</v>
      </c>
      <c r="O119" t="s">
        <v>28</v>
      </c>
      <c r="P119">
        <v>400</v>
      </c>
      <c r="Q119">
        <v>70</v>
      </c>
      <c r="R119">
        <v>15</v>
      </c>
      <c r="S119" t="s">
        <v>346</v>
      </c>
      <c r="T119" t="s">
        <v>56</v>
      </c>
    </row>
    <row r="120" spans="1:20" x14ac:dyDescent="0.2">
      <c r="A120">
        <v>119</v>
      </c>
      <c r="B120" t="s">
        <v>17</v>
      </c>
      <c r="C120" t="s">
        <v>56</v>
      </c>
      <c r="D120" t="s">
        <v>31</v>
      </c>
      <c r="E120">
        <v>140</v>
      </c>
      <c r="F120">
        <v>2</v>
      </c>
      <c r="G120">
        <v>2</v>
      </c>
      <c r="H120" t="s">
        <v>26</v>
      </c>
      <c r="I120" t="s">
        <v>347</v>
      </c>
      <c r="J120" t="s">
        <v>348</v>
      </c>
      <c r="K120" t="s">
        <v>349</v>
      </c>
      <c r="L120" t="s">
        <v>349</v>
      </c>
      <c r="M120" t="s">
        <v>27</v>
      </c>
      <c r="N120" t="s">
        <v>270</v>
      </c>
      <c r="O120" t="s">
        <v>28</v>
      </c>
      <c r="P120">
        <v>400</v>
      </c>
      <c r="Q120">
        <v>70</v>
      </c>
      <c r="R120">
        <v>15</v>
      </c>
      <c r="S120" t="s">
        <v>350</v>
      </c>
      <c r="T120" t="s">
        <v>56</v>
      </c>
    </row>
    <row r="121" spans="1:20" x14ac:dyDescent="0.2">
      <c r="A121">
        <v>120</v>
      </c>
      <c r="B121" t="s">
        <v>17</v>
      </c>
      <c r="C121" t="s">
        <v>56</v>
      </c>
      <c r="D121" t="s">
        <v>31</v>
      </c>
      <c r="E121">
        <v>154</v>
      </c>
      <c r="F121">
        <v>2</v>
      </c>
      <c r="G121">
        <v>2</v>
      </c>
      <c r="H121" t="s">
        <v>26</v>
      </c>
      <c r="I121" t="s">
        <v>351</v>
      </c>
      <c r="J121" t="s">
        <v>89</v>
      </c>
      <c r="K121" t="s">
        <v>85</v>
      </c>
      <c r="L121" t="s">
        <v>89</v>
      </c>
      <c r="M121" t="s">
        <v>12</v>
      </c>
      <c r="N121" t="s">
        <v>270</v>
      </c>
      <c r="O121" t="s">
        <v>28</v>
      </c>
      <c r="P121">
        <v>400</v>
      </c>
      <c r="Q121">
        <v>70</v>
      </c>
      <c r="R121">
        <v>15</v>
      </c>
      <c r="S121" t="s">
        <v>352</v>
      </c>
      <c r="T121" t="s">
        <v>56</v>
      </c>
    </row>
    <row r="122" spans="1:20" x14ac:dyDescent="0.2">
      <c r="A122">
        <v>121</v>
      </c>
      <c r="B122" t="s">
        <v>17</v>
      </c>
      <c r="C122" t="s">
        <v>56</v>
      </c>
      <c r="D122" t="s">
        <v>31</v>
      </c>
      <c r="E122">
        <v>168</v>
      </c>
      <c r="F122">
        <v>2</v>
      </c>
      <c r="G122">
        <v>2</v>
      </c>
      <c r="H122" t="s">
        <v>26</v>
      </c>
      <c r="I122" t="s">
        <v>353</v>
      </c>
      <c r="J122" t="s">
        <v>354</v>
      </c>
      <c r="K122" t="s">
        <v>355</v>
      </c>
      <c r="L122" t="s">
        <v>356</v>
      </c>
      <c r="M122" t="s">
        <v>27</v>
      </c>
      <c r="N122" t="s">
        <v>270</v>
      </c>
      <c r="O122" t="s">
        <v>28</v>
      </c>
      <c r="P122">
        <v>400</v>
      </c>
      <c r="Q122">
        <v>70</v>
      </c>
      <c r="R122">
        <v>15</v>
      </c>
      <c r="S122" t="s">
        <v>357</v>
      </c>
      <c r="T122" t="s">
        <v>56</v>
      </c>
    </row>
    <row r="123" spans="1:20" x14ac:dyDescent="0.2">
      <c r="A123">
        <v>122</v>
      </c>
      <c r="B123" t="s">
        <v>17</v>
      </c>
      <c r="C123" t="s">
        <v>56</v>
      </c>
      <c r="D123" t="s">
        <v>31</v>
      </c>
      <c r="E123">
        <v>182</v>
      </c>
      <c r="F123">
        <v>2</v>
      </c>
      <c r="G123">
        <v>2</v>
      </c>
      <c r="H123" t="s">
        <v>26</v>
      </c>
      <c r="I123" t="s">
        <v>358</v>
      </c>
      <c r="J123" t="s">
        <v>89</v>
      </c>
      <c r="K123" t="s">
        <v>85</v>
      </c>
      <c r="L123" t="s">
        <v>89</v>
      </c>
      <c r="M123" t="s">
        <v>12</v>
      </c>
      <c r="N123" t="s">
        <v>270</v>
      </c>
      <c r="O123" t="s">
        <v>28</v>
      </c>
      <c r="P123">
        <v>400</v>
      </c>
      <c r="Q123">
        <v>70</v>
      </c>
      <c r="R123">
        <v>15</v>
      </c>
      <c r="S123" t="s">
        <v>359</v>
      </c>
      <c r="T123" t="s">
        <v>56</v>
      </c>
    </row>
    <row r="124" spans="1:20" x14ac:dyDescent="0.2">
      <c r="A124">
        <v>123</v>
      </c>
      <c r="B124" t="s">
        <v>17</v>
      </c>
      <c r="C124" t="s">
        <v>56</v>
      </c>
      <c r="D124" t="s">
        <v>31</v>
      </c>
      <c r="E124">
        <v>196</v>
      </c>
      <c r="F124">
        <v>2</v>
      </c>
      <c r="G124">
        <v>2</v>
      </c>
      <c r="H124" t="s">
        <v>26</v>
      </c>
      <c r="I124" t="s">
        <v>360</v>
      </c>
      <c r="J124" t="s">
        <v>361</v>
      </c>
      <c r="K124" t="s">
        <v>362</v>
      </c>
      <c r="L124" t="s">
        <v>363</v>
      </c>
      <c r="M124" t="s">
        <v>27</v>
      </c>
      <c r="N124" t="s">
        <v>270</v>
      </c>
      <c r="O124" t="s">
        <v>28</v>
      </c>
      <c r="P124">
        <v>400</v>
      </c>
      <c r="Q124">
        <v>70</v>
      </c>
      <c r="R124">
        <v>15</v>
      </c>
      <c r="S124" t="s">
        <v>364</v>
      </c>
      <c r="T124" t="s">
        <v>56</v>
      </c>
    </row>
    <row r="125" spans="1:20" x14ac:dyDescent="0.2">
      <c r="A125">
        <v>124</v>
      </c>
      <c r="B125" t="s">
        <v>17</v>
      </c>
      <c r="C125" t="s">
        <v>56</v>
      </c>
      <c r="D125" t="s">
        <v>31</v>
      </c>
      <c r="E125">
        <v>210</v>
      </c>
      <c r="F125">
        <v>2</v>
      </c>
      <c r="G125">
        <v>2</v>
      </c>
      <c r="H125" t="s">
        <v>26</v>
      </c>
      <c r="I125" t="s">
        <v>365</v>
      </c>
      <c r="J125" t="s">
        <v>89</v>
      </c>
      <c r="K125" t="s">
        <v>85</v>
      </c>
      <c r="L125" t="s">
        <v>89</v>
      </c>
      <c r="M125" t="s">
        <v>12</v>
      </c>
      <c r="N125" t="s">
        <v>270</v>
      </c>
      <c r="O125" t="s">
        <v>28</v>
      </c>
      <c r="P125">
        <v>400</v>
      </c>
      <c r="Q125">
        <v>70</v>
      </c>
      <c r="R125">
        <v>15</v>
      </c>
      <c r="S125" t="s">
        <v>366</v>
      </c>
      <c r="T125" t="s">
        <v>56</v>
      </c>
    </row>
    <row r="126" spans="1:20" x14ac:dyDescent="0.2">
      <c r="A126">
        <v>125</v>
      </c>
      <c r="B126" t="s">
        <v>17</v>
      </c>
      <c r="C126" t="s">
        <v>56</v>
      </c>
      <c r="D126" t="s">
        <v>31</v>
      </c>
      <c r="E126">
        <v>224</v>
      </c>
      <c r="F126">
        <v>2</v>
      </c>
      <c r="G126">
        <v>3</v>
      </c>
      <c r="H126" t="s">
        <v>26</v>
      </c>
      <c r="I126" t="s">
        <v>367</v>
      </c>
      <c r="J126" t="s">
        <v>368</v>
      </c>
      <c r="K126" t="s">
        <v>218</v>
      </c>
      <c r="L126" t="s">
        <v>369</v>
      </c>
      <c r="M126" t="s">
        <v>27</v>
      </c>
      <c r="N126" t="s">
        <v>270</v>
      </c>
      <c r="O126" t="s">
        <v>28</v>
      </c>
      <c r="P126">
        <v>400</v>
      </c>
      <c r="Q126">
        <v>70</v>
      </c>
      <c r="R126">
        <v>15</v>
      </c>
      <c r="S126" t="s">
        <v>370</v>
      </c>
      <c r="T126" t="s">
        <v>56</v>
      </c>
    </row>
    <row r="127" spans="1:20" x14ac:dyDescent="0.2">
      <c r="A127">
        <v>126</v>
      </c>
      <c r="B127" t="s">
        <v>17</v>
      </c>
      <c r="C127" t="s">
        <v>56</v>
      </c>
      <c r="D127" t="s">
        <v>31</v>
      </c>
      <c r="E127">
        <v>238</v>
      </c>
      <c r="F127">
        <v>3</v>
      </c>
      <c r="G127">
        <v>3</v>
      </c>
      <c r="H127" t="s">
        <v>26</v>
      </c>
      <c r="I127" t="s">
        <v>371</v>
      </c>
      <c r="J127" t="s">
        <v>89</v>
      </c>
      <c r="K127" t="s">
        <v>85</v>
      </c>
      <c r="L127" t="s">
        <v>89</v>
      </c>
      <c r="M127" t="s">
        <v>12</v>
      </c>
      <c r="N127" t="s">
        <v>270</v>
      </c>
      <c r="O127" t="s">
        <v>28</v>
      </c>
      <c r="P127">
        <v>400</v>
      </c>
      <c r="Q127">
        <v>70</v>
      </c>
      <c r="R127">
        <v>15</v>
      </c>
      <c r="S127" t="s">
        <v>372</v>
      </c>
      <c r="T127" t="s">
        <v>56</v>
      </c>
    </row>
    <row r="128" spans="1:20" x14ac:dyDescent="0.2">
      <c r="A128">
        <v>127</v>
      </c>
      <c r="B128" t="s">
        <v>17</v>
      </c>
      <c r="C128" t="s">
        <v>56</v>
      </c>
      <c r="D128" t="s">
        <v>31</v>
      </c>
      <c r="E128">
        <v>252</v>
      </c>
      <c r="F128">
        <v>3</v>
      </c>
      <c r="G128">
        <v>3</v>
      </c>
      <c r="H128" t="s">
        <v>26</v>
      </c>
      <c r="I128" t="s">
        <v>373</v>
      </c>
      <c r="J128" t="s">
        <v>374</v>
      </c>
      <c r="K128" t="s">
        <v>375</v>
      </c>
      <c r="L128" t="s">
        <v>376</v>
      </c>
      <c r="M128" t="s">
        <v>27</v>
      </c>
      <c r="N128" t="s">
        <v>270</v>
      </c>
      <c r="O128" t="s">
        <v>28</v>
      </c>
      <c r="P128">
        <v>400</v>
      </c>
      <c r="Q128">
        <v>70</v>
      </c>
      <c r="R128">
        <v>15</v>
      </c>
      <c r="S128" t="s">
        <v>377</v>
      </c>
      <c r="T128" t="s">
        <v>56</v>
      </c>
    </row>
    <row r="129" spans="1:20" x14ac:dyDescent="0.2">
      <c r="A129">
        <v>128</v>
      </c>
      <c r="B129" t="s">
        <v>17</v>
      </c>
      <c r="C129" t="s">
        <v>56</v>
      </c>
      <c r="D129" t="s">
        <v>31</v>
      </c>
      <c r="E129">
        <v>266</v>
      </c>
      <c r="F129">
        <v>3</v>
      </c>
      <c r="G129">
        <v>3</v>
      </c>
      <c r="H129" t="s">
        <v>26</v>
      </c>
      <c r="I129" t="s">
        <v>378</v>
      </c>
      <c r="J129" t="s">
        <v>89</v>
      </c>
      <c r="K129" t="s">
        <v>85</v>
      </c>
      <c r="L129" t="s">
        <v>89</v>
      </c>
      <c r="M129" t="s">
        <v>12</v>
      </c>
      <c r="N129" t="s">
        <v>270</v>
      </c>
      <c r="O129" t="s">
        <v>28</v>
      </c>
      <c r="P129">
        <v>400</v>
      </c>
      <c r="Q129">
        <v>70</v>
      </c>
      <c r="R129">
        <v>15</v>
      </c>
      <c r="S129" t="s">
        <v>379</v>
      </c>
      <c r="T129" t="s">
        <v>56</v>
      </c>
    </row>
    <row r="130" spans="1:20" x14ac:dyDescent="0.2">
      <c r="A130">
        <v>129</v>
      </c>
      <c r="B130" t="s">
        <v>17</v>
      </c>
      <c r="C130" t="s">
        <v>56</v>
      </c>
      <c r="D130" t="s">
        <v>31</v>
      </c>
      <c r="E130">
        <v>280</v>
      </c>
      <c r="F130">
        <v>3</v>
      </c>
      <c r="G130">
        <v>3</v>
      </c>
      <c r="H130" t="s">
        <v>26</v>
      </c>
      <c r="I130" t="s">
        <v>380</v>
      </c>
      <c r="J130" t="s">
        <v>381</v>
      </c>
      <c r="K130" t="s">
        <v>382</v>
      </c>
      <c r="L130" t="s">
        <v>383</v>
      </c>
      <c r="M130" t="s">
        <v>27</v>
      </c>
      <c r="N130" t="s">
        <v>270</v>
      </c>
      <c r="O130" t="s">
        <v>28</v>
      </c>
      <c r="P130">
        <v>400</v>
      </c>
      <c r="Q130">
        <v>70</v>
      </c>
      <c r="R130">
        <v>15</v>
      </c>
      <c r="S130" t="s">
        <v>384</v>
      </c>
      <c r="T130" t="s">
        <v>56</v>
      </c>
    </row>
    <row r="131" spans="1:20" x14ac:dyDescent="0.2">
      <c r="A131">
        <v>130</v>
      </c>
      <c r="B131" t="s">
        <v>17</v>
      </c>
      <c r="C131" t="s">
        <v>56</v>
      </c>
      <c r="D131" t="s">
        <v>31</v>
      </c>
      <c r="E131">
        <v>294</v>
      </c>
      <c r="F131">
        <v>3</v>
      </c>
      <c r="G131">
        <v>3</v>
      </c>
      <c r="H131" t="s">
        <v>26</v>
      </c>
      <c r="I131" t="s">
        <v>385</v>
      </c>
      <c r="J131" t="s">
        <v>89</v>
      </c>
      <c r="K131" t="s">
        <v>85</v>
      </c>
      <c r="L131" t="s">
        <v>89</v>
      </c>
      <c r="M131" t="s">
        <v>12</v>
      </c>
      <c r="N131" t="s">
        <v>270</v>
      </c>
      <c r="O131" t="s">
        <v>28</v>
      </c>
      <c r="P131">
        <v>400</v>
      </c>
      <c r="Q131">
        <v>70</v>
      </c>
      <c r="R131">
        <v>15</v>
      </c>
      <c r="S131" t="s">
        <v>386</v>
      </c>
      <c r="T131" t="s">
        <v>56</v>
      </c>
    </row>
    <row r="132" spans="1:20" x14ac:dyDescent="0.2">
      <c r="A132">
        <v>131</v>
      </c>
      <c r="B132" t="s">
        <v>17</v>
      </c>
      <c r="C132" t="s">
        <v>56</v>
      </c>
      <c r="D132" t="s">
        <v>31</v>
      </c>
      <c r="E132">
        <v>308</v>
      </c>
      <c r="F132">
        <v>3</v>
      </c>
      <c r="G132">
        <v>6</v>
      </c>
      <c r="H132" t="s">
        <v>26</v>
      </c>
      <c r="I132" t="s">
        <v>387</v>
      </c>
      <c r="J132" t="s">
        <v>388</v>
      </c>
      <c r="K132" t="s">
        <v>389</v>
      </c>
      <c r="L132" t="s">
        <v>390</v>
      </c>
      <c r="M132" t="s">
        <v>27</v>
      </c>
      <c r="N132" t="s">
        <v>270</v>
      </c>
      <c r="O132" t="s">
        <v>28</v>
      </c>
      <c r="P132">
        <v>400</v>
      </c>
      <c r="Q132">
        <v>70</v>
      </c>
      <c r="R132">
        <v>15</v>
      </c>
      <c r="S132" t="s">
        <v>391</v>
      </c>
      <c r="T132" t="s">
        <v>56</v>
      </c>
    </row>
    <row r="133" spans="1:20" x14ac:dyDescent="0.2">
      <c r="A133">
        <v>132</v>
      </c>
      <c r="B133" t="s">
        <v>17</v>
      </c>
      <c r="C133" t="s">
        <v>56</v>
      </c>
      <c r="D133" t="s">
        <v>31</v>
      </c>
      <c r="E133">
        <v>322</v>
      </c>
      <c r="F133">
        <v>6</v>
      </c>
      <c r="G133">
        <v>6</v>
      </c>
      <c r="H133" t="s">
        <v>26</v>
      </c>
      <c r="I133" t="s">
        <v>392</v>
      </c>
      <c r="J133" t="s">
        <v>89</v>
      </c>
      <c r="K133" t="s">
        <v>85</v>
      </c>
      <c r="L133" t="s">
        <v>89</v>
      </c>
      <c r="M133" t="s">
        <v>12</v>
      </c>
      <c r="N133" t="s">
        <v>270</v>
      </c>
      <c r="O133" t="s">
        <v>28</v>
      </c>
      <c r="P133">
        <v>400</v>
      </c>
      <c r="Q133">
        <v>70</v>
      </c>
      <c r="R133">
        <v>15</v>
      </c>
      <c r="S133" t="s">
        <v>393</v>
      </c>
      <c r="T133" t="s">
        <v>56</v>
      </c>
    </row>
    <row r="134" spans="1:20" x14ac:dyDescent="0.2">
      <c r="A134">
        <v>133</v>
      </c>
      <c r="B134" t="s">
        <v>17</v>
      </c>
      <c r="C134" t="s">
        <v>56</v>
      </c>
      <c r="D134" t="s">
        <v>31</v>
      </c>
      <c r="E134">
        <v>336</v>
      </c>
      <c r="F134">
        <v>6</v>
      </c>
      <c r="G134">
        <v>6</v>
      </c>
      <c r="H134" t="s">
        <v>26</v>
      </c>
      <c r="I134" t="s">
        <v>394</v>
      </c>
      <c r="J134" t="s">
        <v>395</v>
      </c>
      <c r="K134" t="s">
        <v>396</v>
      </c>
      <c r="L134" t="s">
        <v>397</v>
      </c>
      <c r="M134" t="s">
        <v>27</v>
      </c>
      <c r="N134" t="s">
        <v>270</v>
      </c>
      <c r="O134" t="s">
        <v>28</v>
      </c>
      <c r="P134">
        <v>400</v>
      </c>
      <c r="Q134">
        <v>70</v>
      </c>
      <c r="R134">
        <v>15</v>
      </c>
      <c r="S134" t="s">
        <v>398</v>
      </c>
      <c r="T134" t="s">
        <v>56</v>
      </c>
    </row>
    <row r="135" spans="1:20" x14ac:dyDescent="0.2">
      <c r="A135">
        <v>134</v>
      </c>
      <c r="B135" t="s">
        <v>17</v>
      </c>
      <c r="C135" t="s">
        <v>56</v>
      </c>
      <c r="D135" t="s">
        <v>31</v>
      </c>
      <c r="E135">
        <v>350</v>
      </c>
      <c r="F135">
        <v>6</v>
      </c>
      <c r="G135">
        <v>6</v>
      </c>
      <c r="H135" t="s">
        <v>26</v>
      </c>
      <c r="I135" t="s">
        <v>399</v>
      </c>
      <c r="J135" t="s">
        <v>89</v>
      </c>
      <c r="K135" t="s">
        <v>85</v>
      </c>
      <c r="L135" t="s">
        <v>89</v>
      </c>
      <c r="M135" t="s">
        <v>12</v>
      </c>
      <c r="N135" t="s">
        <v>270</v>
      </c>
      <c r="O135" t="s">
        <v>28</v>
      </c>
      <c r="P135">
        <v>400</v>
      </c>
      <c r="Q135">
        <v>70</v>
      </c>
      <c r="R135">
        <v>15</v>
      </c>
      <c r="S135" t="s">
        <v>400</v>
      </c>
      <c r="T135" t="s">
        <v>56</v>
      </c>
    </row>
    <row r="136" spans="1:20" x14ac:dyDescent="0.2">
      <c r="A136">
        <v>135</v>
      </c>
      <c r="B136" t="s">
        <v>17</v>
      </c>
      <c r="C136" t="s">
        <v>56</v>
      </c>
      <c r="D136" t="s">
        <v>31</v>
      </c>
      <c r="E136">
        <v>364</v>
      </c>
      <c r="F136">
        <v>6</v>
      </c>
      <c r="G136">
        <v>6</v>
      </c>
      <c r="H136" t="s">
        <v>26</v>
      </c>
      <c r="I136" t="s">
        <v>401</v>
      </c>
      <c r="J136" t="s">
        <v>402</v>
      </c>
      <c r="K136" t="s">
        <v>403</v>
      </c>
      <c r="L136" t="s">
        <v>404</v>
      </c>
      <c r="M136" t="s">
        <v>27</v>
      </c>
      <c r="N136" t="s">
        <v>270</v>
      </c>
      <c r="O136" t="s">
        <v>28</v>
      </c>
      <c r="P136">
        <v>400</v>
      </c>
      <c r="Q136">
        <v>70</v>
      </c>
      <c r="R136">
        <v>15</v>
      </c>
      <c r="S136" t="s">
        <v>405</v>
      </c>
      <c r="T136" t="s">
        <v>56</v>
      </c>
    </row>
    <row r="137" spans="1:20" x14ac:dyDescent="0.2">
      <c r="A137">
        <v>136</v>
      </c>
      <c r="B137" t="s">
        <v>17</v>
      </c>
      <c r="C137" t="s">
        <v>56</v>
      </c>
      <c r="D137" t="s">
        <v>31</v>
      </c>
      <c r="E137">
        <v>378</v>
      </c>
      <c r="F137">
        <v>6</v>
      </c>
      <c r="G137">
        <v>6</v>
      </c>
      <c r="H137" t="s">
        <v>26</v>
      </c>
      <c r="I137" t="s">
        <v>406</v>
      </c>
      <c r="J137" t="s">
        <v>89</v>
      </c>
      <c r="K137" t="s">
        <v>85</v>
      </c>
      <c r="L137" t="s">
        <v>89</v>
      </c>
      <c r="M137" t="s">
        <v>12</v>
      </c>
      <c r="N137" t="s">
        <v>270</v>
      </c>
      <c r="O137" t="s">
        <v>28</v>
      </c>
      <c r="P137">
        <v>400</v>
      </c>
      <c r="Q137">
        <v>70</v>
      </c>
      <c r="R137">
        <v>15</v>
      </c>
      <c r="S137" t="s">
        <v>407</v>
      </c>
      <c r="T137" t="s">
        <v>56</v>
      </c>
    </row>
    <row r="138" spans="1:20" x14ac:dyDescent="0.2">
      <c r="A138">
        <v>137</v>
      </c>
      <c r="B138" t="s">
        <v>17</v>
      </c>
      <c r="C138" t="s">
        <v>56</v>
      </c>
      <c r="D138" t="s">
        <v>31</v>
      </c>
      <c r="E138">
        <v>392</v>
      </c>
      <c r="F138">
        <v>6</v>
      </c>
      <c r="G138">
        <v>6</v>
      </c>
      <c r="H138" t="s">
        <v>26</v>
      </c>
      <c r="I138" t="s">
        <v>408</v>
      </c>
      <c r="J138" t="s">
        <v>409</v>
      </c>
      <c r="K138" t="s">
        <v>410</v>
      </c>
      <c r="L138" t="s">
        <v>411</v>
      </c>
      <c r="M138" t="s">
        <v>27</v>
      </c>
      <c r="N138" t="s">
        <v>270</v>
      </c>
      <c r="O138" t="s">
        <v>28</v>
      </c>
      <c r="P138">
        <v>400</v>
      </c>
      <c r="Q138">
        <v>70</v>
      </c>
      <c r="R138">
        <v>15</v>
      </c>
      <c r="S138" t="s">
        <v>412</v>
      </c>
      <c r="T138" t="s">
        <v>56</v>
      </c>
    </row>
    <row r="139" spans="1:20" hidden="1" x14ac:dyDescent="0.2">
      <c r="A139">
        <v>138</v>
      </c>
      <c r="B139" t="s">
        <v>17</v>
      </c>
      <c r="C139" t="s">
        <v>41</v>
      </c>
      <c r="D139" t="s">
        <v>57</v>
      </c>
      <c r="E139">
        <v>0</v>
      </c>
      <c r="F139">
        <v>1</v>
      </c>
      <c r="G139">
        <v>1</v>
      </c>
      <c r="H139" t="s">
        <v>25</v>
      </c>
      <c r="I139" t="s">
        <v>413</v>
      </c>
      <c r="J139" t="s">
        <v>85</v>
      </c>
      <c r="K139" t="s">
        <v>85</v>
      </c>
      <c r="L139" t="s">
        <v>85</v>
      </c>
      <c r="M139" t="s">
        <v>27</v>
      </c>
      <c r="N139" t="s">
        <v>414</v>
      </c>
      <c r="O139" t="s">
        <v>28</v>
      </c>
      <c r="P139">
        <v>400</v>
      </c>
      <c r="Q139">
        <v>70</v>
      </c>
      <c r="R139">
        <v>15</v>
      </c>
      <c r="S139" t="s">
        <v>415</v>
      </c>
      <c r="T139" t="s">
        <v>41</v>
      </c>
    </row>
    <row r="140" spans="1:20" hidden="1" x14ac:dyDescent="0.2">
      <c r="A140">
        <v>139</v>
      </c>
      <c r="B140" t="s">
        <v>17</v>
      </c>
      <c r="C140" t="s">
        <v>41</v>
      </c>
      <c r="D140" t="s">
        <v>57</v>
      </c>
      <c r="E140">
        <v>14</v>
      </c>
      <c r="F140">
        <v>1</v>
      </c>
      <c r="G140">
        <v>1</v>
      </c>
      <c r="H140" t="s">
        <v>25</v>
      </c>
      <c r="I140" t="s">
        <v>416</v>
      </c>
      <c r="J140" t="s">
        <v>85</v>
      </c>
      <c r="K140" t="s">
        <v>85</v>
      </c>
      <c r="L140" t="s">
        <v>85</v>
      </c>
      <c r="M140" t="s">
        <v>12</v>
      </c>
      <c r="N140" t="s">
        <v>414</v>
      </c>
      <c r="O140" t="s">
        <v>28</v>
      </c>
      <c r="P140">
        <v>400</v>
      </c>
      <c r="Q140">
        <v>70</v>
      </c>
      <c r="R140">
        <v>15</v>
      </c>
      <c r="S140" t="s">
        <v>417</v>
      </c>
      <c r="T140" t="s">
        <v>41</v>
      </c>
    </row>
    <row r="141" spans="1:20" hidden="1" x14ac:dyDescent="0.2">
      <c r="A141">
        <v>140</v>
      </c>
      <c r="B141" t="s">
        <v>17</v>
      </c>
      <c r="C141" t="s">
        <v>41</v>
      </c>
      <c r="D141" t="s">
        <v>57</v>
      </c>
      <c r="E141">
        <v>28</v>
      </c>
      <c r="F141">
        <v>1</v>
      </c>
      <c r="G141">
        <v>1</v>
      </c>
      <c r="H141" t="s">
        <v>25</v>
      </c>
      <c r="I141" t="s">
        <v>418</v>
      </c>
      <c r="J141" t="s">
        <v>85</v>
      </c>
      <c r="K141" t="s">
        <v>85</v>
      </c>
      <c r="L141" t="s">
        <v>85</v>
      </c>
      <c r="M141" t="s">
        <v>27</v>
      </c>
      <c r="N141" t="s">
        <v>414</v>
      </c>
      <c r="O141" t="s">
        <v>28</v>
      </c>
      <c r="P141">
        <v>400</v>
      </c>
      <c r="Q141">
        <v>70</v>
      </c>
      <c r="R141">
        <v>15</v>
      </c>
      <c r="S141" t="s">
        <v>419</v>
      </c>
      <c r="T141" t="s">
        <v>41</v>
      </c>
    </row>
    <row r="142" spans="1:20" hidden="1" x14ac:dyDescent="0.2">
      <c r="A142">
        <v>141</v>
      </c>
      <c r="B142" t="s">
        <v>17</v>
      </c>
      <c r="C142" t="s">
        <v>41</v>
      </c>
      <c r="D142" t="s">
        <v>57</v>
      </c>
      <c r="E142">
        <v>42</v>
      </c>
      <c r="F142">
        <v>1</v>
      </c>
      <c r="G142">
        <v>1</v>
      </c>
      <c r="H142" t="s">
        <v>25</v>
      </c>
      <c r="I142" t="s">
        <v>420</v>
      </c>
      <c r="J142" t="s">
        <v>85</v>
      </c>
      <c r="K142" t="s">
        <v>85</v>
      </c>
      <c r="L142" t="s">
        <v>85</v>
      </c>
      <c r="M142" t="s">
        <v>12</v>
      </c>
      <c r="N142" t="s">
        <v>414</v>
      </c>
      <c r="O142" t="s">
        <v>28</v>
      </c>
      <c r="P142">
        <v>400</v>
      </c>
      <c r="Q142">
        <v>70</v>
      </c>
      <c r="R142">
        <v>15</v>
      </c>
      <c r="S142" t="s">
        <v>421</v>
      </c>
      <c r="T142" t="s">
        <v>41</v>
      </c>
    </row>
    <row r="143" spans="1:20" hidden="1" x14ac:dyDescent="0.2">
      <c r="A143">
        <v>142</v>
      </c>
      <c r="B143" t="s">
        <v>17</v>
      </c>
      <c r="C143" t="s">
        <v>41</v>
      </c>
      <c r="D143" t="s">
        <v>57</v>
      </c>
      <c r="E143">
        <v>56</v>
      </c>
      <c r="F143">
        <v>1</v>
      </c>
      <c r="G143">
        <v>1</v>
      </c>
      <c r="H143" t="s">
        <v>25</v>
      </c>
      <c r="I143" t="s">
        <v>422</v>
      </c>
      <c r="J143" t="s">
        <v>85</v>
      </c>
      <c r="K143" t="s">
        <v>85</v>
      </c>
      <c r="L143" t="s">
        <v>85</v>
      </c>
      <c r="M143" t="s">
        <v>27</v>
      </c>
      <c r="N143" t="s">
        <v>414</v>
      </c>
      <c r="O143" t="s">
        <v>28</v>
      </c>
      <c r="P143">
        <v>400</v>
      </c>
      <c r="Q143">
        <v>70</v>
      </c>
      <c r="R143">
        <v>15</v>
      </c>
      <c r="S143" t="s">
        <v>423</v>
      </c>
      <c r="T143" t="s">
        <v>41</v>
      </c>
    </row>
    <row r="144" spans="1:20" hidden="1" x14ac:dyDescent="0.2">
      <c r="A144">
        <v>143</v>
      </c>
      <c r="B144" t="s">
        <v>17</v>
      </c>
      <c r="C144" t="s">
        <v>41</v>
      </c>
      <c r="D144" t="s">
        <v>57</v>
      </c>
      <c r="E144">
        <v>70</v>
      </c>
      <c r="F144">
        <v>1</v>
      </c>
      <c r="G144">
        <v>1</v>
      </c>
      <c r="H144" t="s">
        <v>25</v>
      </c>
      <c r="I144" t="s">
        <v>424</v>
      </c>
      <c r="J144" t="s">
        <v>85</v>
      </c>
      <c r="K144" t="s">
        <v>85</v>
      </c>
      <c r="L144" t="s">
        <v>85</v>
      </c>
      <c r="M144" t="s">
        <v>12</v>
      </c>
      <c r="N144" t="s">
        <v>414</v>
      </c>
      <c r="O144" t="s">
        <v>28</v>
      </c>
      <c r="P144">
        <v>400</v>
      </c>
      <c r="Q144">
        <v>70</v>
      </c>
      <c r="R144">
        <v>15</v>
      </c>
      <c r="S144" t="s">
        <v>425</v>
      </c>
      <c r="T144" t="s">
        <v>41</v>
      </c>
    </row>
    <row r="145" spans="1:20" hidden="1" x14ac:dyDescent="0.2">
      <c r="A145">
        <v>144</v>
      </c>
      <c r="B145" t="s">
        <v>17</v>
      </c>
      <c r="C145" t="s">
        <v>41</v>
      </c>
      <c r="D145" t="s">
        <v>57</v>
      </c>
      <c r="E145">
        <v>84</v>
      </c>
      <c r="F145">
        <v>1</v>
      </c>
      <c r="G145">
        <v>1</v>
      </c>
      <c r="H145" t="s">
        <v>25</v>
      </c>
      <c r="I145" t="s">
        <v>426</v>
      </c>
      <c r="J145" t="s">
        <v>85</v>
      </c>
      <c r="K145" t="s">
        <v>85</v>
      </c>
      <c r="L145" t="s">
        <v>85</v>
      </c>
      <c r="M145" t="s">
        <v>27</v>
      </c>
      <c r="N145" t="s">
        <v>414</v>
      </c>
      <c r="O145" t="s">
        <v>28</v>
      </c>
      <c r="P145">
        <v>400</v>
      </c>
      <c r="Q145">
        <v>70</v>
      </c>
      <c r="R145">
        <v>15</v>
      </c>
      <c r="S145" t="s">
        <v>427</v>
      </c>
      <c r="T145" t="s">
        <v>41</v>
      </c>
    </row>
    <row r="146" spans="1:20" hidden="1" x14ac:dyDescent="0.2">
      <c r="A146">
        <v>145</v>
      </c>
      <c r="B146" t="s">
        <v>17</v>
      </c>
      <c r="C146" t="s">
        <v>41</v>
      </c>
      <c r="D146" t="s">
        <v>57</v>
      </c>
      <c r="E146">
        <v>98</v>
      </c>
      <c r="F146">
        <v>1</v>
      </c>
      <c r="G146">
        <v>1</v>
      </c>
      <c r="H146" t="s">
        <v>25</v>
      </c>
      <c r="I146" t="s">
        <v>428</v>
      </c>
      <c r="J146" t="s">
        <v>85</v>
      </c>
      <c r="K146" t="s">
        <v>85</v>
      </c>
      <c r="L146" t="s">
        <v>85</v>
      </c>
      <c r="M146" t="s">
        <v>12</v>
      </c>
      <c r="N146" t="s">
        <v>414</v>
      </c>
      <c r="O146" t="s">
        <v>28</v>
      </c>
      <c r="P146">
        <v>400</v>
      </c>
      <c r="Q146">
        <v>70</v>
      </c>
      <c r="R146">
        <v>15</v>
      </c>
      <c r="S146" t="s">
        <v>429</v>
      </c>
      <c r="T146" t="s">
        <v>41</v>
      </c>
    </row>
    <row r="147" spans="1:20" hidden="1" x14ac:dyDescent="0.2">
      <c r="A147">
        <v>146</v>
      </c>
      <c r="B147" t="s">
        <v>17</v>
      </c>
      <c r="C147" t="s">
        <v>41</v>
      </c>
      <c r="D147" t="s">
        <v>57</v>
      </c>
      <c r="E147">
        <v>105</v>
      </c>
      <c r="F147">
        <v>1</v>
      </c>
      <c r="G147">
        <v>1</v>
      </c>
      <c r="H147" t="s">
        <v>26</v>
      </c>
      <c r="I147" t="s">
        <v>430</v>
      </c>
      <c r="J147" t="s">
        <v>85</v>
      </c>
      <c r="K147" t="s">
        <v>85</v>
      </c>
      <c r="L147" t="s">
        <v>85</v>
      </c>
      <c r="M147" t="s">
        <v>27</v>
      </c>
      <c r="N147" t="s">
        <v>414</v>
      </c>
      <c r="O147" t="s">
        <v>28</v>
      </c>
      <c r="P147">
        <v>400</v>
      </c>
      <c r="Q147">
        <v>70</v>
      </c>
      <c r="R147">
        <v>15</v>
      </c>
      <c r="S147" t="s">
        <v>431</v>
      </c>
      <c r="T147" t="s">
        <v>41</v>
      </c>
    </row>
    <row r="148" spans="1:20" hidden="1" x14ac:dyDescent="0.2">
      <c r="A148">
        <v>147</v>
      </c>
      <c r="B148" t="s">
        <v>17</v>
      </c>
      <c r="C148" t="s">
        <v>62</v>
      </c>
      <c r="D148" t="s">
        <v>270</v>
      </c>
      <c r="E148">
        <v>0</v>
      </c>
      <c r="F148">
        <v>1</v>
      </c>
      <c r="G148">
        <v>1</v>
      </c>
      <c r="H148" t="s">
        <v>25</v>
      </c>
      <c r="I148" t="s">
        <v>88</v>
      </c>
      <c r="J148" t="s">
        <v>85</v>
      </c>
      <c r="K148" t="s">
        <v>85</v>
      </c>
      <c r="L148" t="s">
        <v>85</v>
      </c>
      <c r="M148" t="s">
        <v>27</v>
      </c>
      <c r="N148" t="s">
        <v>86</v>
      </c>
      <c r="O148" t="s">
        <v>28</v>
      </c>
      <c r="P148">
        <v>400</v>
      </c>
      <c r="Q148">
        <v>70</v>
      </c>
      <c r="R148">
        <v>15</v>
      </c>
      <c r="S148" t="s">
        <v>432</v>
      </c>
      <c r="T148" t="s">
        <v>433</v>
      </c>
    </row>
    <row r="149" spans="1:20" hidden="1" x14ac:dyDescent="0.2">
      <c r="A149">
        <v>148</v>
      </c>
      <c r="B149" t="s">
        <v>17</v>
      </c>
      <c r="C149" t="s">
        <v>62</v>
      </c>
      <c r="D149" t="s">
        <v>270</v>
      </c>
      <c r="E149">
        <v>14</v>
      </c>
      <c r="F149">
        <v>1</v>
      </c>
      <c r="G149">
        <v>1</v>
      </c>
      <c r="H149" t="s">
        <v>25</v>
      </c>
      <c r="I149" t="s">
        <v>222</v>
      </c>
      <c r="J149" t="s">
        <v>85</v>
      </c>
      <c r="K149" t="s">
        <v>85</v>
      </c>
      <c r="L149" t="s">
        <v>85</v>
      </c>
      <c r="M149" t="s">
        <v>12</v>
      </c>
      <c r="N149" t="s">
        <v>86</v>
      </c>
      <c r="O149" t="s">
        <v>28</v>
      </c>
      <c r="P149">
        <v>400</v>
      </c>
      <c r="Q149">
        <v>70</v>
      </c>
      <c r="R149">
        <v>15</v>
      </c>
      <c r="S149" t="s">
        <v>434</v>
      </c>
      <c r="T149" t="s">
        <v>433</v>
      </c>
    </row>
    <row r="150" spans="1:20" hidden="1" x14ac:dyDescent="0.2">
      <c r="A150">
        <v>149</v>
      </c>
      <c r="B150" t="s">
        <v>17</v>
      </c>
      <c r="C150" t="s">
        <v>62</v>
      </c>
      <c r="D150" t="s">
        <v>270</v>
      </c>
      <c r="E150">
        <v>28</v>
      </c>
      <c r="F150">
        <v>1</v>
      </c>
      <c r="G150">
        <v>1</v>
      </c>
      <c r="H150" t="s">
        <v>25</v>
      </c>
      <c r="I150" t="s">
        <v>224</v>
      </c>
      <c r="J150" t="s">
        <v>85</v>
      </c>
      <c r="K150" t="s">
        <v>85</v>
      </c>
      <c r="L150" t="s">
        <v>85</v>
      </c>
      <c r="M150" t="s">
        <v>27</v>
      </c>
      <c r="N150" t="s">
        <v>86</v>
      </c>
      <c r="O150" t="s">
        <v>28</v>
      </c>
      <c r="P150">
        <v>400</v>
      </c>
      <c r="Q150">
        <v>70</v>
      </c>
      <c r="R150">
        <v>15</v>
      </c>
      <c r="S150" t="s">
        <v>435</v>
      </c>
      <c r="T150" t="s">
        <v>433</v>
      </c>
    </row>
    <row r="151" spans="1:20" hidden="1" x14ac:dyDescent="0.2">
      <c r="A151">
        <v>150</v>
      </c>
      <c r="B151" t="s">
        <v>17</v>
      </c>
      <c r="C151" t="s">
        <v>62</v>
      </c>
      <c r="D151" t="s">
        <v>270</v>
      </c>
      <c r="E151">
        <v>42</v>
      </c>
      <c r="F151">
        <v>1</v>
      </c>
      <c r="G151">
        <v>1</v>
      </c>
      <c r="H151" t="s">
        <v>25</v>
      </c>
      <c r="I151" t="s">
        <v>226</v>
      </c>
      <c r="J151" t="s">
        <v>85</v>
      </c>
      <c r="K151" t="s">
        <v>85</v>
      </c>
      <c r="L151" t="s">
        <v>85</v>
      </c>
      <c r="M151" t="s">
        <v>12</v>
      </c>
      <c r="N151" t="s">
        <v>86</v>
      </c>
      <c r="O151" t="s">
        <v>28</v>
      </c>
      <c r="P151">
        <v>400</v>
      </c>
      <c r="Q151">
        <v>70</v>
      </c>
      <c r="R151">
        <v>15</v>
      </c>
      <c r="S151" t="s">
        <v>436</v>
      </c>
      <c r="T151" t="s">
        <v>433</v>
      </c>
    </row>
    <row r="152" spans="1:20" hidden="1" x14ac:dyDescent="0.2">
      <c r="A152">
        <v>151</v>
      </c>
      <c r="B152" t="s">
        <v>17</v>
      </c>
      <c r="C152" t="s">
        <v>62</v>
      </c>
      <c r="D152" t="s">
        <v>270</v>
      </c>
      <c r="E152">
        <v>56</v>
      </c>
      <c r="F152">
        <v>1</v>
      </c>
      <c r="G152">
        <v>1</v>
      </c>
      <c r="H152" t="s">
        <v>25</v>
      </c>
      <c r="I152" t="s">
        <v>228</v>
      </c>
      <c r="J152" t="s">
        <v>85</v>
      </c>
      <c r="K152" t="s">
        <v>85</v>
      </c>
      <c r="L152" t="s">
        <v>85</v>
      </c>
      <c r="M152" t="s">
        <v>27</v>
      </c>
      <c r="N152" t="s">
        <v>86</v>
      </c>
      <c r="O152" t="s">
        <v>28</v>
      </c>
      <c r="P152">
        <v>400</v>
      </c>
      <c r="Q152">
        <v>70</v>
      </c>
      <c r="R152">
        <v>15</v>
      </c>
      <c r="S152" t="s">
        <v>229</v>
      </c>
      <c r="T152" t="s">
        <v>433</v>
      </c>
    </row>
    <row r="153" spans="1:20" hidden="1" x14ac:dyDescent="0.2">
      <c r="A153">
        <v>152</v>
      </c>
      <c r="B153" t="s">
        <v>17</v>
      </c>
      <c r="C153" t="s">
        <v>62</v>
      </c>
      <c r="D153" t="s">
        <v>270</v>
      </c>
      <c r="E153">
        <v>70</v>
      </c>
      <c r="F153">
        <v>1</v>
      </c>
      <c r="G153">
        <v>1</v>
      </c>
      <c r="H153" t="s">
        <v>25</v>
      </c>
      <c r="I153" t="s">
        <v>230</v>
      </c>
      <c r="J153" t="s">
        <v>85</v>
      </c>
      <c r="K153" t="s">
        <v>85</v>
      </c>
      <c r="L153" t="s">
        <v>85</v>
      </c>
      <c r="M153" t="s">
        <v>12</v>
      </c>
      <c r="N153" t="s">
        <v>86</v>
      </c>
      <c r="O153" t="s">
        <v>28</v>
      </c>
      <c r="P153">
        <v>400</v>
      </c>
      <c r="Q153">
        <v>70</v>
      </c>
      <c r="R153">
        <v>15</v>
      </c>
      <c r="S153" t="s">
        <v>231</v>
      </c>
      <c r="T153" t="s">
        <v>433</v>
      </c>
    </row>
    <row r="154" spans="1:20" hidden="1" x14ac:dyDescent="0.2">
      <c r="A154">
        <v>153</v>
      </c>
      <c r="B154" t="s">
        <v>17</v>
      </c>
      <c r="C154" t="s">
        <v>62</v>
      </c>
      <c r="D154" t="s">
        <v>270</v>
      </c>
      <c r="E154">
        <v>77</v>
      </c>
      <c r="F154">
        <v>1</v>
      </c>
      <c r="G154">
        <v>1</v>
      </c>
      <c r="H154" t="s">
        <v>25</v>
      </c>
      <c r="I154" t="s">
        <v>232</v>
      </c>
      <c r="J154" t="s">
        <v>85</v>
      </c>
      <c r="K154" t="s">
        <v>85</v>
      </c>
      <c r="L154" t="s">
        <v>85</v>
      </c>
      <c r="M154" t="s">
        <v>80</v>
      </c>
      <c r="N154" t="s">
        <v>86</v>
      </c>
      <c r="O154" t="s">
        <v>28</v>
      </c>
      <c r="P154">
        <v>400</v>
      </c>
      <c r="Q154">
        <v>70</v>
      </c>
      <c r="R154">
        <v>15</v>
      </c>
      <c r="S154" t="s">
        <v>233</v>
      </c>
      <c r="T154" t="s">
        <v>433</v>
      </c>
    </row>
    <row r="155" spans="1:20" hidden="1" x14ac:dyDescent="0.2">
      <c r="A155">
        <v>154</v>
      </c>
      <c r="B155" t="s">
        <v>17</v>
      </c>
      <c r="C155" t="s">
        <v>62</v>
      </c>
      <c r="D155" t="s">
        <v>270</v>
      </c>
      <c r="E155">
        <v>84</v>
      </c>
      <c r="F155">
        <v>1</v>
      </c>
      <c r="G155">
        <v>1</v>
      </c>
      <c r="H155" t="s">
        <v>25</v>
      </c>
      <c r="I155" t="s">
        <v>234</v>
      </c>
      <c r="J155" t="s">
        <v>85</v>
      </c>
      <c r="K155" t="s">
        <v>85</v>
      </c>
      <c r="L155" t="s">
        <v>85</v>
      </c>
      <c r="M155" t="s">
        <v>27</v>
      </c>
      <c r="N155" t="s">
        <v>86</v>
      </c>
      <c r="O155" t="s">
        <v>28</v>
      </c>
      <c r="P155">
        <v>400</v>
      </c>
      <c r="Q155">
        <v>70</v>
      </c>
      <c r="R155">
        <v>15</v>
      </c>
      <c r="S155" t="s">
        <v>235</v>
      </c>
      <c r="T155" t="s">
        <v>433</v>
      </c>
    </row>
    <row r="156" spans="1:20" hidden="1" x14ac:dyDescent="0.2">
      <c r="A156">
        <v>155</v>
      </c>
      <c r="B156" t="s">
        <v>17</v>
      </c>
      <c r="C156" t="s">
        <v>62</v>
      </c>
      <c r="D156" t="s">
        <v>270</v>
      </c>
      <c r="E156">
        <v>91</v>
      </c>
      <c r="F156">
        <v>1</v>
      </c>
      <c r="G156">
        <v>1</v>
      </c>
      <c r="H156" t="s">
        <v>26</v>
      </c>
      <c r="I156" t="s">
        <v>437</v>
      </c>
      <c r="J156" t="s">
        <v>85</v>
      </c>
      <c r="K156" t="s">
        <v>85</v>
      </c>
      <c r="L156" t="s">
        <v>85</v>
      </c>
      <c r="M156" t="s">
        <v>80</v>
      </c>
      <c r="N156" t="s">
        <v>86</v>
      </c>
      <c r="O156" t="s">
        <v>28</v>
      </c>
      <c r="P156">
        <v>400</v>
      </c>
      <c r="Q156">
        <v>70</v>
      </c>
      <c r="R156">
        <v>15</v>
      </c>
      <c r="S156" t="s">
        <v>438</v>
      </c>
      <c r="T156" t="s">
        <v>433</v>
      </c>
    </row>
    <row r="157" spans="1:20" hidden="1" x14ac:dyDescent="0.2">
      <c r="A157">
        <v>156</v>
      </c>
      <c r="B157" t="s">
        <v>17</v>
      </c>
      <c r="C157" t="s">
        <v>62</v>
      </c>
      <c r="D157" t="s">
        <v>86</v>
      </c>
      <c r="E157">
        <v>98</v>
      </c>
      <c r="F157">
        <v>1</v>
      </c>
      <c r="G157">
        <v>1</v>
      </c>
      <c r="H157" t="s">
        <v>26</v>
      </c>
      <c r="I157" t="s">
        <v>439</v>
      </c>
      <c r="J157" t="s">
        <v>85</v>
      </c>
      <c r="K157" t="s">
        <v>85</v>
      </c>
      <c r="L157" t="s">
        <v>85</v>
      </c>
      <c r="M157" t="s">
        <v>12</v>
      </c>
      <c r="N157" t="s">
        <v>86</v>
      </c>
      <c r="O157" t="s">
        <v>28</v>
      </c>
      <c r="P157">
        <v>400</v>
      </c>
      <c r="Q157">
        <v>70</v>
      </c>
      <c r="R157">
        <v>15</v>
      </c>
      <c r="S157" t="s">
        <v>439</v>
      </c>
      <c r="T157" t="s">
        <v>433</v>
      </c>
    </row>
    <row r="158" spans="1:20" hidden="1" x14ac:dyDescent="0.2">
      <c r="A158">
        <v>157</v>
      </c>
      <c r="B158" t="s">
        <v>64</v>
      </c>
      <c r="C158" t="s">
        <v>63</v>
      </c>
      <c r="D158" t="s">
        <v>270</v>
      </c>
      <c r="E158">
        <v>0</v>
      </c>
      <c r="F158">
        <v>1</v>
      </c>
      <c r="G158">
        <v>1</v>
      </c>
      <c r="H158" t="s">
        <v>25</v>
      </c>
      <c r="I158" t="s">
        <v>440</v>
      </c>
      <c r="J158" t="s">
        <v>85</v>
      </c>
      <c r="K158" t="s">
        <v>85</v>
      </c>
      <c r="L158" t="s">
        <v>85</v>
      </c>
      <c r="M158" t="s">
        <v>27</v>
      </c>
      <c r="N158" t="s">
        <v>86</v>
      </c>
      <c r="O158" t="s">
        <v>65</v>
      </c>
      <c r="P158">
        <v>50</v>
      </c>
      <c r="Q158">
        <v>70</v>
      </c>
      <c r="R158">
        <v>15</v>
      </c>
      <c r="S158" t="s">
        <v>441</v>
      </c>
      <c r="T158" t="s">
        <v>63</v>
      </c>
    </row>
    <row r="159" spans="1:20" hidden="1" x14ac:dyDescent="0.2">
      <c r="A159">
        <v>158</v>
      </c>
      <c r="B159" t="s">
        <v>64</v>
      </c>
      <c r="C159" t="s">
        <v>63</v>
      </c>
      <c r="D159" t="s">
        <v>270</v>
      </c>
      <c r="E159">
        <v>14</v>
      </c>
      <c r="F159">
        <v>1</v>
      </c>
      <c r="G159">
        <v>1</v>
      </c>
      <c r="H159" t="s">
        <v>66</v>
      </c>
      <c r="I159" t="s">
        <v>89</v>
      </c>
      <c r="J159" t="s">
        <v>85</v>
      </c>
      <c r="K159" t="s">
        <v>85</v>
      </c>
      <c r="L159" t="s">
        <v>85</v>
      </c>
      <c r="M159" t="s">
        <v>12</v>
      </c>
      <c r="N159" t="s">
        <v>86</v>
      </c>
      <c r="O159" t="s">
        <v>65</v>
      </c>
      <c r="P159">
        <v>50</v>
      </c>
      <c r="Q159">
        <v>70</v>
      </c>
      <c r="R159">
        <v>15</v>
      </c>
      <c r="S159" t="s">
        <v>442</v>
      </c>
      <c r="T159" t="s">
        <v>63</v>
      </c>
    </row>
    <row r="160" spans="1:20" hidden="1" x14ac:dyDescent="0.2">
      <c r="A160">
        <v>159</v>
      </c>
      <c r="B160" t="s">
        <v>64</v>
      </c>
      <c r="C160" t="s">
        <v>63</v>
      </c>
      <c r="D160" t="s">
        <v>270</v>
      </c>
      <c r="E160">
        <v>28</v>
      </c>
      <c r="F160">
        <v>1</v>
      </c>
      <c r="G160">
        <v>1</v>
      </c>
      <c r="H160" t="s">
        <v>66</v>
      </c>
      <c r="I160" t="s">
        <v>89</v>
      </c>
      <c r="J160" t="s">
        <v>85</v>
      </c>
      <c r="K160" t="s">
        <v>85</v>
      </c>
      <c r="L160" t="s">
        <v>85</v>
      </c>
      <c r="M160" t="s">
        <v>27</v>
      </c>
      <c r="N160" t="s">
        <v>86</v>
      </c>
      <c r="O160" t="s">
        <v>65</v>
      </c>
      <c r="P160">
        <v>200</v>
      </c>
      <c r="Q160">
        <v>70</v>
      </c>
      <c r="R160">
        <v>15</v>
      </c>
      <c r="S160" t="s">
        <v>443</v>
      </c>
      <c r="T160" t="s">
        <v>63</v>
      </c>
    </row>
    <row r="161" spans="1:20" hidden="1" x14ac:dyDescent="0.2">
      <c r="A161">
        <v>160</v>
      </c>
      <c r="B161" t="s">
        <v>64</v>
      </c>
      <c r="C161" t="s">
        <v>63</v>
      </c>
      <c r="D161" t="s">
        <v>270</v>
      </c>
      <c r="E161">
        <v>42</v>
      </c>
      <c r="F161">
        <v>1</v>
      </c>
      <c r="G161">
        <v>1</v>
      </c>
      <c r="H161" t="s">
        <v>66</v>
      </c>
      <c r="I161" t="s">
        <v>89</v>
      </c>
      <c r="J161" t="s">
        <v>85</v>
      </c>
      <c r="K161" t="s">
        <v>85</v>
      </c>
      <c r="L161" t="s">
        <v>85</v>
      </c>
      <c r="M161" t="s">
        <v>12</v>
      </c>
      <c r="N161" t="s">
        <v>270</v>
      </c>
      <c r="O161" t="s">
        <v>65</v>
      </c>
      <c r="P161">
        <v>200</v>
      </c>
      <c r="Q161">
        <v>70</v>
      </c>
      <c r="R161">
        <v>15</v>
      </c>
      <c r="S161" t="s">
        <v>444</v>
      </c>
      <c r="T161" t="s">
        <v>63</v>
      </c>
    </row>
    <row r="162" spans="1:20" hidden="1" x14ac:dyDescent="0.2">
      <c r="A162">
        <v>161</v>
      </c>
      <c r="B162" t="s">
        <v>64</v>
      </c>
      <c r="C162" t="s">
        <v>63</v>
      </c>
      <c r="D162" t="s">
        <v>270</v>
      </c>
      <c r="E162">
        <v>56</v>
      </c>
      <c r="F162">
        <v>1</v>
      </c>
      <c r="G162">
        <v>1</v>
      </c>
      <c r="H162" t="s">
        <v>66</v>
      </c>
      <c r="I162" t="s">
        <v>89</v>
      </c>
      <c r="J162" t="s">
        <v>85</v>
      </c>
      <c r="K162" t="s">
        <v>85</v>
      </c>
      <c r="L162" t="s">
        <v>85</v>
      </c>
      <c r="M162" t="s">
        <v>27</v>
      </c>
      <c r="N162" t="s">
        <v>270</v>
      </c>
      <c r="O162" t="s">
        <v>65</v>
      </c>
      <c r="P162">
        <v>200</v>
      </c>
      <c r="Q162">
        <v>70</v>
      </c>
      <c r="R162">
        <v>15</v>
      </c>
      <c r="S162" t="s">
        <v>445</v>
      </c>
      <c r="T162" t="s">
        <v>63</v>
      </c>
    </row>
    <row r="163" spans="1:20" hidden="1" x14ac:dyDescent="0.2">
      <c r="A163">
        <v>162</v>
      </c>
      <c r="B163" t="s">
        <v>64</v>
      </c>
      <c r="C163" t="s">
        <v>446</v>
      </c>
      <c r="D163" t="s">
        <v>447</v>
      </c>
      <c r="E163">
        <v>0</v>
      </c>
      <c r="F163">
        <v>1</v>
      </c>
      <c r="G163">
        <v>1</v>
      </c>
      <c r="H163" t="s">
        <v>25</v>
      </c>
      <c r="I163" t="s">
        <v>448</v>
      </c>
      <c r="J163" t="s">
        <v>85</v>
      </c>
      <c r="K163" t="s">
        <v>85</v>
      </c>
      <c r="L163" t="s">
        <v>85</v>
      </c>
      <c r="M163" t="s">
        <v>27</v>
      </c>
      <c r="N163" t="s">
        <v>86</v>
      </c>
      <c r="O163" t="s">
        <v>28</v>
      </c>
      <c r="P163">
        <v>200</v>
      </c>
      <c r="Q163">
        <v>70</v>
      </c>
      <c r="R163">
        <v>18</v>
      </c>
      <c r="S163" t="s">
        <v>449</v>
      </c>
      <c r="T163" t="s">
        <v>450</v>
      </c>
    </row>
    <row r="164" spans="1:20" hidden="1" x14ac:dyDescent="0.2">
      <c r="A164">
        <v>163</v>
      </c>
      <c r="B164" t="s">
        <v>64</v>
      </c>
      <c r="C164" t="s">
        <v>446</v>
      </c>
      <c r="D164" t="s">
        <v>451</v>
      </c>
      <c r="E164">
        <v>0</v>
      </c>
      <c r="F164">
        <v>1</v>
      </c>
      <c r="G164">
        <v>2</v>
      </c>
      <c r="H164" t="s">
        <v>25</v>
      </c>
      <c r="I164" t="s">
        <v>452</v>
      </c>
      <c r="J164" t="s">
        <v>85</v>
      </c>
      <c r="K164" t="s">
        <v>85</v>
      </c>
      <c r="L164" t="s">
        <v>85</v>
      </c>
      <c r="M164" t="s">
        <v>27</v>
      </c>
      <c r="N164" t="s">
        <v>414</v>
      </c>
      <c r="O164" t="s">
        <v>28</v>
      </c>
      <c r="P164">
        <v>200</v>
      </c>
      <c r="Q164">
        <v>70</v>
      </c>
      <c r="R164">
        <v>18</v>
      </c>
      <c r="S164" t="s">
        <v>453</v>
      </c>
      <c r="T164" t="s">
        <v>454</v>
      </c>
    </row>
    <row r="165" spans="1:20" hidden="1" x14ac:dyDescent="0.2">
      <c r="A165">
        <v>164</v>
      </c>
      <c r="B165" t="s">
        <v>64</v>
      </c>
      <c r="C165" t="s">
        <v>446</v>
      </c>
      <c r="D165" t="s">
        <v>455</v>
      </c>
      <c r="E165">
        <v>0</v>
      </c>
      <c r="F165">
        <v>1</v>
      </c>
      <c r="G165">
        <v>2</v>
      </c>
      <c r="H165" t="s">
        <v>25</v>
      </c>
      <c r="I165" t="s">
        <v>456</v>
      </c>
      <c r="J165" t="s">
        <v>85</v>
      </c>
      <c r="K165" t="s">
        <v>85</v>
      </c>
      <c r="L165" t="s">
        <v>85</v>
      </c>
      <c r="M165" t="s">
        <v>27</v>
      </c>
      <c r="N165" t="s">
        <v>86</v>
      </c>
      <c r="O165" t="s">
        <v>28</v>
      </c>
      <c r="P165">
        <v>200</v>
      </c>
      <c r="Q165">
        <v>70</v>
      </c>
      <c r="R165">
        <v>18</v>
      </c>
      <c r="S165" t="s">
        <v>457</v>
      </c>
      <c r="T165" t="s">
        <v>458</v>
      </c>
    </row>
    <row r="166" spans="1:20" hidden="1" x14ac:dyDescent="0.2">
      <c r="A166">
        <v>165</v>
      </c>
      <c r="B166" t="s">
        <v>64</v>
      </c>
      <c r="C166" t="s">
        <v>446</v>
      </c>
      <c r="D166" t="s">
        <v>459</v>
      </c>
      <c r="E166">
        <v>0</v>
      </c>
      <c r="F166">
        <v>1</v>
      </c>
      <c r="G166">
        <v>5</v>
      </c>
      <c r="H166" t="s">
        <v>25</v>
      </c>
      <c r="I166" t="s">
        <v>460</v>
      </c>
      <c r="J166" t="s">
        <v>85</v>
      </c>
      <c r="K166" t="s">
        <v>85</v>
      </c>
      <c r="L166" t="s">
        <v>85</v>
      </c>
      <c r="M166" t="s">
        <v>27</v>
      </c>
      <c r="N166" t="s">
        <v>461</v>
      </c>
      <c r="O166" t="s">
        <v>28</v>
      </c>
      <c r="P166">
        <v>200</v>
      </c>
      <c r="Q166">
        <v>70</v>
      </c>
      <c r="R166">
        <v>18</v>
      </c>
      <c r="S166" t="s">
        <v>462</v>
      </c>
      <c r="T166" t="s">
        <v>463</v>
      </c>
    </row>
    <row r="167" spans="1:20" hidden="1" x14ac:dyDescent="0.2">
      <c r="A167">
        <v>166</v>
      </c>
      <c r="B167" t="s">
        <v>64</v>
      </c>
      <c r="C167" t="s">
        <v>446</v>
      </c>
      <c r="D167" t="s">
        <v>464</v>
      </c>
      <c r="E167">
        <v>0</v>
      </c>
      <c r="F167">
        <v>1</v>
      </c>
      <c r="G167">
        <v>7</v>
      </c>
      <c r="H167" t="s">
        <v>25</v>
      </c>
      <c r="I167" t="s">
        <v>465</v>
      </c>
      <c r="J167" t="s">
        <v>85</v>
      </c>
      <c r="K167" t="s">
        <v>85</v>
      </c>
      <c r="L167" t="s">
        <v>85</v>
      </c>
      <c r="M167" t="s">
        <v>27</v>
      </c>
      <c r="N167" t="s">
        <v>466</v>
      </c>
      <c r="O167" t="s">
        <v>28</v>
      </c>
      <c r="P167">
        <v>200</v>
      </c>
      <c r="Q167">
        <v>70</v>
      </c>
      <c r="R167">
        <v>18</v>
      </c>
      <c r="S167" t="s">
        <v>467</v>
      </c>
      <c r="T167" t="s">
        <v>468</v>
      </c>
    </row>
    <row r="168" spans="1:20" hidden="1" x14ac:dyDescent="0.2">
      <c r="A168">
        <v>167</v>
      </c>
      <c r="B168" t="s">
        <v>64</v>
      </c>
      <c r="C168" t="s">
        <v>446</v>
      </c>
      <c r="D168" t="s">
        <v>447</v>
      </c>
      <c r="E168">
        <v>14</v>
      </c>
      <c r="F168">
        <v>1</v>
      </c>
      <c r="G168">
        <v>1</v>
      </c>
      <c r="H168" t="s">
        <v>25</v>
      </c>
      <c r="I168" t="s">
        <v>469</v>
      </c>
      <c r="J168" t="s">
        <v>85</v>
      </c>
      <c r="K168" t="s">
        <v>85</v>
      </c>
      <c r="L168" t="s">
        <v>85</v>
      </c>
      <c r="M168" t="s">
        <v>12</v>
      </c>
      <c r="N168" t="s">
        <v>86</v>
      </c>
      <c r="O168" t="s">
        <v>28</v>
      </c>
      <c r="P168">
        <v>200</v>
      </c>
      <c r="Q168">
        <v>70</v>
      </c>
      <c r="R168">
        <v>18</v>
      </c>
      <c r="S168" t="s">
        <v>470</v>
      </c>
      <c r="T168" t="s">
        <v>450</v>
      </c>
    </row>
    <row r="169" spans="1:20" hidden="1" x14ac:dyDescent="0.2">
      <c r="A169">
        <v>168</v>
      </c>
      <c r="B169" t="s">
        <v>64</v>
      </c>
      <c r="C169" t="s">
        <v>446</v>
      </c>
      <c r="D169" t="s">
        <v>451</v>
      </c>
      <c r="E169">
        <v>14</v>
      </c>
      <c r="F169">
        <v>1</v>
      </c>
      <c r="G169">
        <v>2</v>
      </c>
      <c r="H169" t="s">
        <v>25</v>
      </c>
      <c r="I169" t="s">
        <v>471</v>
      </c>
      <c r="J169" t="s">
        <v>85</v>
      </c>
      <c r="K169" t="s">
        <v>85</v>
      </c>
      <c r="L169" t="s">
        <v>85</v>
      </c>
      <c r="M169" t="s">
        <v>12</v>
      </c>
      <c r="N169" t="s">
        <v>414</v>
      </c>
      <c r="O169" t="s">
        <v>28</v>
      </c>
      <c r="P169">
        <v>200</v>
      </c>
      <c r="Q169">
        <v>70</v>
      </c>
      <c r="R169">
        <v>18</v>
      </c>
      <c r="S169" t="s">
        <v>472</v>
      </c>
      <c r="T169" t="s">
        <v>454</v>
      </c>
    </row>
    <row r="170" spans="1:20" hidden="1" x14ac:dyDescent="0.2">
      <c r="A170">
        <v>169</v>
      </c>
      <c r="B170" t="s">
        <v>64</v>
      </c>
      <c r="C170" t="s">
        <v>446</v>
      </c>
      <c r="D170" t="s">
        <v>455</v>
      </c>
      <c r="E170">
        <v>14</v>
      </c>
      <c r="F170">
        <v>1</v>
      </c>
      <c r="G170">
        <v>2</v>
      </c>
      <c r="H170" t="s">
        <v>25</v>
      </c>
      <c r="I170" t="s">
        <v>409</v>
      </c>
      <c r="J170" t="s">
        <v>85</v>
      </c>
      <c r="K170" t="s">
        <v>85</v>
      </c>
      <c r="L170" t="s">
        <v>85</v>
      </c>
      <c r="M170" t="s">
        <v>12</v>
      </c>
      <c r="N170" t="s">
        <v>86</v>
      </c>
      <c r="O170" t="s">
        <v>28</v>
      </c>
      <c r="P170">
        <v>200</v>
      </c>
      <c r="Q170">
        <v>70</v>
      </c>
      <c r="R170">
        <v>18</v>
      </c>
      <c r="S170" t="s">
        <v>473</v>
      </c>
      <c r="T170" t="s">
        <v>458</v>
      </c>
    </row>
    <row r="171" spans="1:20" hidden="1" x14ac:dyDescent="0.2">
      <c r="A171">
        <v>170</v>
      </c>
      <c r="B171" t="s">
        <v>64</v>
      </c>
      <c r="C171" t="s">
        <v>446</v>
      </c>
      <c r="D171" t="s">
        <v>459</v>
      </c>
      <c r="E171">
        <v>14</v>
      </c>
      <c r="F171">
        <v>1</v>
      </c>
      <c r="G171">
        <v>5</v>
      </c>
      <c r="H171" t="s">
        <v>25</v>
      </c>
      <c r="I171" t="s">
        <v>474</v>
      </c>
      <c r="J171" t="s">
        <v>85</v>
      </c>
      <c r="K171" t="s">
        <v>85</v>
      </c>
      <c r="L171" t="s">
        <v>85</v>
      </c>
      <c r="M171" t="s">
        <v>12</v>
      </c>
      <c r="N171" t="s">
        <v>461</v>
      </c>
      <c r="O171" t="s">
        <v>28</v>
      </c>
      <c r="P171">
        <v>200</v>
      </c>
      <c r="Q171">
        <v>70</v>
      </c>
      <c r="R171">
        <v>18</v>
      </c>
      <c r="S171" t="s">
        <v>475</v>
      </c>
      <c r="T171" t="s">
        <v>463</v>
      </c>
    </row>
    <row r="172" spans="1:20" hidden="1" x14ac:dyDescent="0.2">
      <c r="A172">
        <v>171</v>
      </c>
      <c r="B172" t="s">
        <v>64</v>
      </c>
      <c r="C172" t="s">
        <v>446</v>
      </c>
      <c r="D172" t="s">
        <v>464</v>
      </c>
      <c r="E172">
        <v>14</v>
      </c>
      <c r="F172">
        <v>1</v>
      </c>
      <c r="G172">
        <v>7</v>
      </c>
      <c r="H172" t="s">
        <v>25</v>
      </c>
      <c r="I172" t="s">
        <v>89</v>
      </c>
      <c r="J172" t="s">
        <v>85</v>
      </c>
      <c r="K172" t="s">
        <v>85</v>
      </c>
      <c r="L172" t="s">
        <v>85</v>
      </c>
      <c r="M172" t="s">
        <v>12</v>
      </c>
      <c r="N172" t="s">
        <v>466</v>
      </c>
      <c r="O172" t="s">
        <v>28</v>
      </c>
      <c r="P172">
        <v>200</v>
      </c>
      <c r="Q172">
        <v>70</v>
      </c>
      <c r="R172">
        <v>18</v>
      </c>
      <c r="S172" t="s">
        <v>476</v>
      </c>
      <c r="T172" t="s">
        <v>468</v>
      </c>
    </row>
    <row r="173" spans="1:20" hidden="1" x14ac:dyDescent="0.2">
      <c r="A173">
        <v>172</v>
      </c>
      <c r="B173" t="s">
        <v>64</v>
      </c>
      <c r="C173" t="s">
        <v>446</v>
      </c>
      <c r="D173" t="s">
        <v>447</v>
      </c>
      <c r="E173">
        <v>28</v>
      </c>
      <c r="F173">
        <v>1</v>
      </c>
      <c r="G173">
        <v>1</v>
      </c>
      <c r="H173" t="s">
        <v>25</v>
      </c>
      <c r="I173" t="s">
        <v>477</v>
      </c>
      <c r="J173" t="s">
        <v>85</v>
      </c>
      <c r="K173" t="s">
        <v>85</v>
      </c>
      <c r="L173" t="s">
        <v>85</v>
      </c>
      <c r="M173" t="s">
        <v>27</v>
      </c>
      <c r="N173" t="s">
        <v>86</v>
      </c>
      <c r="O173" t="s">
        <v>28</v>
      </c>
      <c r="P173">
        <v>200</v>
      </c>
      <c r="Q173">
        <v>70</v>
      </c>
      <c r="R173">
        <v>18</v>
      </c>
      <c r="S173" t="s">
        <v>478</v>
      </c>
      <c r="T173" t="s">
        <v>450</v>
      </c>
    </row>
    <row r="174" spans="1:20" hidden="1" x14ac:dyDescent="0.2">
      <c r="A174">
        <v>173</v>
      </c>
      <c r="B174" t="s">
        <v>64</v>
      </c>
      <c r="C174" t="s">
        <v>446</v>
      </c>
      <c r="D174" t="s">
        <v>451</v>
      </c>
      <c r="E174">
        <v>28</v>
      </c>
      <c r="F174">
        <v>1</v>
      </c>
      <c r="G174">
        <v>2</v>
      </c>
      <c r="H174" t="s">
        <v>25</v>
      </c>
      <c r="I174" t="s">
        <v>479</v>
      </c>
      <c r="J174" t="s">
        <v>85</v>
      </c>
      <c r="K174" t="s">
        <v>85</v>
      </c>
      <c r="L174" t="s">
        <v>85</v>
      </c>
      <c r="M174" t="s">
        <v>27</v>
      </c>
      <c r="N174" t="s">
        <v>414</v>
      </c>
      <c r="O174" t="s">
        <v>28</v>
      </c>
      <c r="P174">
        <v>200</v>
      </c>
      <c r="Q174">
        <v>70</v>
      </c>
      <c r="R174">
        <v>18</v>
      </c>
      <c r="S174" t="s">
        <v>480</v>
      </c>
      <c r="T174" t="s">
        <v>454</v>
      </c>
    </row>
    <row r="175" spans="1:20" hidden="1" x14ac:dyDescent="0.2">
      <c r="A175">
        <v>174</v>
      </c>
      <c r="B175" t="s">
        <v>64</v>
      </c>
      <c r="C175" t="s">
        <v>446</v>
      </c>
      <c r="D175" t="s">
        <v>455</v>
      </c>
      <c r="E175">
        <v>28</v>
      </c>
      <c r="F175">
        <v>1</v>
      </c>
      <c r="G175">
        <v>2</v>
      </c>
      <c r="H175" t="s">
        <v>25</v>
      </c>
      <c r="I175" t="s">
        <v>89</v>
      </c>
      <c r="J175" t="s">
        <v>85</v>
      </c>
      <c r="K175" t="s">
        <v>85</v>
      </c>
      <c r="L175" t="s">
        <v>85</v>
      </c>
      <c r="M175" t="s">
        <v>27</v>
      </c>
      <c r="N175" t="s">
        <v>86</v>
      </c>
      <c r="O175" t="s">
        <v>28</v>
      </c>
      <c r="P175">
        <v>200</v>
      </c>
      <c r="Q175">
        <v>70</v>
      </c>
      <c r="R175">
        <v>18</v>
      </c>
      <c r="S175" t="s">
        <v>481</v>
      </c>
      <c r="T175" t="s">
        <v>458</v>
      </c>
    </row>
    <row r="176" spans="1:20" hidden="1" x14ac:dyDescent="0.2">
      <c r="A176">
        <v>175</v>
      </c>
      <c r="B176" t="s">
        <v>64</v>
      </c>
      <c r="C176" t="s">
        <v>446</v>
      </c>
      <c r="D176" t="s">
        <v>459</v>
      </c>
      <c r="E176">
        <v>28</v>
      </c>
      <c r="F176">
        <v>1</v>
      </c>
      <c r="G176">
        <v>5</v>
      </c>
      <c r="H176" t="s">
        <v>25</v>
      </c>
      <c r="I176" t="s">
        <v>482</v>
      </c>
      <c r="J176" t="s">
        <v>85</v>
      </c>
      <c r="K176" t="s">
        <v>85</v>
      </c>
      <c r="L176" t="s">
        <v>85</v>
      </c>
      <c r="M176" t="s">
        <v>27</v>
      </c>
      <c r="N176" t="s">
        <v>461</v>
      </c>
      <c r="O176" t="s">
        <v>28</v>
      </c>
      <c r="P176">
        <v>200</v>
      </c>
      <c r="Q176">
        <v>70</v>
      </c>
      <c r="R176">
        <v>18</v>
      </c>
      <c r="S176" t="s">
        <v>483</v>
      </c>
      <c r="T176" t="s">
        <v>463</v>
      </c>
    </row>
    <row r="177" spans="1:20" hidden="1" x14ac:dyDescent="0.2">
      <c r="A177">
        <v>176</v>
      </c>
      <c r="B177" t="s">
        <v>64</v>
      </c>
      <c r="C177" t="s">
        <v>446</v>
      </c>
      <c r="D177" t="s">
        <v>484</v>
      </c>
      <c r="E177">
        <v>28</v>
      </c>
      <c r="F177">
        <v>1</v>
      </c>
      <c r="G177">
        <v>7</v>
      </c>
      <c r="H177" t="s">
        <v>25</v>
      </c>
      <c r="I177" t="s">
        <v>485</v>
      </c>
      <c r="J177" t="s">
        <v>85</v>
      </c>
      <c r="K177" t="s">
        <v>85</v>
      </c>
      <c r="L177" t="s">
        <v>85</v>
      </c>
      <c r="M177" t="s">
        <v>27</v>
      </c>
      <c r="N177" t="s">
        <v>486</v>
      </c>
      <c r="O177" t="s">
        <v>28</v>
      </c>
      <c r="P177">
        <v>200</v>
      </c>
      <c r="Q177">
        <v>70</v>
      </c>
      <c r="R177">
        <v>18</v>
      </c>
      <c r="S177" t="s">
        <v>487</v>
      </c>
      <c r="T177" t="s">
        <v>468</v>
      </c>
    </row>
    <row r="178" spans="1:20" hidden="1" x14ac:dyDescent="0.2">
      <c r="A178">
        <v>177</v>
      </c>
      <c r="B178" t="s">
        <v>64</v>
      </c>
      <c r="C178" t="s">
        <v>446</v>
      </c>
      <c r="D178" t="s">
        <v>447</v>
      </c>
      <c r="E178">
        <v>42</v>
      </c>
      <c r="F178">
        <v>1</v>
      </c>
      <c r="G178">
        <v>1</v>
      </c>
      <c r="H178" t="s">
        <v>25</v>
      </c>
      <c r="I178" t="s">
        <v>488</v>
      </c>
      <c r="J178" t="s">
        <v>85</v>
      </c>
      <c r="K178" t="s">
        <v>85</v>
      </c>
      <c r="L178" t="s">
        <v>85</v>
      </c>
      <c r="M178" t="s">
        <v>12</v>
      </c>
      <c r="N178" t="s">
        <v>86</v>
      </c>
      <c r="O178" t="s">
        <v>28</v>
      </c>
      <c r="P178">
        <v>200</v>
      </c>
      <c r="Q178">
        <v>70</v>
      </c>
      <c r="R178">
        <v>18</v>
      </c>
      <c r="S178" t="s">
        <v>489</v>
      </c>
      <c r="T178" t="s">
        <v>450</v>
      </c>
    </row>
    <row r="179" spans="1:20" hidden="1" x14ac:dyDescent="0.2">
      <c r="A179">
        <v>178</v>
      </c>
      <c r="B179" t="s">
        <v>64</v>
      </c>
      <c r="C179" t="s">
        <v>446</v>
      </c>
      <c r="D179" t="s">
        <v>451</v>
      </c>
      <c r="E179">
        <v>42</v>
      </c>
      <c r="F179">
        <v>1</v>
      </c>
      <c r="G179">
        <v>2</v>
      </c>
      <c r="H179" t="s">
        <v>25</v>
      </c>
      <c r="I179" t="s">
        <v>490</v>
      </c>
      <c r="J179" t="s">
        <v>85</v>
      </c>
      <c r="K179" t="s">
        <v>85</v>
      </c>
      <c r="L179" t="s">
        <v>85</v>
      </c>
      <c r="M179" t="s">
        <v>12</v>
      </c>
      <c r="N179" t="s">
        <v>414</v>
      </c>
      <c r="O179" t="s">
        <v>28</v>
      </c>
      <c r="P179">
        <v>200</v>
      </c>
      <c r="Q179">
        <v>70</v>
      </c>
      <c r="R179">
        <v>18</v>
      </c>
      <c r="S179" t="s">
        <v>491</v>
      </c>
      <c r="T179" t="s">
        <v>454</v>
      </c>
    </row>
    <row r="180" spans="1:20" hidden="1" x14ac:dyDescent="0.2">
      <c r="A180">
        <v>179</v>
      </c>
      <c r="B180" t="s">
        <v>64</v>
      </c>
      <c r="C180" t="s">
        <v>446</v>
      </c>
      <c r="D180" t="s">
        <v>455</v>
      </c>
      <c r="E180">
        <v>42</v>
      </c>
      <c r="F180">
        <v>1</v>
      </c>
      <c r="G180">
        <v>2</v>
      </c>
      <c r="H180" t="s">
        <v>66</v>
      </c>
      <c r="I180" t="s">
        <v>89</v>
      </c>
      <c r="J180" t="s">
        <v>85</v>
      </c>
      <c r="K180" t="s">
        <v>85</v>
      </c>
      <c r="L180" t="s">
        <v>85</v>
      </c>
      <c r="M180" t="s">
        <v>12</v>
      </c>
      <c r="N180" t="s">
        <v>86</v>
      </c>
      <c r="O180" t="s">
        <v>28</v>
      </c>
      <c r="P180">
        <v>200</v>
      </c>
      <c r="Q180">
        <v>70</v>
      </c>
      <c r="R180">
        <v>18</v>
      </c>
      <c r="S180" t="s">
        <v>492</v>
      </c>
      <c r="T180" t="s">
        <v>458</v>
      </c>
    </row>
    <row r="181" spans="1:20" hidden="1" x14ac:dyDescent="0.2">
      <c r="A181">
        <v>180</v>
      </c>
      <c r="B181" t="s">
        <v>64</v>
      </c>
      <c r="C181" t="s">
        <v>446</v>
      </c>
      <c r="D181" t="s">
        <v>459</v>
      </c>
      <c r="E181">
        <v>42</v>
      </c>
      <c r="F181">
        <v>1</v>
      </c>
      <c r="G181">
        <v>5</v>
      </c>
      <c r="H181" t="s">
        <v>25</v>
      </c>
      <c r="I181" t="s">
        <v>493</v>
      </c>
      <c r="J181" t="s">
        <v>85</v>
      </c>
      <c r="K181" t="s">
        <v>85</v>
      </c>
      <c r="L181" t="s">
        <v>85</v>
      </c>
      <c r="M181" t="s">
        <v>12</v>
      </c>
      <c r="N181" t="s">
        <v>461</v>
      </c>
      <c r="O181" t="s">
        <v>28</v>
      </c>
      <c r="P181">
        <v>200</v>
      </c>
      <c r="Q181">
        <v>70</v>
      </c>
      <c r="R181">
        <v>18</v>
      </c>
      <c r="S181" t="s">
        <v>494</v>
      </c>
      <c r="T181" t="s">
        <v>463</v>
      </c>
    </row>
    <row r="182" spans="1:20" hidden="1" x14ac:dyDescent="0.2">
      <c r="A182">
        <v>181</v>
      </c>
      <c r="B182" t="s">
        <v>64</v>
      </c>
      <c r="C182" t="s">
        <v>446</v>
      </c>
      <c r="D182" t="s">
        <v>484</v>
      </c>
      <c r="E182">
        <v>42</v>
      </c>
      <c r="F182">
        <v>1</v>
      </c>
      <c r="G182">
        <v>7</v>
      </c>
      <c r="H182" t="s">
        <v>25</v>
      </c>
      <c r="I182" t="s">
        <v>495</v>
      </c>
      <c r="J182" t="s">
        <v>85</v>
      </c>
      <c r="K182" t="s">
        <v>85</v>
      </c>
      <c r="L182" t="s">
        <v>85</v>
      </c>
      <c r="M182" t="s">
        <v>12</v>
      </c>
      <c r="N182" t="s">
        <v>486</v>
      </c>
      <c r="O182" t="s">
        <v>28</v>
      </c>
      <c r="P182">
        <v>200</v>
      </c>
      <c r="Q182">
        <v>70</v>
      </c>
      <c r="R182">
        <v>18</v>
      </c>
      <c r="S182" t="s">
        <v>496</v>
      </c>
      <c r="T182" t="s">
        <v>468</v>
      </c>
    </row>
    <row r="183" spans="1:20" hidden="1" x14ac:dyDescent="0.2">
      <c r="A183">
        <v>182</v>
      </c>
      <c r="B183" t="s">
        <v>64</v>
      </c>
      <c r="C183" t="s">
        <v>446</v>
      </c>
      <c r="D183" t="s">
        <v>447</v>
      </c>
      <c r="E183">
        <v>56</v>
      </c>
      <c r="F183">
        <v>1</v>
      </c>
      <c r="G183">
        <v>1</v>
      </c>
      <c r="H183" t="s">
        <v>25</v>
      </c>
      <c r="I183" t="s">
        <v>497</v>
      </c>
      <c r="J183" t="s">
        <v>85</v>
      </c>
      <c r="K183" t="s">
        <v>85</v>
      </c>
      <c r="L183" t="s">
        <v>85</v>
      </c>
      <c r="M183" t="s">
        <v>27</v>
      </c>
      <c r="N183" t="s">
        <v>86</v>
      </c>
      <c r="O183" t="s">
        <v>28</v>
      </c>
      <c r="P183">
        <v>200</v>
      </c>
      <c r="Q183">
        <v>70</v>
      </c>
      <c r="R183">
        <v>18</v>
      </c>
      <c r="S183" t="s">
        <v>498</v>
      </c>
      <c r="T183" t="s">
        <v>450</v>
      </c>
    </row>
    <row r="184" spans="1:20" hidden="1" x14ac:dyDescent="0.2">
      <c r="A184">
        <v>183</v>
      </c>
      <c r="B184" t="s">
        <v>64</v>
      </c>
      <c r="C184" t="s">
        <v>446</v>
      </c>
      <c r="D184" t="s">
        <v>451</v>
      </c>
      <c r="E184">
        <v>56</v>
      </c>
      <c r="F184">
        <v>1</v>
      </c>
      <c r="G184">
        <v>2</v>
      </c>
      <c r="H184" t="s">
        <v>25</v>
      </c>
      <c r="I184" t="s">
        <v>499</v>
      </c>
      <c r="J184" t="s">
        <v>85</v>
      </c>
      <c r="K184" t="s">
        <v>85</v>
      </c>
      <c r="L184" t="s">
        <v>85</v>
      </c>
      <c r="M184" t="s">
        <v>27</v>
      </c>
      <c r="N184" t="s">
        <v>414</v>
      </c>
      <c r="O184" t="s">
        <v>28</v>
      </c>
      <c r="P184">
        <v>200</v>
      </c>
      <c r="Q184">
        <v>70</v>
      </c>
      <c r="R184">
        <v>18</v>
      </c>
      <c r="S184" t="s">
        <v>500</v>
      </c>
      <c r="T184" t="s">
        <v>454</v>
      </c>
    </row>
    <row r="185" spans="1:20" hidden="1" x14ac:dyDescent="0.2">
      <c r="A185">
        <v>184</v>
      </c>
      <c r="B185" t="s">
        <v>64</v>
      </c>
      <c r="C185" t="s">
        <v>446</v>
      </c>
      <c r="D185" t="s">
        <v>501</v>
      </c>
      <c r="E185">
        <v>56</v>
      </c>
      <c r="F185">
        <v>1</v>
      </c>
      <c r="G185">
        <v>2</v>
      </c>
      <c r="H185" t="s">
        <v>25</v>
      </c>
      <c r="I185" t="s">
        <v>502</v>
      </c>
      <c r="J185" t="s">
        <v>85</v>
      </c>
      <c r="K185" t="s">
        <v>85</v>
      </c>
      <c r="L185" t="s">
        <v>85</v>
      </c>
      <c r="M185" t="s">
        <v>27</v>
      </c>
      <c r="N185" t="s">
        <v>86</v>
      </c>
      <c r="O185" t="s">
        <v>28</v>
      </c>
      <c r="P185">
        <v>200</v>
      </c>
      <c r="Q185">
        <v>70</v>
      </c>
      <c r="R185">
        <v>18</v>
      </c>
      <c r="S185" t="s">
        <v>503</v>
      </c>
      <c r="T185" t="s">
        <v>458</v>
      </c>
    </row>
    <row r="186" spans="1:20" hidden="1" x14ac:dyDescent="0.2">
      <c r="A186">
        <v>185</v>
      </c>
      <c r="B186" t="s">
        <v>64</v>
      </c>
      <c r="C186" t="s">
        <v>446</v>
      </c>
      <c r="D186" t="s">
        <v>459</v>
      </c>
      <c r="E186">
        <v>56</v>
      </c>
      <c r="F186">
        <v>1</v>
      </c>
      <c r="G186">
        <v>5</v>
      </c>
      <c r="H186" t="s">
        <v>25</v>
      </c>
      <c r="I186" t="s">
        <v>504</v>
      </c>
      <c r="J186" t="s">
        <v>85</v>
      </c>
      <c r="K186" t="s">
        <v>85</v>
      </c>
      <c r="L186" t="s">
        <v>85</v>
      </c>
      <c r="M186" t="s">
        <v>27</v>
      </c>
      <c r="N186" t="s">
        <v>461</v>
      </c>
      <c r="O186" t="s">
        <v>28</v>
      </c>
      <c r="P186">
        <v>200</v>
      </c>
      <c r="Q186">
        <v>70</v>
      </c>
      <c r="R186">
        <v>18</v>
      </c>
      <c r="S186" t="s">
        <v>505</v>
      </c>
      <c r="T186" t="s">
        <v>463</v>
      </c>
    </row>
    <row r="187" spans="1:20" hidden="1" x14ac:dyDescent="0.2">
      <c r="A187">
        <v>186</v>
      </c>
      <c r="B187" t="s">
        <v>64</v>
      </c>
      <c r="C187" t="s">
        <v>446</v>
      </c>
      <c r="D187" t="s">
        <v>484</v>
      </c>
      <c r="E187">
        <v>56</v>
      </c>
      <c r="F187">
        <v>1</v>
      </c>
      <c r="G187">
        <v>7</v>
      </c>
      <c r="H187" t="s">
        <v>25</v>
      </c>
      <c r="I187" t="s">
        <v>506</v>
      </c>
      <c r="J187" t="s">
        <v>85</v>
      </c>
      <c r="K187" t="s">
        <v>85</v>
      </c>
      <c r="L187" t="s">
        <v>85</v>
      </c>
      <c r="M187" t="s">
        <v>27</v>
      </c>
      <c r="N187" t="s">
        <v>486</v>
      </c>
      <c r="O187" t="s">
        <v>28</v>
      </c>
      <c r="P187">
        <v>200</v>
      </c>
      <c r="Q187">
        <v>70</v>
      </c>
      <c r="R187">
        <v>18</v>
      </c>
      <c r="S187" t="s">
        <v>507</v>
      </c>
      <c r="T187" t="s">
        <v>468</v>
      </c>
    </row>
    <row r="188" spans="1:20" hidden="1" x14ac:dyDescent="0.2">
      <c r="A188">
        <v>187</v>
      </c>
      <c r="B188" t="s">
        <v>64</v>
      </c>
      <c r="C188" t="s">
        <v>446</v>
      </c>
      <c r="D188" t="s">
        <v>447</v>
      </c>
      <c r="E188">
        <v>70</v>
      </c>
      <c r="F188">
        <v>1</v>
      </c>
      <c r="G188">
        <v>1</v>
      </c>
      <c r="H188" t="s">
        <v>25</v>
      </c>
      <c r="I188" t="s">
        <v>508</v>
      </c>
      <c r="J188" t="s">
        <v>85</v>
      </c>
      <c r="K188" t="s">
        <v>85</v>
      </c>
      <c r="L188" t="s">
        <v>85</v>
      </c>
      <c r="M188" t="s">
        <v>12</v>
      </c>
      <c r="N188" t="s">
        <v>86</v>
      </c>
      <c r="O188" t="s">
        <v>28</v>
      </c>
      <c r="P188">
        <v>200</v>
      </c>
      <c r="Q188">
        <v>70</v>
      </c>
      <c r="R188">
        <v>18</v>
      </c>
      <c r="S188" t="s">
        <v>509</v>
      </c>
      <c r="T188" t="s">
        <v>450</v>
      </c>
    </row>
    <row r="189" spans="1:20" hidden="1" x14ac:dyDescent="0.2">
      <c r="A189">
        <v>188</v>
      </c>
      <c r="B189" t="s">
        <v>64</v>
      </c>
      <c r="C189" t="s">
        <v>446</v>
      </c>
      <c r="D189" t="s">
        <v>451</v>
      </c>
      <c r="E189">
        <v>70</v>
      </c>
      <c r="F189">
        <v>1</v>
      </c>
      <c r="G189">
        <v>2</v>
      </c>
      <c r="H189" t="s">
        <v>25</v>
      </c>
      <c r="I189" t="s">
        <v>510</v>
      </c>
      <c r="J189" t="s">
        <v>85</v>
      </c>
      <c r="K189" t="s">
        <v>85</v>
      </c>
      <c r="L189" t="s">
        <v>85</v>
      </c>
      <c r="M189" t="s">
        <v>12</v>
      </c>
      <c r="N189" t="s">
        <v>414</v>
      </c>
      <c r="O189" t="s">
        <v>28</v>
      </c>
      <c r="P189">
        <v>200</v>
      </c>
      <c r="Q189">
        <v>70</v>
      </c>
      <c r="R189">
        <v>18</v>
      </c>
      <c r="S189" t="s">
        <v>511</v>
      </c>
      <c r="T189" t="s">
        <v>454</v>
      </c>
    </row>
    <row r="190" spans="1:20" hidden="1" x14ac:dyDescent="0.2">
      <c r="A190">
        <v>189</v>
      </c>
      <c r="B190" t="s">
        <v>64</v>
      </c>
      <c r="C190" t="s">
        <v>446</v>
      </c>
      <c r="D190" t="s">
        <v>501</v>
      </c>
      <c r="E190">
        <v>70</v>
      </c>
      <c r="F190">
        <v>1</v>
      </c>
      <c r="G190">
        <v>2</v>
      </c>
      <c r="H190" t="s">
        <v>25</v>
      </c>
      <c r="I190" t="s">
        <v>512</v>
      </c>
      <c r="J190" t="s">
        <v>85</v>
      </c>
      <c r="K190" t="s">
        <v>85</v>
      </c>
      <c r="L190" t="s">
        <v>85</v>
      </c>
      <c r="M190" t="s">
        <v>12</v>
      </c>
      <c r="N190" t="s">
        <v>86</v>
      </c>
      <c r="O190" t="s">
        <v>28</v>
      </c>
      <c r="P190">
        <v>200</v>
      </c>
      <c r="Q190">
        <v>70</v>
      </c>
      <c r="R190">
        <v>18</v>
      </c>
      <c r="S190" t="s">
        <v>513</v>
      </c>
      <c r="T190" t="s">
        <v>458</v>
      </c>
    </row>
    <row r="191" spans="1:20" hidden="1" x14ac:dyDescent="0.2">
      <c r="A191">
        <v>190</v>
      </c>
      <c r="B191" t="s">
        <v>64</v>
      </c>
      <c r="C191" t="s">
        <v>446</v>
      </c>
      <c r="D191" t="s">
        <v>459</v>
      </c>
      <c r="E191">
        <v>70</v>
      </c>
      <c r="F191">
        <v>1</v>
      </c>
      <c r="G191">
        <v>5</v>
      </c>
      <c r="H191" t="s">
        <v>25</v>
      </c>
      <c r="I191" t="s">
        <v>514</v>
      </c>
      <c r="J191" t="s">
        <v>85</v>
      </c>
      <c r="K191" t="s">
        <v>85</v>
      </c>
      <c r="L191" t="s">
        <v>85</v>
      </c>
      <c r="M191" t="s">
        <v>12</v>
      </c>
      <c r="N191" t="s">
        <v>461</v>
      </c>
      <c r="O191" t="s">
        <v>28</v>
      </c>
      <c r="P191">
        <v>200</v>
      </c>
      <c r="Q191">
        <v>70</v>
      </c>
      <c r="R191">
        <v>18</v>
      </c>
      <c r="S191" t="s">
        <v>515</v>
      </c>
      <c r="T191" t="s">
        <v>463</v>
      </c>
    </row>
    <row r="192" spans="1:20" hidden="1" x14ac:dyDescent="0.2">
      <c r="A192">
        <v>191</v>
      </c>
      <c r="B192" t="s">
        <v>64</v>
      </c>
      <c r="C192" t="s">
        <v>446</v>
      </c>
      <c r="D192" t="s">
        <v>484</v>
      </c>
      <c r="E192">
        <v>70</v>
      </c>
      <c r="F192">
        <v>1</v>
      </c>
      <c r="G192">
        <v>7</v>
      </c>
      <c r="H192" t="s">
        <v>25</v>
      </c>
      <c r="I192" t="s">
        <v>89</v>
      </c>
      <c r="J192" t="s">
        <v>85</v>
      </c>
      <c r="K192" t="s">
        <v>85</v>
      </c>
      <c r="L192" t="s">
        <v>85</v>
      </c>
      <c r="M192" t="s">
        <v>12</v>
      </c>
      <c r="N192" t="s">
        <v>486</v>
      </c>
      <c r="O192" t="s">
        <v>28</v>
      </c>
      <c r="P192">
        <v>200</v>
      </c>
      <c r="Q192">
        <v>70</v>
      </c>
      <c r="R192">
        <v>18</v>
      </c>
      <c r="S192" t="s">
        <v>516</v>
      </c>
      <c r="T192" t="s">
        <v>468</v>
      </c>
    </row>
    <row r="193" spans="1:20" hidden="1" x14ac:dyDescent="0.2">
      <c r="A193">
        <v>192</v>
      </c>
      <c r="B193" t="s">
        <v>64</v>
      </c>
      <c r="C193" t="s">
        <v>446</v>
      </c>
      <c r="D193" t="s">
        <v>447</v>
      </c>
      <c r="E193">
        <v>84</v>
      </c>
      <c r="F193">
        <v>1</v>
      </c>
      <c r="G193">
        <v>1</v>
      </c>
      <c r="H193" t="s">
        <v>26</v>
      </c>
      <c r="I193" t="s">
        <v>517</v>
      </c>
      <c r="J193" t="s">
        <v>85</v>
      </c>
      <c r="K193" t="s">
        <v>85</v>
      </c>
      <c r="L193" t="s">
        <v>85</v>
      </c>
      <c r="M193" t="s">
        <v>27</v>
      </c>
      <c r="N193" t="s">
        <v>86</v>
      </c>
      <c r="O193" t="s">
        <v>28</v>
      </c>
      <c r="P193">
        <v>200</v>
      </c>
      <c r="Q193">
        <v>70</v>
      </c>
      <c r="R193">
        <v>18</v>
      </c>
      <c r="S193" t="s">
        <v>518</v>
      </c>
      <c r="T193" t="s">
        <v>450</v>
      </c>
    </row>
    <row r="194" spans="1:20" hidden="1" x14ac:dyDescent="0.2">
      <c r="A194">
        <v>193</v>
      </c>
      <c r="B194" t="s">
        <v>64</v>
      </c>
      <c r="C194" t="s">
        <v>446</v>
      </c>
      <c r="D194" t="s">
        <v>451</v>
      </c>
      <c r="E194">
        <v>84</v>
      </c>
      <c r="F194">
        <v>1</v>
      </c>
      <c r="G194">
        <v>2</v>
      </c>
      <c r="H194" t="s">
        <v>26</v>
      </c>
      <c r="I194" t="s">
        <v>519</v>
      </c>
      <c r="J194" t="s">
        <v>270</v>
      </c>
      <c r="K194" t="s">
        <v>520</v>
      </c>
      <c r="L194" t="s">
        <v>270</v>
      </c>
      <c r="M194" t="s">
        <v>27</v>
      </c>
      <c r="N194" t="s">
        <v>414</v>
      </c>
      <c r="O194" t="s">
        <v>28</v>
      </c>
      <c r="P194">
        <v>200</v>
      </c>
      <c r="Q194">
        <v>70</v>
      </c>
      <c r="R194">
        <v>18</v>
      </c>
      <c r="S194" t="s">
        <v>521</v>
      </c>
      <c r="T194" t="s">
        <v>454</v>
      </c>
    </row>
    <row r="195" spans="1:20" hidden="1" x14ac:dyDescent="0.2">
      <c r="A195">
        <v>194</v>
      </c>
      <c r="B195" t="s">
        <v>64</v>
      </c>
      <c r="C195" t="s">
        <v>446</v>
      </c>
      <c r="D195" t="s">
        <v>501</v>
      </c>
      <c r="E195">
        <v>84</v>
      </c>
      <c r="F195">
        <v>1</v>
      </c>
      <c r="G195">
        <v>2</v>
      </c>
      <c r="H195" t="s">
        <v>26</v>
      </c>
      <c r="I195" t="s">
        <v>522</v>
      </c>
      <c r="J195" t="s">
        <v>85</v>
      </c>
      <c r="K195" t="s">
        <v>85</v>
      </c>
      <c r="L195" t="s">
        <v>414</v>
      </c>
      <c r="M195" t="s">
        <v>27</v>
      </c>
      <c r="N195" t="s">
        <v>86</v>
      </c>
      <c r="O195" t="s">
        <v>28</v>
      </c>
      <c r="P195">
        <v>200</v>
      </c>
      <c r="Q195">
        <v>70</v>
      </c>
      <c r="R195">
        <v>18</v>
      </c>
      <c r="S195" t="s">
        <v>523</v>
      </c>
      <c r="T195" t="s">
        <v>458</v>
      </c>
    </row>
    <row r="196" spans="1:20" hidden="1" x14ac:dyDescent="0.2">
      <c r="A196">
        <v>195</v>
      </c>
      <c r="B196" t="s">
        <v>64</v>
      </c>
      <c r="C196" t="s">
        <v>446</v>
      </c>
      <c r="D196" t="s">
        <v>459</v>
      </c>
      <c r="E196">
        <v>84</v>
      </c>
      <c r="F196">
        <v>1</v>
      </c>
      <c r="G196">
        <v>5</v>
      </c>
      <c r="H196" t="s">
        <v>26</v>
      </c>
      <c r="I196" t="s">
        <v>524</v>
      </c>
      <c r="J196" t="s">
        <v>525</v>
      </c>
      <c r="K196" t="s">
        <v>526</v>
      </c>
      <c r="L196" t="s">
        <v>527</v>
      </c>
      <c r="M196" t="s">
        <v>27</v>
      </c>
      <c r="N196" t="s">
        <v>461</v>
      </c>
      <c r="O196" t="s">
        <v>28</v>
      </c>
      <c r="P196">
        <v>200</v>
      </c>
      <c r="Q196">
        <v>70</v>
      </c>
      <c r="R196">
        <v>18</v>
      </c>
      <c r="S196" t="s">
        <v>528</v>
      </c>
      <c r="T196" t="s">
        <v>463</v>
      </c>
    </row>
    <row r="197" spans="1:20" hidden="1" x14ac:dyDescent="0.2">
      <c r="A197">
        <v>196</v>
      </c>
      <c r="B197" t="s">
        <v>64</v>
      </c>
      <c r="C197" t="s">
        <v>446</v>
      </c>
      <c r="D197" t="s">
        <v>484</v>
      </c>
      <c r="E197">
        <v>84</v>
      </c>
      <c r="F197">
        <v>1</v>
      </c>
      <c r="G197">
        <v>7</v>
      </c>
      <c r="H197" t="s">
        <v>26</v>
      </c>
      <c r="I197" t="s">
        <v>89</v>
      </c>
      <c r="J197" t="s">
        <v>89</v>
      </c>
      <c r="K197" t="s">
        <v>89</v>
      </c>
      <c r="L197" t="s">
        <v>89</v>
      </c>
      <c r="M197" t="s">
        <v>27</v>
      </c>
      <c r="N197" t="s">
        <v>486</v>
      </c>
      <c r="O197" t="s">
        <v>28</v>
      </c>
      <c r="P197">
        <v>200</v>
      </c>
      <c r="Q197">
        <v>70</v>
      </c>
      <c r="R197">
        <v>18</v>
      </c>
      <c r="S197" t="s">
        <v>89</v>
      </c>
      <c r="T197" t="s">
        <v>468</v>
      </c>
    </row>
    <row r="198" spans="1:20" hidden="1" x14ac:dyDescent="0.2">
      <c r="A198">
        <v>197</v>
      </c>
      <c r="B198" t="s">
        <v>64</v>
      </c>
      <c r="C198" t="s">
        <v>446</v>
      </c>
      <c r="D198" t="s">
        <v>447</v>
      </c>
      <c r="E198">
        <v>98</v>
      </c>
      <c r="F198">
        <v>1</v>
      </c>
      <c r="G198">
        <v>1</v>
      </c>
      <c r="H198" t="s">
        <v>26</v>
      </c>
      <c r="I198" t="s">
        <v>529</v>
      </c>
      <c r="J198" t="s">
        <v>89</v>
      </c>
      <c r="K198" t="s">
        <v>89</v>
      </c>
      <c r="L198" t="s">
        <v>89</v>
      </c>
      <c r="M198" t="s">
        <v>12</v>
      </c>
      <c r="N198" t="s">
        <v>86</v>
      </c>
      <c r="O198" t="s">
        <v>28</v>
      </c>
      <c r="P198">
        <v>200</v>
      </c>
      <c r="Q198">
        <v>70</v>
      </c>
      <c r="R198">
        <v>18</v>
      </c>
      <c r="S198" t="s">
        <v>530</v>
      </c>
      <c r="T198" t="s">
        <v>450</v>
      </c>
    </row>
    <row r="199" spans="1:20" hidden="1" x14ac:dyDescent="0.2">
      <c r="A199">
        <v>198</v>
      </c>
      <c r="B199" t="s">
        <v>64</v>
      </c>
      <c r="C199" t="s">
        <v>446</v>
      </c>
      <c r="D199" t="s">
        <v>451</v>
      </c>
      <c r="E199">
        <v>98</v>
      </c>
      <c r="F199">
        <v>1</v>
      </c>
      <c r="G199">
        <v>2</v>
      </c>
      <c r="H199" t="s">
        <v>26</v>
      </c>
      <c r="I199" t="s">
        <v>531</v>
      </c>
      <c r="J199" t="s">
        <v>89</v>
      </c>
      <c r="K199" t="s">
        <v>89</v>
      </c>
      <c r="L199" t="s">
        <v>89</v>
      </c>
      <c r="M199" t="s">
        <v>12</v>
      </c>
      <c r="N199" t="s">
        <v>414</v>
      </c>
      <c r="O199" t="s">
        <v>28</v>
      </c>
      <c r="P199">
        <v>200</v>
      </c>
      <c r="Q199">
        <v>70</v>
      </c>
      <c r="R199">
        <v>18</v>
      </c>
      <c r="S199" t="s">
        <v>532</v>
      </c>
      <c r="T199" t="s">
        <v>454</v>
      </c>
    </row>
    <row r="200" spans="1:20" hidden="1" x14ac:dyDescent="0.2">
      <c r="A200">
        <v>199</v>
      </c>
      <c r="B200" t="s">
        <v>64</v>
      </c>
      <c r="C200" t="s">
        <v>446</v>
      </c>
      <c r="D200" t="s">
        <v>501</v>
      </c>
      <c r="E200">
        <v>98</v>
      </c>
      <c r="F200">
        <v>1</v>
      </c>
      <c r="G200">
        <v>2</v>
      </c>
      <c r="H200" t="s">
        <v>26</v>
      </c>
      <c r="I200" t="s">
        <v>533</v>
      </c>
      <c r="J200" t="s">
        <v>89</v>
      </c>
      <c r="K200" t="s">
        <v>89</v>
      </c>
      <c r="L200" t="s">
        <v>89</v>
      </c>
      <c r="M200" t="s">
        <v>12</v>
      </c>
      <c r="N200" t="s">
        <v>86</v>
      </c>
      <c r="O200" t="s">
        <v>28</v>
      </c>
      <c r="P200">
        <v>200</v>
      </c>
      <c r="Q200">
        <v>70</v>
      </c>
      <c r="R200">
        <v>18</v>
      </c>
      <c r="S200" t="s">
        <v>533</v>
      </c>
      <c r="T200" t="s">
        <v>458</v>
      </c>
    </row>
    <row r="201" spans="1:20" hidden="1" x14ac:dyDescent="0.2">
      <c r="A201">
        <v>200</v>
      </c>
      <c r="B201" t="s">
        <v>64</v>
      </c>
      <c r="C201" t="s">
        <v>446</v>
      </c>
      <c r="D201" t="s">
        <v>459</v>
      </c>
      <c r="E201">
        <v>98</v>
      </c>
      <c r="F201">
        <v>1</v>
      </c>
      <c r="G201">
        <v>5</v>
      </c>
      <c r="H201" t="s">
        <v>26</v>
      </c>
      <c r="I201" t="s">
        <v>534</v>
      </c>
      <c r="J201" t="s">
        <v>89</v>
      </c>
      <c r="K201" t="s">
        <v>89</v>
      </c>
      <c r="L201" t="s">
        <v>89</v>
      </c>
      <c r="M201" t="s">
        <v>12</v>
      </c>
      <c r="N201" t="s">
        <v>461</v>
      </c>
      <c r="O201" t="s">
        <v>28</v>
      </c>
      <c r="P201">
        <v>200</v>
      </c>
      <c r="Q201">
        <v>70</v>
      </c>
      <c r="R201">
        <v>18</v>
      </c>
      <c r="S201" t="s">
        <v>535</v>
      </c>
      <c r="T201" t="s">
        <v>463</v>
      </c>
    </row>
    <row r="202" spans="1:20" hidden="1" x14ac:dyDescent="0.2">
      <c r="A202">
        <v>201</v>
      </c>
      <c r="B202" t="s">
        <v>64</v>
      </c>
      <c r="C202" t="s">
        <v>446</v>
      </c>
      <c r="D202" t="s">
        <v>484</v>
      </c>
      <c r="E202">
        <v>98</v>
      </c>
      <c r="F202">
        <v>1</v>
      </c>
      <c r="G202">
        <v>7</v>
      </c>
      <c r="H202" t="s">
        <v>26</v>
      </c>
      <c r="I202" t="s">
        <v>89</v>
      </c>
      <c r="J202" t="s">
        <v>89</v>
      </c>
      <c r="K202" t="s">
        <v>89</v>
      </c>
      <c r="L202" t="s">
        <v>89</v>
      </c>
      <c r="M202" t="s">
        <v>12</v>
      </c>
      <c r="N202" t="s">
        <v>486</v>
      </c>
      <c r="O202" t="s">
        <v>28</v>
      </c>
      <c r="P202">
        <v>200</v>
      </c>
      <c r="Q202">
        <v>70</v>
      </c>
      <c r="R202">
        <v>18</v>
      </c>
      <c r="S202" t="s">
        <v>89</v>
      </c>
      <c r="T202" t="s">
        <v>468</v>
      </c>
    </row>
    <row r="203" spans="1:20" hidden="1" x14ac:dyDescent="0.2">
      <c r="A203">
        <v>202</v>
      </c>
      <c r="B203" t="s">
        <v>64</v>
      </c>
      <c r="C203" t="s">
        <v>446</v>
      </c>
      <c r="D203" t="s">
        <v>447</v>
      </c>
      <c r="E203">
        <v>112</v>
      </c>
      <c r="F203">
        <v>1</v>
      </c>
      <c r="G203">
        <v>1</v>
      </c>
      <c r="H203" t="s">
        <v>26</v>
      </c>
      <c r="I203" t="s">
        <v>536</v>
      </c>
      <c r="J203" t="s">
        <v>85</v>
      </c>
      <c r="K203" t="s">
        <v>85</v>
      </c>
      <c r="L203" t="s">
        <v>85</v>
      </c>
      <c r="M203" t="s">
        <v>27</v>
      </c>
      <c r="N203" t="s">
        <v>86</v>
      </c>
      <c r="O203" t="s">
        <v>28</v>
      </c>
      <c r="P203">
        <v>200</v>
      </c>
      <c r="Q203">
        <v>70</v>
      </c>
      <c r="R203">
        <v>18</v>
      </c>
      <c r="S203" t="s">
        <v>537</v>
      </c>
      <c r="T203" t="s">
        <v>450</v>
      </c>
    </row>
    <row r="204" spans="1:20" hidden="1" x14ac:dyDescent="0.2">
      <c r="A204">
        <v>203</v>
      </c>
      <c r="B204" t="s">
        <v>64</v>
      </c>
      <c r="C204" t="s">
        <v>446</v>
      </c>
      <c r="D204" t="s">
        <v>451</v>
      </c>
      <c r="E204">
        <v>112</v>
      </c>
      <c r="F204">
        <v>1</v>
      </c>
      <c r="G204">
        <v>2</v>
      </c>
      <c r="H204" t="s">
        <v>26</v>
      </c>
      <c r="I204" t="s">
        <v>538</v>
      </c>
      <c r="J204" t="s">
        <v>238</v>
      </c>
      <c r="K204" t="s">
        <v>269</v>
      </c>
      <c r="L204" t="s">
        <v>452</v>
      </c>
      <c r="M204" t="s">
        <v>27</v>
      </c>
      <c r="N204" t="s">
        <v>414</v>
      </c>
      <c r="O204" t="s">
        <v>28</v>
      </c>
      <c r="P204">
        <v>200</v>
      </c>
      <c r="Q204">
        <v>70</v>
      </c>
      <c r="R204">
        <v>18</v>
      </c>
      <c r="S204" t="s">
        <v>539</v>
      </c>
      <c r="T204" t="s">
        <v>454</v>
      </c>
    </row>
    <row r="205" spans="1:20" hidden="1" x14ac:dyDescent="0.2">
      <c r="A205">
        <v>204</v>
      </c>
      <c r="B205" t="s">
        <v>64</v>
      </c>
      <c r="C205" t="s">
        <v>446</v>
      </c>
      <c r="D205" t="s">
        <v>501</v>
      </c>
      <c r="E205">
        <v>112</v>
      </c>
      <c r="F205">
        <v>1</v>
      </c>
      <c r="G205">
        <v>2</v>
      </c>
      <c r="H205" t="s">
        <v>26</v>
      </c>
      <c r="I205" t="s">
        <v>540</v>
      </c>
      <c r="J205" t="s">
        <v>525</v>
      </c>
      <c r="K205" t="s">
        <v>86</v>
      </c>
      <c r="L205" t="s">
        <v>86</v>
      </c>
      <c r="M205" t="s">
        <v>27</v>
      </c>
      <c r="N205" t="s">
        <v>86</v>
      </c>
      <c r="O205" t="s">
        <v>28</v>
      </c>
      <c r="P205">
        <v>200</v>
      </c>
      <c r="Q205">
        <v>70</v>
      </c>
      <c r="R205">
        <v>18</v>
      </c>
      <c r="S205" t="s">
        <v>541</v>
      </c>
      <c r="T205" t="s">
        <v>458</v>
      </c>
    </row>
    <row r="206" spans="1:20" hidden="1" x14ac:dyDescent="0.2">
      <c r="A206">
        <v>205</v>
      </c>
      <c r="B206" t="s">
        <v>64</v>
      </c>
      <c r="C206" t="s">
        <v>446</v>
      </c>
      <c r="D206" t="s">
        <v>459</v>
      </c>
      <c r="E206">
        <v>112</v>
      </c>
      <c r="F206">
        <v>1</v>
      </c>
      <c r="G206">
        <v>5</v>
      </c>
      <c r="H206" t="s">
        <v>26</v>
      </c>
      <c r="I206" t="s">
        <v>542</v>
      </c>
      <c r="J206" t="s">
        <v>543</v>
      </c>
      <c r="K206" t="s">
        <v>544</v>
      </c>
      <c r="L206" t="s">
        <v>545</v>
      </c>
      <c r="M206" t="s">
        <v>27</v>
      </c>
      <c r="N206" t="s">
        <v>461</v>
      </c>
      <c r="O206" t="s">
        <v>28</v>
      </c>
      <c r="P206">
        <v>200</v>
      </c>
      <c r="Q206">
        <v>70</v>
      </c>
      <c r="R206">
        <v>18</v>
      </c>
      <c r="S206" t="s">
        <v>546</v>
      </c>
      <c r="T206" t="s">
        <v>463</v>
      </c>
    </row>
    <row r="207" spans="1:20" hidden="1" x14ac:dyDescent="0.2">
      <c r="A207">
        <v>206</v>
      </c>
      <c r="B207" t="s">
        <v>64</v>
      </c>
      <c r="C207" t="s">
        <v>446</v>
      </c>
      <c r="D207" t="s">
        <v>447</v>
      </c>
      <c r="E207">
        <v>126</v>
      </c>
      <c r="F207">
        <v>1</v>
      </c>
      <c r="G207">
        <v>1</v>
      </c>
      <c r="H207" t="s">
        <v>26</v>
      </c>
      <c r="I207" t="s">
        <v>547</v>
      </c>
      <c r="J207" t="s">
        <v>89</v>
      </c>
      <c r="K207" t="s">
        <v>89</v>
      </c>
      <c r="L207" t="s">
        <v>89</v>
      </c>
      <c r="M207" t="s">
        <v>12</v>
      </c>
      <c r="N207" t="s">
        <v>86</v>
      </c>
      <c r="O207" t="s">
        <v>28</v>
      </c>
      <c r="P207">
        <v>200</v>
      </c>
      <c r="Q207">
        <v>70</v>
      </c>
      <c r="R207">
        <v>18</v>
      </c>
      <c r="S207" t="s">
        <v>548</v>
      </c>
      <c r="T207" t="s">
        <v>450</v>
      </c>
    </row>
    <row r="208" spans="1:20" hidden="1" x14ac:dyDescent="0.2">
      <c r="A208">
        <v>207</v>
      </c>
      <c r="B208" t="s">
        <v>64</v>
      </c>
      <c r="C208" t="s">
        <v>446</v>
      </c>
      <c r="D208" t="s">
        <v>451</v>
      </c>
      <c r="E208">
        <v>126</v>
      </c>
      <c r="F208">
        <v>1</v>
      </c>
      <c r="G208">
        <v>2</v>
      </c>
      <c r="H208" t="s">
        <v>26</v>
      </c>
      <c r="I208" t="s">
        <v>549</v>
      </c>
      <c r="J208" t="s">
        <v>89</v>
      </c>
      <c r="K208" t="s">
        <v>89</v>
      </c>
      <c r="L208" t="s">
        <v>89</v>
      </c>
      <c r="M208" t="s">
        <v>12</v>
      </c>
      <c r="N208" t="s">
        <v>414</v>
      </c>
      <c r="O208" t="s">
        <v>28</v>
      </c>
      <c r="P208">
        <v>200</v>
      </c>
      <c r="Q208">
        <v>70</v>
      </c>
      <c r="R208">
        <v>18</v>
      </c>
      <c r="S208" t="s">
        <v>550</v>
      </c>
      <c r="T208" t="s">
        <v>454</v>
      </c>
    </row>
    <row r="209" spans="1:20" hidden="1" x14ac:dyDescent="0.2">
      <c r="A209">
        <v>208</v>
      </c>
      <c r="B209" t="s">
        <v>64</v>
      </c>
      <c r="C209" t="s">
        <v>446</v>
      </c>
      <c r="D209" t="s">
        <v>501</v>
      </c>
      <c r="E209">
        <v>126</v>
      </c>
      <c r="F209">
        <v>1</v>
      </c>
      <c r="G209">
        <v>2</v>
      </c>
      <c r="H209" t="s">
        <v>26</v>
      </c>
      <c r="I209" t="s">
        <v>551</v>
      </c>
      <c r="J209" t="s">
        <v>89</v>
      </c>
      <c r="K209" t="s">
        <v>89</v>
      </c>
      <c r="L209" t="s">
        <v>552</v>
      </c>
      <c r="M209" t="s">
        <v>12</v>
      </c>
      <c r="N209" t="s">
        <v>86</v>
      </c>
      <c r="O209" t="s">
        <v>28</v>
      </c>
      <c r="P209">
        <v>200</v>
      </c>
      <c r="Q209">
        <v>70</v>
      </c>
      <c r="R209">
        <v>18</v>
      </c>
      <c r="S209" t="s">
        <v>553</v>
      </c>
      <c r="T209" t="s">
        <v>458</v>
      </c>
    </row>
    <row r="210" spans="1:20" hidden="1" x14ac:dyDescent="0.2">
      <c r="A210">
        <v>209</v>
      </c>
      <c r="B210" t="s">
        <v>64</v>
      </c>
      <c r="C210" t="s">
        <v>446</v>
      </c>
      <c r="D210" t="s">
        <v>459</v>
      </c>
      <c r="E210">
        <v>126</v>
      </c>
      <c r="F210">
        <v>1</v>
      </c>
      <c r="G210">
        <v>5</v>
      </c>
      <c r="H210" t="s">
        <v>26</v>
      </c>
      <c r="I210" t="s">
        <v>554</v>
      </c>
      <c r="J210" t="s">
        <v>89</v>
      </c>
      <c r="K210" t="s">
        <v>89</v>
      </c>
      <c r="L210" t="s">
        <v>89</v>
      </c>
      <c r="M210" t="s">
        <v>12</v>
      </c>
      <c r="N210" t="s">
        <v>461</v>
      </c>
      <c r="O210" t="s">
        <v>28</v>
      </c>
      <c r="P210">
        <v>200</v>
      </c>
      <c r="Q210">
        <v>70</v>
      </c>
      <c r="R210">
        <v>18</v>
      </c>
      <c r="S210" t="s">
        <v>555</v>
      </c>
      <c r="T210" t="s">
        <v>463</v>
      </c>
    </row>
    <row r="211" spans="1:20" hidden="1" x14ac:dyDescent="0.2">
      <c r="A211">
        <v>210</v>
      </c>
      <c r="B211" t="s">
        <v>64</v>
      </c>
      <c r="C211" t="s">
        <v>446</v>
      </c>
      <c r="D211" t="s">
        <v>447</v>
      </c>
      <c r="E211">
        <v>140</v>
      </c>
      <c r="F211">
        <v>1</v>
      </c>
      <c r="G211">
        <v>1</v>
      </c>
      <c r="H211" t="s">
        <v>26</v>
      </c>
      <c r="I211" t="s">
        <v>556</v>
      </c>
      <c r="J211" t="s">
        <v>85</v>
      </c>
      <c r="K211" t="s">
        <v>85</v>
      </c>
      <c r="L211" t="s">
        <v>85</v>
      </c>
      <c r="M211" t="s">
        <v>27</v>
      </c>
      <c r="N211" t="s">
        <v>86</v>
      </c>
      <c r="O211" t="s">
        <v>28</v>
      </c>
      <c r="P211">
        <v>200</v>
      </c>
      <c r="Q211">
        <v>70</v>
      </c>
      <c r="R211">
        <v>18</v>
      </c>
      <c r="S211" t="s">
        <v>557</v>
      </c>
      <c r="T211" t="s">
        <v>450</v>
      </c>
    </row>
    <row r="212" spans="1:20" hidden="1" x14ac:dyDescent="0.2">
      <c r="A212">
        <v>211</v>
      </c>
      <c r="B212" t="s">
        <v>64</v>
      </c>
      <c r="C212" t="s">
        <v>446</v>
      </c>
      <c r="D212" t="s">
        <v>451</v>
      </c>
      <c r="E212">
        <v>140</v>
      </c>
      <c r="F212">
        <v>1</v>
      </c>
      <c r="G212">
        <v>2</v>
      </c>
      <c r="H212" t="s">
        <v>26</v>
      </c>
      <c r="I212" t="s">
        <v>558</v>
      </c>
      <c r="J212" t="s">
        <v>559</v>
      </c>
      <c r="K212" t="s">
        <v>560</v>
      </c>
      <c r="L212" t="s">
        <v>561</v>
      </c>
      <c r="M212" t="s">
        <v>27</v>
      </c>
      <c r="N212" t="s">
        <v>414</v>
      </c>
      <c r="O212" t="s">
        <v>28</v>
      </c>
      <c r="P212">
        <v>200</v>
      </c>
      <c r="Q212">
        <v>70</v>
      </c>
      <c r="R212">
        <v>18</v>
      </c>
      <c r="S212" t="s">
        <v>562</v>
      </c>
      <c r="T212" t="s">
        <v>454</v>
      </c>
    </row>
    <row r="213" spans="1:20" hidden="1" x14ac:dyDescent="0.2">
      <c r="A213">
        <v>212</v>
      </c>
      <c r="B213" t="s">
        <v>64</v>
      </c>
      <c r="C213" t="s">
        <v>446</v>
      </c>
      <c r="D213" t="s">
        <v>501</v>
      </c>
      <c r="E213">
        <v>140</v>
      </c>
      <c r="F213">
        <v>1</v>
      </c>
      <c r="G213">
        <v>2</v>
      </c>
      <c r="H213" t="s">
        <v>26</v>
      </c>
      <c r="I213" t="s">
        <v>563</v>
      </c>
      <c r="J213" t="s">
        <v>564</v>
      </c>
      <c r="K213" t="s">
        <v>565</v>
      </c>
      <c r="L213" t="s">
        <v>566</v>
      </c>
      <c r="M213" t="s">
        <v>27</v>
      </c>
      <c r="N213" t="s">
        <v>86</v>
      </c>
      <c r="O213" t="s">
        <v>28</v>
      </c>
      <c r="P213">
        <v>200</v>
      </c>
      <c r="Q213">
        <v>70</v>
      </c>
      <c r="R213">
        <v>18</v>
      </c>
      <c r="S213" t="s">
        <v>563</v>
      </c>
      <c r="T213" t="s">
        <v>458</v>
      </c>
    </row>
    <row r="214" spans="1:20" hidden="1" x14ac:dyDescent="0.2">
      <c r="A214">
        <v>213</v>
      </c>
      <c r="B214" t="s">
        <v>64</v>
      </c>
      <c r="C214" t="s">
        <v>446</v>
      </c>
      <c r="D214" t="s">
        <v>459</v>
      </c>
      <c r="E214">
        <v>140</v>
      </c>
      <c r="F214">
        <v>1</v>
      </c>
      <c r="G214">
        <v>5</v>
      </c>
      <c r="H214" t="s">
        <v>26</v>
      </c>
      <c r="I214" t="s">
        <v>567</v>
      </c>
      <c r="J214" t="s">
        <v>568</v>
      </c>
      <c r="K214" t="s">
        <v>569</v>
      </c>
      <c r="L214" t="s">
        <v>570</v>
      </c>
      <c r="M214" t="s">
        <v>27</v>
      </c>
      <c r="N214" t="s">
        <v>461</v>
      </c>
      <c r="O214" t="s">
        <v>28</v>
      </c>
      <c r="P214">
        <v>200</v>
      </c>
      <c r="Q214">
        <v>70</v>
      </c>
      <c r="R214">
        <v>18</v>
      </c>
      <c r="S214" t="s">
        <v>571</v>
      </c>
      <c r="T214" t="s">
        <v>463</v>
      </c>
    </row>
    <row r="215" spans="1:20" hidden="1" x14ac:dyDescent="0.2">
      <c r="A215">
        <v>214</v>
      </c>
      <c r="B215" t="s">
        <v>64</v>
      </c>
      <c r="C215" t="s">
        <v>446</v>
      </c>
      <c r="D215" t="s">
        <v>447</v>
      </c>
      <c r="E215">
        <v>154</v>
      </c>
      <c r="F215">
        <v>1</v>
      </c>
      <c r="G215">
        <v>1</v>
      </c>
      <c r="H215" t="s">
        <v>26</v>
      </c>
      <c r="I215" t="s">
        <v>572</v>
      </c>
      <c r="J215" t="s">
        <v>85</v>
      </c>
      <c r="K215" t="s">
        <v>85</v>
      </c>
      <c r="L215" t="s">
        <v>85</v>
      </c>
      <c r="M215" t="s">
        <v>27</v>
      </c>
      <c r="N215" t="s">
        <v>86</v>
      </c>
      <c r="O215" t="s">
        <v>28</v>
      </c>
      <c r="P215">
        <v>200</v>
      </c>
      <c r="Q215">
        <v>70</v>
      </c>
      <c r="R215">
        <v>18</v>
      </c>
      <c r="S215" t="s">
        <v>573</v>
      </c>
      <c r="T215" t="s">
        <v>450</v>
      </c>
    </row>
    <row r="216" spans="1:20" hidden="1" x14ac:dyDescent="0.2">
      <c r="A216">
        <v>215</v>
      </c>
      <c r="B216" t="s">
        <v>64</v>
      </c>
      <c r="C216" t="s">
        <v>446</v>
      </c>
      <c r="D216" t="s">
        <v>451</v>
      </c>
      <c r="E216">
        <v>154</v>
      </c>
      <c r="F216">
        <v>1</v>
      </c>
      <c r="G216">
        <v>2</v>
      </c>
      <c r="H216" t="s">
        <v>26</v>
      </c>
      <c r="I216" t="s">
        <v>574</v>
      </c>
      <c r="J216" t="s">
        <v>575</v>
      </c>
      <c r="K216" t="s">
        <v>576</v>
      </c>
      <c r="L216" t="s">
        <v>577</v>
      </c>
      <c r="M216" t="s">
        <v>27</v>
      </c>
      <c r="N216" t="s">
        <v>414</v>
      </c>
      <c r="O216" t="s">
        <v>28</v>
      </c>
      <c r="P216">
        <v>200</v>
      </c>
      <c r="Q216">
        <v>70</v>
      </c>
      <c r="R216">
        <v>18</v>
      </c>
      <c r="S216" t="s">
        <v>578</v>
      </c>
      <c r="T216" t="s">
        <v>454</v>
      </c>
    </row>
    <row r="217" spans="1:20" hidden="1" x14ac:dyDescent="0.2">
      <c r="A217">
        <v>216</v>
      </c>
      <c r="B217" t="s">
        <v>64</v>
      </c>
      <c r="C217" t="s">
        <v>446</v>
      </c>
      <c r="D217" t="s">
        <v>501</v>
      </c>
      <c r="E217">
        <v>154</v>
      </c>
      <c r="F217">
        <v>1</v>
      </c>
      <c r="G217">
        <v>2</v>
      </c>
      <c r="H217" t="s">
        <v>26</v>
      </c>
      <c r="I217" t="s">
        <v>579</v>
      </c>
      <c r="J217" t="s">
        <v>575</v>
      </c>
      <c r="K217" t="s">
        <v>576</v>
      </c>
      <c r="L217" t="s">
        <v>560</v>
      </c>
      <c r="M217" t="s">
        <v>27</v>
      </c>
      <c r="N217" t="s">
        <v>86</v>
      </c>
      <c r="O217" t="s">
        <v>28</v>
      </c>
      <c r="P217">
        <v>200</v>
      </c>
      <c r="Q217">
        <v>70</v>
      </c>
      <c r="R217">
        <v>18</v>
      </c>
      <c r="S217" t="s">
        <v>579</v>
      </c>
      <c r="T217" t="s">
        <v>458</v>
      </c>
    </row>
    <row r="218" spans="1:20" hidden="1" x14ac:dyDescent="0.2">
      <c r="A218">
        <v>217</v>
      </c>
      <c r="B218" t="s">
        <v>64</v>
      </c>
      <c r="C218" t="s">
        <v>446</v>
      </c>
      <c r="D218" t="s">
        <v>459</v>
      </c>
      <c r="E218">
        <v>154</v>
      </c>
      <c r="F218">
        <v>1</v>
      </c>
      <c r="G218">
        <v>5</v>
      </c>
      <c r="H218" t="s">
        <v>26</v>
      </c>
      <c r="I218" t="s">
        <v>580</v>
      </c>
      <c r="J218" t="s">
        <v>178</v>
      </c>
      <c r="K218" t="s">
        <v>576</v>
      </c>
      <c r="L218" t="s">
        <v>581</v>
      </c>
      <c r="M218" t="s">
        <v>27</v>
      </c>
      <c r="N218" t="s">
        <v>461</v>
      </c>
      <c r="O218" t="s">
        <v>28</v>
      </c>
      <c r="P218">
        <v>200</v>
      </c>
      <c r="Q218">
        <v>70</v>
      </c>
      <c r="R218">
        <v>18</v>
      </c>
      <c r="S218" t="s">
        <v>582</v>
      </c>
      <c r="T218" t="s">
        <v>463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9A8F-185B-5F4E-AAF3-5B48F7E0ED20}">
  <dimension ref="A1:T218"/>
  <sheetViews>
    <sheetView workbookViewId="0"/>
  </sheetViews>
  <sheetFormatPr baseColWidth="10" defaultRowHeight="16" x14ac:dyDescent="0.2"/>
  <cols>
    <col min="2" max="2" width="17.6640625" bestFit="1" customWidth="1"/>
    <col min="3" max="3" width="15" bestFit="1" customWidth="1"/>
    <col min="5" max="5" width="7.83203125" bestFit="1" customWidth="1"/>
    <col min="6" max="6" width="22.1640625" bestFit="1" customWidth="1"/>
    <col min="7" max="7" width="9.5" bestFit="1" customWidth="1"/>
    <col min="8" max="8" width="8.83203125" bestFit="1" customWidth="1"/>
    <col min="9" max="9" width="13" bestFit="1" customWidth="1"/>
    <col min="10" max="10" width="10.33203125" bestFit="1" customWidth="1"/>
    <col min="11" max="11" width="13.83203125" bestFit="1" customWidth="1"/>
    <col min="12" max="12" width="14.5" bestFit="1" customWidth="1"/>
    <col min="13" max="13" width="14.1640625" bestFit="1" customWidth="1"/>
    <col min="14" max="14" width="17.83203125" bestFit="1" customWidth="1"/>
    <col min="15" max="15" width="7.5" bestFit="1" customWidth="1"/>
    <col min="16" max="16" width="9.1640625" bestFit="1" customWidth="1"/>
    <col min="17" max="17" width="7.83203125" bestFit="1" customWidth="1"/>
    <col min="18" max="18" width="7.6640625" bestFit="1" customWidth="1"/>
    <col min="19" max="19" width="16.83203125" bestFit="1" customWidth="1"/>
    <col min="20" max="20" width="19.33203125" bestFit="1" customWidth="1"/>
  </cols>
  <sheetData>
    <row r="1" spans="1:20" x14ac:dyDescent="0.2">
      <c r="A1" t="s">
        <v>81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82</v>
      </c>
      <c r="T1" t="s">
        <v>83</v>
      </c>
    </row>
    <row r="2" spans="1:20" hidden="1" x14ac:dyDescent="0.2">
      <c r="A2">
        <v>1</v>
      </c>
      <c r="B2" t="s">
        <v>17</v>
      </c>
      <c r="C2" t="s">
        <v>18</v>
      </c>
      <c r="D2" t="s">
        <v>19</v>
      </c>
      <c r="E2">
        <v>0</v>
      </c>
      <c r="F2">
        <v>1</v>
      </c>
      <c r="G2">
        <v>1</v>
      </c>
      <c r="H2" t="s">
        <v>25</v>
      </c>
      <c r="I2" t="s">
        <v>84</v>
      </c>
      <c r="J2" t="s">
        <v>85</v>
      </c>
      <c r="K2" t="s">
        <v>85</v>
      </c>
      <c r="L2" t="s">
        <v>85</v>
      </c>
      <c r="M2" t="s">
        <v>27</v>
      </c>
      <c r="N2" t="s">
        <v>86</v>
      </c>
      <c r="O2" t="s">
        <v>28</v>
      </c>
      <c r="P2">
        <v>400</v>
      </c>
      <c r="Q2">
        <v>70</v>
      </c>
      <c r="R2">
        <v>15</v>
      </c>
      <c r="S2" t="s">
        <v>87</v>
      </c>
      <c r="T2" t="s">
        <v>18</v>
      </c>
    </row>
    <row r="3" spans="1:20" hidden="1" x14ac:dyDescent="0.2">
      <c r="A3">
        <v>2</v>
      </c>
      <c r="B3" t="s">
        <v>17</v>
      </c>
      <c r="C3" t="s">
        <v>18</v>
      </c>
      <c r="D3" t="s">
        <v>19</v>
      </c>
      <c r="E3">
        <v>14</v>
      </c>
      <c r="F3">
        <v>1</v>
      </c>
      <c r="G3">
        <v>1</v>
      </c>
      <c r="H3" t="s">
        <v>25</v>
      </c>
      <c r="I3" t="s">
        <v>88</v>
      </c>
      <c r="J3" t="s">
        <v>89</v>
      </c>
      <c r="K3" t="s">
        <v>89</v>
      </c>
      <c r="L3" t="s">
        <v>89</v>
      </c>
      <c r="M3" t="s">
        <v>12</v>
      </c>
      <c r="N3" t="s">
        <v>86</v>
      </c>
      <c r="O3" t="s">
        <v>28</v>
      </c>
      <c r="P3">
        <v>400</v>
      </c>
      <c r="Q3">
        <v>70</v>
      </c>
      <c r="R3">
        <v>15</v>
      </c>
      <c r="S3" t="s">
        <v>90</v>
      </c>
      <c r="T3" t="s">
        <v>18</v>
      </c>
    </row>
    <row r="4" spans="1:20" hidden="1" x14ac:dyDescent="0.2">
      <c r="A4">
        <v>3</v>
      </c>
      <c r="B4" t="s">
        <v>17</v>
      </c>
      <c r="C4" t="s">
        <v>18</v>
      </c>
      <c r="D4" t="s">
        <v>19</v>
      </c>
      <c r="E4">
        <v>28</v>
      </c>
      <c r="F4">
        <v>1</v>
      </c>
      <c r="G4">
        <v>1</v>
      </c>
      <c r="H4" t="s">
        <v>25</v>
      </c>
      <c r="I4" t="s">
        <v>91</v>
      </c>
      <c r="J4" t="s">
        <v>85</v>
      </c>
      <c r="K4" t="s">
        <v>85</v>
      </c>
      <c r="L4" t="s">
        <v>85</v>
      </c>
      <c r="M4" t="s">
        <v>27</v>
      </c>
      <c r="N4" t="s">
        <v>86</v>
      </c>
      <c r="O4" t="s">
        <v>28</v>
      </c>
      <c r="P4">
        <v>400</v>
      </c>
      <c r="Q4">
        <v>70</v>
      </c>
      <c r="R4">
        <v>15</v>
      </c>
      <c r="S4" t="s">
        <v>92</v>
      </c>
      <c r="T4" t="s">
        <v>18</v>
      </c>
    </row>
    <row r="5" spans="1:20" hidden="1" x14ac:dyDescent="0.2">
      <c r="A5">
        <v>4</v>
      </c>
      <c r="B5" t="s">
        <v>17</v>
      </c>
      <c r="C5" t="s">
        <v>18</v>
      </c>
      <c r="D5" t="s">
        <v>19</v>
      </c>
      <c r="E5">
        <v>42</v>
      </c>
      <c r="F5">
        <v>1</v>
      </c>
      <c r="G5">
        <v>1</v>
      </c>
      <c r="H5" t="s">
        <v>25</v>
      </c>
      <c r="I5" t="s">
        <v>93</v>
      </c>
      <c r="J5" t="s">
        <v>89</v>
      </c>
      <c r="K5" t="s">
        <v>89</v>
      </c>
      <c r="L5" t="s">
        <v>89</v>
      </c>
      <c r="M5" t="s">
        <v>12</v>
      </c>
      <c r="N5" t="s">
        <v>86</v>
      </c>
      <c r="O5" t="s">
        <v>28</v>
      </c>
      <c r="P5">
        <v>400</v>
      </c>
      <c r="Q5">
        <v>70</v>
      </c>
      <c r="R5">
        <v>15</v>
      </c>
      <c r="S5" t="s">
        <v>94</v>
      </c>
      <c r="T5" t="s">
        <v>18</v>
      </c>
    </row>
    <row r="6" spans="1:20" hidden="1" x14ac:dyDescent="0.2">
      <c r="A6">
        <v>5</v>
      </c>
      <c r="B6" t="s">
        <v>17</v>
      </c>
      <c r="C6" t="s">
        <v>18</v>
      </c>
      <c r="D6" t="s">
        <v>19</v>
      </c>
      <c r="E6">
        <v>56</v>
      </c>
      <c r="F6">
        <v>1</v>
      </c>
      <c r="G6">
        <v>1</v>
      </c>
      <c r="H6" t="s">
        <v>25</v>
      </c>
      <c r="I6" t="s">
        <v>95</v>
      </c>
      <c r="J6" t="s">
        <v>85</v>
      </c>
      <c r="K6" t="s">
        <v>85</v>
      </c>
      <c r="L6" t="s">
        <v>85</v>
      </c>
      <c r="M6" t="s">
        <v>27</v>
      </c>
      <c r="N6" t="s">
        <v>86</v>
      </c>
      <c r="O6" t="s">
        <v>28</v>
      </c>
      <c r="P6">
        <v>400</v>
      </c>
      <c r="Q6">
        <v>70</v>
      </c>
      <c r="R6">
        <v>15</v>
      </c>
      <c r="S6" t="s">
        <v>96</v>
      </c>
      <c r="T6" t="s">
        <v>18</v>
      </c>
    </row>
    <row r="7" spans="1:20" hidden="1" x14ac:dyDescent="0.2">
      <c r="A7">
        <v>6</v>
      </c>
      <c r="B7" t="s">
        <v>17</v>
      </c>
      <c r="C7" t="s">
        <v>18</v>
      </c>
      <c r="D7" t="s">
        <v>19</v>
      </c>
      <c r="E7">
        <v>70</v>
      </c>
      <c r="F7">
        <v>1</v>
      </c>
      <c r="G7">
        <v>1</v>
      </c>
      <c r="H7" t="s">
        <v>25</v>
      </c>
      <c r="I7" t="s">
        <v>97</v>
      </c>
      <c r="J7" t="s">
        <v>89</v>
      </c>
      <c r="K7" t="s">
        <v>89</v>
      </c>
      <c r="L7" t="s">
        <v>89</v>
      </c>
      <c r="M7" t="s">
        <v>12</v>
      </c>
      <c r="N7" t="s">
        <v>86</v>
      </c>
      <c r="O7" t="s">
        <v>28</v>
      </c>
      <c r="P7">
        <v>400</v>
      </c>
      <c r="Q7">
        <v>70</v>
      </c>
      <c r="R7">
        <v>15</v>
      </c>
      <c r="S7" t="s">
        <v>98</v>
      </c>
      <c r="T7" t="s">
        <v>18</v>
      </c>
    </row>
    <row r="8" spans="1:20" hidden="1" x14ac:dyDescent="0.2">
      <c r="A8">
        <v>7</v>
      </c>
      <c r="B8" t="s">
        <v>17</v>
      </c>
      <c r="C8" t="s">
        <v>18</v>
      </c>
      <c r="D8" t="s">
        <v>19</v>
      </c>
      <c r="E8">
        <v>84</v>
      </c>
      <c r="F8">
        <v>1</v>
      </c>
      <c r="G8">
        <v>1</v>
      </c>
      <c r="H8" t="s">
        <v>25</v>
      </c>
      <c r="I8" t="s">
        <v>99</v>
      </c>
      <c r="J8" t="s">
        <v>85</v>
      </c>
      <c r="K8" t="s">
        <v>85</v>
      </c>
      <c r="L8" t="s">
        <v>85</v>
      </c>
      <c r="M8" t="s">
        <v>27</v>
      </c>
      <c r="N8" t="s">
        <v>86</v>
      </c>
      <c r="O8" t="s">
        <v>28</v>
      </c>
      <c r="P8">
        <v>400</v>
      </c>
      <c r="Q8">
        <v>70</v>
      </c>
      <c r="R8">
        <v>15</v>
      </c>
      <c r="S8" t="s">
        <v>100</v>
      </c>
      <c r="T8" t="s">
        <v>18</v>
      </c>
    </row>
    <row r="9" spans="1:20" hidden="1" x14ac:dyDescent="0.2">
      <c r="A9">
        <v>8</v>
      </c>
      <c r="B9" t="s">
        <v>17</v>
      </c>
      <c r="C9" t="s">
        <v>18</v>
      </c>
      <c r="D9" t="s">
        <v>19</v>
      </c>
      <c r="E9">
        <v>98</v>
      </c>
      <c r="F9">
        <v>1</v>
      </c>
      <c r="G9">
        <v>1</v>
      </c>
      <c r="H9" t="s">
        <v>26</v>
      </c>
      <c r="I9" t="s">
        <v>101</v>
      </c>
      <c r="J9" t="s">
        <v>89</v>
      </c>
      <c r="K9" t="s">
        <v>89</v>
      </c>
      <c r="L9" t="s">
        <v>89</v>
      </c>
      <c r="M9" t="s">
        <v>12</v>
      </c>
      <c r="N9" t="s">
        <v>86</v>
      </c>
      <c r="O9" t="s">
        <v>28</v>
      </c>
      <c r="P9">
        <v>400</v>
      </c>
      <c r="Q9">
        <v>70</v>
      </c>
      <c r="R9">
        <v>15</v>
      </c>
      <c r="S9" t="s">
        <v>102</v>
      </c>
      <c r="T9" t="s">
        <v>18</v>
      </c>
    </row>
    <row r="10" spans="1:20" hidden="1" x14ac:dyDescent="0.2">
      <c r="A10">
        <v>9</v>
      </c>
      <c r="B10" t="s">
        <v>17</v>
      </c>
      <c r="C10" t="s">
        <v>18</v>
      </c>
      <c r="D10" t="s">
        <v>19</v>
      </c>
      <c r="E10">
        <v>112</v>
      </c>
      <c r="F10">
        <v>1</v>
      </c>
      <c r="G10">
        <v>1</v>
      </c>
      <c r="H10" t="s">
        <v>26</v>
      </c>
      <c r="I10" t="s">
        <v>103</v>
      </c>
      <c r="J10" t="s">
        <v>85</v>
      </c>
      <c r="K10" t="s">
        <v>85</v>
      </c>
      <c r="L10" t="s">
        <v>85</v>
      </c>
      <c r="M10" t="s">
        <v>27</v>
      </c>
      <c r="N10" t="s">
        <v>86</v>
      </c>
      <c r="O10" t="s">
        <v>28</v>
      </c>
      <c r="P10">
        <v>400</v>
      </c>
      <c r="Q10">
        <v>70</v>
      </c>
      <c r="R10">
        <v>15</v>
      </c>
      <c r="S10" t="s">
        <v>104</v>
      </c>
      <c r="T10" t="s">
        <v>18</v>
      </c>
    </row>
    <row r="11" spans="1:20" hidden="1" x14ac:dyDescent="0.2">
      <c r="A11">
        <v>10</v>
      </c>
      <c r="B11" t="s">
        <v>17</v>
      </c>
      <c r="C11" t="s">
        <v>18</v>
      </c>
      <c r="D11" t="s">
        <v>19</v>
      </c>
      <c r="E11">
        <v>126</v>
      </c>
      <c r="F11">
        <v>1</v>
      </c>
      <c r="G11">
        <v>1</v>
      </c>
      <c r="H11" t="s">
        <v>26</v>
      </c>
      <c r="I11" t="s">
        <v>105</v>
      </c>
      <c r="J11" t="s">
        <v>89</v>
      </c>
      <c r="K11" t="s">
        <v>89</v>
      </c>
      <c r="L11" t="s">
        <v>89</v>
      </c>
      <c r="M11" t="s">
        <v>12</v>
      </c>
      <c r="N11" t="s">
        <v>86</v>
      </c>
      <c r="O11" t="s">
        <v>28</v>
      </c>
      <c r="P11">
        <v>400</v>
      </c>
      <c r="Q11">
        <v>70</v>
      </c>
      <c r="R11">
        <v>15</v>
      </c>
      <c r="S11" t="s">
        <v>106</v>
      </c>
      <c r="T11" t="s">
        <v>18</v>
      </c>
    </row>
    <row r="12" spans="1:20" hidden="1" x14ac:dyDescent="0.2">
      <c r="A12">
        <v>11</v>
      </c>
      <c r="B12" t="s">
        <v>17</v>
      </c>
      <c r="C12" t="s">
        <v>18</v>
      </c>
      <c r="D12" t="s">
        <v>19</v>
      </c>
      <c r="E12">
        <v>140</v>
      </c>
      <c r="F12">
        <v>1</v>
      </c>
      <c r="G12">
        <v>1</v>
      </c>
      <c r="H12" t="s">
        <v>26</v>
      </c>
      <c r="I12" t="s">
        <v>107</v>
      </c>
      <c r="J12" t="s">
        <v>85</v>
      </c>
      <c r="K12" t="s">
        <v>85</v>
      </c>
      <c r="L12" t="s">
        <v>85</v>
      </c>
      <c r="M12" t="s">
        <v>27</v>
      </c>
      <c r="N12" t="s">
        <v>86</v>
      </c>
      <c r="O12" t="s">
        <v>28</v>
      </c>
      <c r="P12">
        <v>400</v>
      </c>
      <c r="Q12">
        <v>70</v>
      </c>
      <c r="R12">
        <v>15</v>
      </c>
      <c r="S12" t="s">
        <v>108</v>
      </c>
      <c r="T12" t="s">
        <v>18</v>
      </c>
    </row>
    <row r="13" spans="1:20" hidden="1" x14ac:dyDescent="0.2">
      <c r="A13">
        <v>12</v>
      </c>
      <c r="B13" t="s">
        <v>17</v>
      </c>
      <c r="C13" t="s">
        <v>18</v>
      </c>
      <c r="D13" t="s">
        <v>19</v>
      </c>
      <c r="E13">
        <v>154</v>
      </c>
      <c r="F13">
        <v>1</v>
      </c>
      <c r="G13">
        <v>1</v>
      </c>
      <c r="H13" t="s">
        <v>26</v>
      </c>
      <c r="I13" t="s">
        <v>109</v>
      </c>
      <c r="J13" t="s">
        <v>89</v>
      </c>
      <c r="K13" t="s">
        <v>89</v>
      </c>
      <c r="L13" t="s">
        <v>89</v>
      </c>
      <c r="M13" t="s">
        <v>12</v>
      </c>
      <c r="N13" t="s">
        <v>86</v>
      </c>
      <c r="O13" t="s">
        <v>28</v>
      </c>
      <c r="P13">
        <v>400</v>
      </c>
      <c r="Q13">
        <v>70</v>
      </c>
      <c r="R13">
        <v>15</v>
      </c>
      <c r="S13" t="s">
        <v>110</v>
      </c>
      <c r="T13" t="s">
        <v>18</v>
      </c>
    </row>
    <row r="14" spans="1:20" hidden="1" x14ac:dyDescent="0.2">
      <c r="A14">
        <v>13</v>
      </c>
      <c r="B14" t="s">
        <v>17</v>
      </c>
      <c r="C14" t="s">
        <v>18</v>
      </c>
      <c r="D14" t="s">
        <v>19</v>
      </c>
      <c r="E14">
        <v>168</v>
      </c>
      <c r="F14">
        <v>1</v>
      </c>
      <c r="G14">
        <v>1</v>
      </c>
      <c r="H14" t="s">
        <v>26</v>
      </c>
      <c r="I14" t="s">
        <v>111</v>
      </c>
      <c r="J14" t="s">
        <v>85</v>
      </c>
      <c r="K14" t="s">
        <v>85</v>
      </c>
      <c r="L14" t="s">
        <v>85</v>
      </c>
      <c r="M14" t="s">
        <v>27</v>
      </c>
      <c r="N14" t="s">
        <v>86</v>
      </c>
      <c r="O14" t="s">
        <v>28</v>
      </c>
      <c r="P14">
        <v>400</v>
      </c>
      <c r="Q14">
        <v>70</v>
      </c>
      <c r="R14">
        <v>15</v>
      </c>
      <c r="S14" t="s">
        <v>112</v>
      </c>
      <c r="T14" t="s">
        <v>18</v>
      </c>
    </row>
    <row r="15" spans="1:20" hidden="1" x14ac:dyDescent="0.2">
      <c r="A15">
        <v>14</v>
      </c>
      <c r="B15" t="s">
        <v>17</v>
      </c>
      <c r="C15" t="s">
        <v>18</v>
      </c>
      <c r="D15" t="s">
        <v>19</v>
      </c>
      <c r="E15">
        <v>182</v>
      </c>
      <c r="F15">
        <v>1</v>
      </c>
      <c r="G15">
        <v>1</v>
      </c>
      <c r="H15" t="s">
        <v>26</v>
      </c>
      <c r="I15" t="s">
        <v>113</v>
      </c>
      <c r="J15" t="s">
        <v>89</v>
      </c>
      <c r="K15" t="s">
        <v>89</v>
      </c>
      <c r="L15" t="s">
        <v>89</v>
      </c>
      <c r="M15" t="s">
        <v>12</v>
      </c>
      <c r="N15" t="s">
        <v>86</v>
      </c>
      <c r="O15" t="s">
        <v>28</v>
      </c>
      <c r="P15">
        <v>400</v>
      </c>
      <c r="Q15">
        <v>70</v>
      </c>
      <c r="R15">
        <v>15</v>
      </c>
      <c r="S15" t="s">
        <v>114</v>
      </c>
      <c r="T15" t="s">
        <v>18</v>
      </c>
    </row>
    <row r="16" spans="1:20" hidden="1" x14ac:dyDescent="0.2">
      <c r="A16">
        <v>15</v>
      </c>
      <c r="B16" t="s">
        <v>17</v>
      </c>
      <c r="C16" t="s">
        <v>18</v>
      </c>
      <c r="D16" t="s">
        <v>19</v>
      </c>
      <c r="E16">
        <v>196</v>
      </c>
      <c r="F16">
        <v>1</v>
      </c>
      <c r="G16">
        <v>1</v>
      </c>
      <c r="H16" t="s">
        <v>26</v>
      </c>
      <c r="I16" t="s">
        <v>115</v>
      </c>
      <c r="J16" t="s">
        <v>85</v>
      </c>
      <c r="K16" t="s">
        <v>85</v>
      </c>
      <c r="L16" t="s">
        <v>85</v>
      </c>
      <c r="M16" t="s">
        <v>27</v>
      </c>
      <c r="N16" t="s">
        <v>86</v>
      </c>
      <c r="O16" t="s">
        <v>28</v>
      </c>
      <c r="P16">
        <v>400</v>
      </c>
      <c r="Q16">
        <v>70</v>
      </c>
      <c r="R16">
        <v>15</v>
      </c>
      <c r="S16" t="s">
        <v>116</v>
      </c>
      <c r="T16" t="s">
        <v>18</v>
      </c>
    </row>
    <row r="17" spans="1:20" hidden="1" x14ac:dyDescent="0.2">
      <c r="A17">
        <v>16</v>
      </c>
      <c r="B17" t="s">
        <v>17</v>
      </c>
      <c r="C17" t="s">
        <v>18</v>
      </c>
      <c r="D17" t="s">
        <v>19</v>
      </c>
      <c r="E17">
        <v>210</v>
      </c>
      <c r="F17">
        <v>1</v>
      </c>
      <c r="G17">
        <v>1</v>
      </c>
      <c r="H17" t="s">
        <v>26</v>
      </c>
      <c r="I17" t="s">
        <v>117</v>
      </c>
      <c r="J17" t="s">
        <v>89</v>
      </c>
      <c r="K17" t="s">
        <v>89</v>
      </c>
      <c r="L17" t="s">
        <v>89</v>
      </c>
      <c r="M17" t="s">
        <v>12</v>
      </c>
      <c r="N17" t="s">
        <v>86</v>
      </c>
      <c r="O17" t="s">
        <v>28</v>
      </c>
      <c r="P17">
        <v>400</v>
      </c>
      <c r="Q17">
        <v>70</v>
      </c>
      <c r="R17">
        <v>15</v>
      </c>
      <c r="S17" t="s">
        <v>118</v>
      </c>
      <c r="T17" t="s">
        <v>18</v>
      </c>
    </row>
    <row r="18" spans="1:20" hidden="1" x14ac:dyDescent="0.2">
      <c r="A18">
        <v>17</v>
      </c>
      <c r="B18" t="s">
        <v>17</v>
      </c>
      <c r="C18" t="s">
        <v>18</v>
      </c>
      <c r="D18" t="s">
        <v>19</v>
      </c>
      <c r="E18">
        <v>224</v>
      </c>
      <c r="F18">
        <v>1</v>
      </c>
      <c r="G18">
        <v>1</v>
      </c>
      <c r="H18" t="s">
        <v>26</v>
      </c>
      <c r="I18" t="s">
        <v>119</v>
      </c>
      <c r="J18" t="s">
        <v>85</v>
      </c>
      <c r="K18" t="s">
        <v>85</v>
      </c>
      <c r="L18" t="s">
        <v>85</v>
      </c>
      <c r="M18" t="s">
        <v>27</v>
      </c>
      <c r="N18" t="s">
        <v>86</v>
      </c>
      <c r="O18" t="s">
        <v>28</v>
      </c>
      <c r="P18">
        <v>400</v>
      </c>
      <c r="Q18">
        <v>70</v>
      </c>
      <c r="R18">
        <v>15</v>
      </c>
      <c r="S18" t="s">
        <v>120</v>
      </c>
      <c r="T18" t="s">
        <v>18</v>
      </c>
    </row>
    <row r="19" spans="1:20" hidden="1" x14ac:dyDescent="0.2">
      <c r="A19">
        <v>18</v>
      </c>
      <c r="B19" t="s">
        <v>17</v>
      </c>
      <c r="C19" t="s">
        <v>18</v>
      </c>
      <c r="D19" t="s">
        <v>19</v>
      </c>
      <c r="E19">
        <v>238</v>
      </c>
      <c r="F19">
        <v>1</v>
      </c>
      <c r="G19">
        <v>1</v>
      </c>
      <c r="H19" t="s">
        <v>26</v>
      </c>
      <c r="I19" t="s">
        <v>121</v>
      </c>
      <c r="J19" t="s">
        <v>89</v>
      </c>
      <c r="K19" t="s">
        <v>89</v>
      </c>
      <c r="L19" t="s">
        <v>89</v>
      </c>
      <c r="M19" t="s">
        <v>12</v>
      </c>
      <c r="N19" t="s">
        <v>86</v>
      </c>
      <c r="O19" t="s">
        <v>28</v>
      </c>
      <c r="P19">
        <v>400</v>
      </c>
      <c r="Q19">
        <v>70</v>
      </c>
      <c r="R19">
        <v>15</v>
      </c>
      <c r="S19" t="s">
        <v>122</v>
      </c>
      <c r="T19" t="s">
        <v>18</v>
      </c>
    </row>
    <row r="20" spans="1:20" hidden="1" x14ac:dyDescent="0.2">
      <c r="A20">
        <v>19</v>
      </c>
      <c r="B20" t="s">
        <v>17</v>
      </c>
      <c r="C20" t="s">
        <v>18</v>
      </c>
      <c r="D20" t="s">
        <v>19</v>
      </c>
      <c r="E20">
        <v>252</v>
      </c>
      <c r="F20">
        <v>1</v>
      </c>
      <c r="G20">
        <v>1</v>
      </c>
      <c r="H20" t="s">
        <v>26</v>
      </c>
      <c r="I20" t="s">
        <v>123</v>
      </c>
      <c r="J20" t="s">
        <v>85</v>
      </c>
      <c r="K20" t="s">
        <v>85</v>
      </c>
      <c r="L20" t="s">
        <v>85</v>
      </c>
      <c r="M20" t="s">
        <v>27</v>
      </c>
      <c r="N20" t="s">
        <v>86</v>
      </c>
      <c r="O20" t="s">
        <v>28</v>
      </c>
      <c r="P20">
        <v>400</v>
      </c>
      <c r="Q20">
        <v>70</v>
      </c>
      <c r="R20">
        <v>15</v>
      </c>
      <c r="S20" t="s">
        <v>124</v>
      </c>
      <c r="T20" t="s">
        <v>18</v>
      </c>
    </row>
    <row r="21" spans="1:20" hidden="1" x14ac:dyDescent="0.2">
      <c r="A21">
        <v>20</v>
      </c>
      <c r="B21" t="s">
        <v>17</v>
      </c>
      <c r="C21" t="s">
        <v>18</v>
      </c>
      <c r="D21" t="s">
        <v>19</v>
      </c>
      <c r="E21">
        <v>266</v>
      </c>
      <c r="F21">
        <v>1</v>
      </c>
      <c r="G21">
        <v>1</v>
      </c>
      <c r="H21" t="s">
        <v>26</v>
      </c>
      <c r="I21" t="s">
        <v>125</v>
      </c>
      <c r="J21" t="s">
        <v>89</v>
      </c>
      <c r="K21" t="s">
        <v>89</v>
      </c>
      <c r="L21" t="s">
        <v>89</v>
      </c>
      <c r="M21" t="s">
        <v>12</v>
      </c>
      <c r="N21" t="s">
        <v>86</v>
      </c>
      <c r="O21" t="s">
        <v>28</v>
      </c>
      <c r="P21">
        <v>400</v>
      </c>
      <c r="Q21">
        <v>70</v>
      </c>
      <c r="R21">
        <v>15</v>
      </c>
      <c r="S21" t="s">
        <v>126</v>
      </c>
      <c r="T21" t="s">
        <v>18</v>
      </c>
    </row>
    <row r="22" spans="1:20" hidden="1" x14ac:dyDescent="0.2">
      <c r="A22">
        <v>21</v>
      </c>
      <c r="B22" t="s">
        <v>17</v>
      </c>
      <c r="C22" t="s">
        <v>18</v>
      </c>
      <c r="D22" t="s">
        <v>19</v>
      </c>
      <c r="E22">
        <v>280</v>
      </c>
      <c r="F22">
        <v>1</v>
      </c>
      <c r="G22">
        <v>1</v>
      </c>
      <c r="H22" t="s">
        <v>26</v>
      </c>
      <c r="I22" t="s">
        <v>127</v>
      </c>
      <c r="J22" t="s">
        <v>85</v>
      </c>
      <c r="K22" t="s">
        <v>85</v>
      </c>
      <c r="L22" t="s">
        <v>85</v>
      </c>
      <c r="M22" t="s">
        <v>27</v>
      </c>
      <c r="N22" t="s">
        <v>86</v>
      </c>
      <c r="O22" t="s">
        <v>28</v>
      </c>
      <c r="P22">
        <v>400</v>
      </c>
      <c r="Q22">
        <v>70</v>
      </c>
      <c r="R22">
        <v>15</v>
      </c>
      <c r="S22" t="s">
        <v>128</v>
      </c>
      <c r="T22" t="s">
        <v>18</v>
      </c>
    </row>
    <row r="23" spans="1:20" hidden="1" x14ac:dyDescent="0.2">
      <c r="A23">
        <v>22</v>
      </c>
      <c r="B23" t="s">
        <v>17</v>
      </c>
      <c r="C23" t="s">
        <v>18</v>
      </c>
      <c r="D23" t="s">
        <v>19</v>
      </c>
      <c r="E23">
        <v>294</v>
      </c>
      <c r="F23">
        <v>1</v>
      </c>
      <c r="G23">
        <v>1</v>
      </c>
      <c r="H23" t="s">
        <v>26</v>
      </c>
      <c r="I23" t="s">
        <v>129</v>
      </c>
      <c r="J23" t="s">
        <v>89</v>
      </c>
      <c r="K23" t="s">
        <v>89</v>
      </c>
      <c r="L23" t="s">
        <v>89</v>
      </c>
      <c r="M23" t="s">
        <v>12</v>
      </c>
      <c r="N23" t="s">
        <v>86</v>
      </c>
      <c r="O23" t="s">
        <v>28</v>
      </c>
      <c r="P23">
        <v>400</v>
      </c>
      <c r="Q23">
        <v>70</v>
      </c>
      <c r="R23">
        <v>15</v>
      </c>
      <c r="S23" t="s">
        <v>130</v>
      </c>
      <c r="T23" t="s">
        <v>18</v>
      </c>
    </row>
    <row r="24" spans="1:20" hidden="1" x14ac:dyDescent="0.2">
      <c r="A24">
        <v>23</v>
      </c>
      <c r="B24" t="s">
        <v>17</v>
      </c>
      <c r="C24" t="s">
        <v>18</v>
      </c>
      <c r="D24" t="s">
        <v>19</v>
      </c>
      <c r="E24">
        <v>308</v>
      </c>
      <c r="F24">
        <v>1</v>
      </c>
      <c r="G24">
        <v>1</v>
      </c>
      <c r="H24" t="s">
        <v>26</v>
      </c>
      <c r="I24" t="s">
        <v>131</v>
      </c>
      <c r="J24" t="s">
        <v>85</v>
      </c>
      <c r="K24" t="s">
        <v>85</v>
      </c>
      <c r="L24" t="s">
        <v>85</v>
      </c>
      <c r="M24" t="s">
        <v>27</v>
      </c>
      <c r="N24" t="s">
        <v>86</v>
      </c>
      <c r="O24" t="s">
        <v>28</v>
      </c>
      <c r="P24">
        <v>400</v>
      </c>
      <c r="Q24">
        <v>70</v>
      </c>
      <c r="R24">
        <v>15</v>
      </c>
      <c r="S24" t="s">
        <v>132</v>
      </c>
      <c r="T24" t="s">
        <v>18</v>
      </c>
    </row>
    <row r="25" spans="1:20" hidden="1" x14ac:dyDescent="0.2">
      <c r="A25">
        <v>24</v>
      </c>
      <c r="B25" t="s">
        <v>17</v>
      </c>
      <c r="C25" t="s">
        <v>18</v>
      </c>
      <c r="D25" t="s">
        <v>19</v>
      </c>
      <c r="E25">
        <v>322</v>
      </c>
      <c r="F25">
        <v>1</v>
      </c>
      <c r="G25">
        <v>1</v>
      </c>
      <c r="H25" t="s">
        <v>26</v>
      </c>
      <c r="I25" t="s">
        <v>133</v>
      </c>
      <c r="J25" t="s">
        <v>89</v>
      </c>
      <c r="K25" t="s">
        <v>89</v>
      </c>
      <c r="L25" t="s">
        <v>89</v>
      </c>
      <c r="M25" t="s">
        <v>12</v>
      </c>
      <c r="N25" t="s">
        <v>86</v>
      </c>
      <c r="O25" t="s">
        <v>28</v>
      </c>
      <c r="P25">
        <v>400</v>
      </c>
      <c r="Q25">
        <v>70</v>
      </c>
      <c r="R25">
        <v>15</v>
      </c>
      <c r="S25" t="s">
        <v>134</v>
      </c>
      <c r="T25" t="s">
        <v>18</v>
      </c>
    </row>
    <row r="26" spans="1:20" hidden="1" x14ac:dyDescent="0.2">
      <c r="A26">
        <v>25</v>
      </c>
      <c r="B26" t="s">
        <v>17</v>
      </c>
      <c r="C26" t="s">
        <v>18</v>
      </c>
      <c r="D26" t="s">
        <v>19</v>
      </c>
      <c r="E26">
        <v>336</v>
      </c>
      <c r="F26">
        <v>1</v>
      </c>
      <c r="G26">
        <v>1</v>
      </c>
      <c r="H26" t="s">
        <v>26</v>
      </c>
      <c r="I26" t="s">
        <v>135</v>
      </c>
      <c r="J26" t="s">
        <v>85</v>
      </c>
      <c r="K26" t="s">
        <v>85</v>
      </c>
      <c r="L26" t="s">
        <v>85</v>
      </c>
      <c r="M26" t="s">
        <v>27</v>
      </c>
      <c r="N26" t="s">
        <v>86</v>
      </c>
      <c r="O26" t="s">
        <v>28</v>
      </c>
      <c r="P26">
        <v>400</v>
      </c>
      <c r="Q26">
        <v>70</v>
      </c>
      <c r="R26">
        <v>15</v>
      </c>
      <c r="S26" t="s">
        <v>136</v>
      </c>
      <c r="T26" t="s">
        <v>18</v>
      </c>
    </row>
    <row r="27" spans="1:20" hidden="1" x14ac:dyDescent="0.2">
      <c r="A27">
        <v>26</v>
      </c>
      <c r="B27" t="s">
        <v>17</v>
      </c>
      <c r="C27" t="s">
        <v>18</v>
      </c>
      <c r="D27" t="s">
        <v>19</v>
      </c>
      <c r="E27">
        <v>350</v>
      </c>
      <c r="F27">
        <v>1</v>
      </c>
      <c r="G27">
        <v>1</v>
      </c>
      <c r="H27" t="s">
        <v>26</v>
      </c>
      <c r="I27" t="s">
        <v>137</v>
      </c>
      <c r="J27" t="s">
        <v>89</v>
      </c>
      <c r="K27" t="s">
        <v>89</v>
      </c>
      <c r="L27" t="s">
        <v>89</v>
      </c>
      <c r="M27" t="s">
        <v>12</v>
      </c>
      <c r="N27" t="s">
        <v>86</v>
      </c>
      <c r="O27" t="s">
        <v>28</v>
      </c>
      <c r="P27">
        <v>400</v>
      </c>
      <c r="Q27">
        <v>70</v>
      </c>
      <c r="R27">
        <v>15</v>
      </c>
      <c r="S27" t="s">
        <v>138</v>
      </c>
      <c r="T27" t="s">
        <v>18</v>
      </c>
    </row>
    <row r="28" spans="1:20" hidden="1" x14ac:dyDescent="0.2">
      <c r="A28">
        <v>27</v>
      </c>
      <c r="B28" t="s">
        <v>17</v>
      </c>
      <c r="C28" t="s">
        <v>18</v>
      </c>
      <c r="D28" t="s">
        <v>19</v>
      </c>
      <c r="E28">
        <v>364</v>
      </c>
      <c r="F28">
        <v>1</v>
      </c>
      <c r="G28">
        <v>1</v>
      </c>
      <c r="H28" t="s">
        <v>26</v>
      </c>
      <c r="I28" t="s">
        <v>139</v>
      </c>
      <c r="J28" t="s">
        <v>85</v>
      </c>
      <c r="K28" t="s">
        <v>85</v>
      </c>
      <c r="L28" t="s">
        <v>85</v>
      </c>
      <c r="M28" t="s">
        <v>29</v>
      </c>
      <c r="N28" t="s">
        <v>86</v>
      </c>
      <c r="O28" t="s">
        <v>28</v>
      </c>
      <c r="P28">
        <v>400</v>
      </c>
      <c r="Q28">
        <v>70</v>
      </c>
      <c r="R28">
        <v>15</v>
      </c>
      <c r="S28" t="s">
        <v>140</v>
      </c>
      <c r="T28" t="s">
        <v>18</v>
      </c>
    </row>
    <row r="29" spans="1:20" hidden="1" x14ac:dyDescent="0.2">
      <c r="A29">
        <v>28</v>
      </c>
      <c r="B29" t="s">
        <v>17</v>
      </c>
      <c r="C29" t="s">
        <v>24</v>
      </c>
      <c r="D29" t="s">
        <v>30</v>
      </c>
      <c r="E29">
        <v>0</v>
      </c>
      <c r="F29">
        <v>1</v>
      </c>
      <c r="G29">
        <v>1</v>
      </c>
      <c r="H29" t="s">
        <v>25</v>
      </c>
      <c r="I29" t="s">
        <v>141</v>
      </c>
      <c r="J29" t="s">
        <v>85</v>
      </c>
      <c r="K29" t="s">
        <v>85</v>
      </c>
      <c r="L29" t="s">
        <v>85</v>
      </c>
      <c r="M29" t="s">
        <v>27</v>
      </c>
      <c r="N29" t="s">
        <v>86</v>
      </c>
      <c r="O29" t="s">
        <v>28</v>
      </c>
      <c r="P29">
        <v>400</v>
      </c>
      <c r="Q29">
        <v>70</v>
      </c>
      <c r="R29">
        <v>15</v>
      </c>
      <c r="S29" t="s">
        <v>142</v>
      </c>
      <c r="T29" t="s">
        <v>24</v>
      </c>
    </row>
    <row r="30" spans="1:20" hidden="1" x14ac:dyDescent="0.2">
      <c r="A30">
        <v>29</v>
      </c>
      <c r="B30" t="s">
        <v>17</v>
      </c>
      <c r="C30" t="s">
        <v>24</v>
      </c>
      <c r="D30" t="s">
        <v>30</v>
      </c>
      <c r="E30">
        <v>14</v>
      </c>
      <c r="F30">
        <v>1</v>
      </c>
      <c r="G30">
        <v>1</v>
      </c>
      <c r="H30" t="s">
        <v>25</v>
      </c>
      <c r="I30" t="s">
        <v>143</v>
      </c>
      <c r="J30" t="s">
        <v>89</v>
      </c>
      <c r="K30" t="s">
        <v>89</v>
      </c>
      <c r="L30" t="s">
        <v>89</v>
      </c>
      <c r="M30" t="s">
        <v>12</v>
      </c>
      <c r="N30" t="s">
        <v>86</v>
      </c>
      <c r="O30" t="s">
        <v>28</v>
      </c>
      <c r="P30">
        <v>400</v>
      </c>
      <c r="Q30">
        <v>70</v>
      </c>
      <c r="R30">
        <v>15</v>
      </c>
      <c r="S30" t="s">
        <v>144</v>
      </c>
      <c r="T30" t="s">
        <v>24</v>
      </c>
    </row>
    <row r="31" spans="1:20" hidden="1" x14ac:dyDescent="0.2">
      <c r="A31">
        <v>30</v>
      </c>
      <c r="B31" t="s">
        <v>17</v>
      </c>
      <c r="C31" t="s">
        <v>24</v>
      </c>
      <c r="D31" t="s">
        <v>30</v>
      </c>
      <c r="E31">
        <v>28</v>
      </c>
      <c r="F31">
        <v>1</v>
      </c>
      <c r="G31">
        <v>1</v>
      </c>
      <c r="H31" t="s">
        <v>25</v>
      </c>
      <c r="I31" t="s">
        <v>145</v>
      </c>
      <c r="J31" t="s">
        <v>85</v>
      </c>
      <c r="K31" t="s">
        <v>85</v>
      </c>
      <c r="L31" t="s">
        <v>85</v>
      </c>
      <c r="M31" t="s">
        <v>27</v>
      </c>
      <c r="N31" t="s">
        <v>86</v>
      </c>
      <c r="O31" t="s">
        <v>28</v>
      </c>
      <c r="P31">
        <v>400</v>
      </c>
      <c r="Q31">
        <v>70</v>
      </c>
      <c r="R31">
        <v>15</v>
      </c>
      <c r="S31" t="s">
        <v>146</v>
      </c>
      <c r="T31" t="s">
        <v>24</v>
      </c>
    </row>
    <row r="32" spans="1:20" hidden="1" x14ac:dyDescent="0.2">
      <c r="A32">
        <v>31</v>
      </c>
      <c r="B32" t="s">
        <v>17</v>
      </c>
      <c r="C32" t="s">
        <v>24</v>
      </c>
      <c r="D32" t="s">
        <v>30</v>
      </c>
      <c r="E32">
        <v>42</v>
      </c>
      <c r="F32">
        <v>1</v>
      </c>
      <c r="G32">
        <v>1</v>
      </c>
      <c r="H32" t="s">
        <v>25</v>
      </c>
      <c r="I32" t="s">
        <v>147</v>
      </c>
      <c r="J32" t="s">
        <v>89</v>
      </c>
      <c r="K32" t="s">
        <v>89</v>
      </c>
      <c r="L32" t="s">
        <v>89</v>
      </c>
      <c r="M32" t="s">
        <v>12</v>
      </c>
      <c r="N32" t="s">
        <v>86</v>
      </c>
      <c r="O32" t="s">
        <v>28</v>
      </c>
      <c r="P32">
        <v>400</v>
      </c>
      <c r="Q32">
        <v>70</v>
      </c>
      <c r="R32">
        <v>15</v>
      </c>
      <c r="S32" t="s">
        <v>148</v>
      </c>
      <c r="T32" t="s">
        <v>24</v>
      </c>
    </row>
    <row r="33" spans="1:20" hidden="1" x14ac:dyDescent="0.2">
      <c r="A33">
        <v>32</v>
      </c>
      <c r="B33" t="s">
        <v>17</v>
      </c>
      <c r="C33" t="s">
        <v>24</v>
      </c>
      <c r="D33" t="s">
        <v>30</v>
      </c>
      <c r="E33">
        <v>56</v>
      </c>
      <c r="F33">
        <v>1</v>
      </c>
      <c r="G33">
        <v>1</v>
      </c>
      <c r="H33" t="s">
        <v>25</v>
      </c>
      <c r="I33" t="s">
        <v>149</v>
      </c>
      <c r="J33" t="s">
        <v>85</v>
      </c>
      <c r="K33" t="s">
        <v>85</v>
      </c>
      <c r="L33" t="s">
        <v>85</v>
      </c>
      <c r="M33" t="s">
        <v>27</v>
      </c>
      <c r="N33" t="s">
        <v>86</v>
      </c>
      <c r="O33" t="s">
        <v>28</v>
      </c>
      <c r="P33">
        <v>400</v>
      </c>
      <c r="Q33">
        <v>70</v>
      </c>
      <c r="R33">
        <v>15</v>
      </c>
      <c r="S33" t="s">
        <v>150</v>
      </c>
      <c r="T33" t="s">
        <v>24</v>
      </c>
    </row>
    <row r="34" spans="1:20" hidden="1" x14ac:dyDescent="0.2">
      <c r="A34">
        <v>33</v>
      </c>
      <c r="B34" t="s">
        <v>17</v>
      </c>
      <c r="C34" t="s">
        <v>24</v>
      </c>
      <c r="D34" t="s">
        <v>30</v>
      </c>
      <c r="E34">
        <v>70</v>
      </c>
      <c r="F34">
        <v>1</v>
      </c>
      <c r="G34">
        <v>1</v>
      </c>
      <c r="H34" t="s">
        <v>25</v>
      </c>
      <c r="I34" t="s">
        <v>151</v>
      </c>
      <c r="J34" t="s">
        <v>89</v>
      </c>
      <c r="K34" t="s">
        <v>89</v>
      </c>
      <c r="L34" t="s">
        <v>89</v>
      </c>
      <c r="M34" t="s">
        <v>12</v>
      </c>
      <c r="N34" t="s">
        <v>86</v>
      </c>
      <c r="O34" t="s">
        <v>28</v>
      </c>
      <c r="P34">
        <v>400</v>
      </c>
      <c r="Q34">
        <v>70</v>
      </c>
      <c r="R34">
        <v>15</v>
      </c>
      <c r="S34" t="s">
        <v>152</v>
      </c>
      <c r="T34" t="s">
        <v>24</v>
      </c>
    </row>
    <row r="35" spans="1:20" hidden="1" x14ac:dyDescent="0.2">
      <c r="A35">
        <v>34</v>
      </c>
      <c r="B35" t="s">
        <v>17</v>
      </c>
      <c r="C35" t="s">
        <v>24</v>
      </c>
      <c r="D35" t="s">
        <v>30</v>
      </c>
      <c r="E35">
        <v>84</v>
      </c>
      <c r="F35">
        <v>1</v>
      </c>
      <c r="G35">
        <v>1</v>
      </c>
      <c r="H35" t="s">
        <v>26</v>
      </c>
      <c r="I35" t="s">
        <v>153</v>
      </c>
      <c r="J35" t="s">
        <v>85</v>
      </c>
      <c r="K35" t="s">
        <v>85</v>
      </c>
      <c r="L35" t="s">
        <v>85</v>
      </c>
      <c r="M35" t="s">
        <v>27</v>
      </c>
      <c r="N35" t="s">
        <v>86</v>
      </c>
      <c r="O35" t="s">
        <v>28</v>
      </c>
      <c r="P35">
        <v>400</v>
      </c>
      <c r="Q35">
        <v>70</v>
      </c>
      <c r="R35">
        <v>15</v>
      </c>
      <c r="S35" t="s">
        <v>154</v>
      </c>
      <c r="T35" t="s">
        <v>24</v>
      </c>
    </row>
    <row r="36" spans="1:20" hidden="1" x14ac:dyDescent="0.2">
      <c r="A36">
        <v>35</v>
      </c>
      <c r="B36" t="s">
        <v>17</v>
      </c>
      <c r="C36" t="s">
        <v>24</v>
      </c>
      <c r="D36" t="s">
        <v>30</v>
      </c>
      <c r="E36">
        <v>98</v>
      </c>
      <c r="F36">
        <v>1</v>
      </c>
      <c r="G36">
        <v>1</v>
      </c>
      <c r="H36" t="s">
        <v>26</v>
      </c>
      <c r="I36" t="s">
        <v>155</v>
      </c>
      <c r="J36" t="s">
        <v>89</v>
      </c>
      <c r="K36" t="s">
        <v>89</v>
      </c>
      <c r="L36" t="s">
        <v>85</v>
      </c>
      <c r="M36" t="s">
        <v>12</v>
      </c>
      <c r="N36" t="s">
        <v>86</v>
      </c>
      <c r="O36" t="s">
        <v>28</v>
      </c>
      <c r="P36">
        <v>400</v>
      </c>
      <c r="Q36">
        <v>70</v>
      </c>
      <c r="R36">
        <v>15</v>
      </c>
      <c r="S36" t="s">
        <v>156</v>
      </c>
      <c r="T36" t="s">
        <v>24</v>
      </c>
    </row>
    <row r="37" spans="1:20" hidden="1" x14ac:dyDescent="0.2">
      <c r="A37">
        <v>36</v>
      </c>
      <c r="B37" t="s">
        <v>17</v>
      </c>
      <c r="C37" t="s">
        <v>24</v>
      </c>
      <c r="D37" t="s">
        <v>31</v>
      </c>
      <c r="E37">
        <v>112</v>
      </c>
      <c r="F37">
        <v>2</v>
      </c>
      <c r="G37">
        <v>2</v>
      </c>
      <c r="H37" t="s">
        <v>26</v>
      </c>
      <c r="I37" t="s">
        <v>157</v>
      </c>
      <c r="J37" t="s">
        <v>158</v>
      </c>
      <c r="K37" t="s">
        <v>159</v>
      </c>
      <c r="L37" t="s">
        <v>159</v>
      </c>
      <c r="M37" t="s">
        <v>27</v>
      </c>
      <c r="N37" t="s">
        <v>86</v>
      </c>
      <c r="O37" t="s">
        <v>28</v>
      </c>
      <c r="P37">
        <v>400</v>
      </c>
      <c r="Q37">
        <v>70</v>
      </c>
      <c r="R37">
        <v>15</v>
      </c>
      <c r="S37" t="s">
        <v>160</v>
      </c>
      <c r="T37" t="s">
        <v>24</v>
      </c>
    </row>
    <row r="38" spans="1:20" hidden="1" x14ac:dyDescent="0.2">
      <c r="A38">
        <v>37</v>
      </c>
      <c r="B38" t="s">
        <v>17</v>
      </c>
      <c r="C38" t="s">
        <v>24</v>
      </c>
      <c r="D38" t="s">
        <v>31</v>
      </c>
      <c r="E38">
        <v>126</v>
      </c>
      <c r="F38">
        <v>2</v>
      </c>
      <c r="G38">
        <v>2</v>
      </c>
      <c r="H38" t="s">
        <v>26</v>
      </c>
      <c r="I38" t="s">
        <v>161</v>
      </c>
      <c r="J38" t="s">
        <v>89</v>
      </c>
      <c r="K38" t="s">
        <v>85</v>
      </c>
      <c r="L38" t="s">
        <v>89</v>
      </c>
      <c r="M38" t="s">
        <v>12</v>
      </c>
      <c r="N38" t="s">
        <v>86</v>
      </c>
      <c r="O38" t="s">
        <v>28</v>
      </c>
      <c r="P38">
        <v>400</v>
      </c>
      <c r="Q38">
        <v>70</v>
      </c>
      <c r="R38">
        <v>15</v>
      </c>
      <c r="S38" t="s">
        <v>162</v>
      </c>
      <c r="T38" t="s">
        <v>24</v>
      </c>
    </row>
    <row r="39" spans="1:20" hidden="1" x14ac:dyDescent="0.2">
      <c r="A39">
        <v>38</v>
      </c>
      <c r="B39" t="s">
        <v>17</v>
      </c>
      <c r="C39" t="s">
        <v>24</v>
      </c>
      <c r="D39" t="s">
        <v>31</v>
      </c>
      <c r="E39">
        <v>140</v>
      </c>
      <c r="F39">
        <v>2</v>
      </c>
      <c r="G39">
        <v>2</v>
      </c>
      <c r="H39" t="s">
        <v>26</v>
      </c>
      <c r="I39" t="s">
        <v>163</v>
      </c>
      <c r="J39" t="s">
        <v>164</v>
      </c>
      <c r="K39" t="s">
        <v>165</v>
      </c>
      <c r="L39" t="s">
        <v>166</v>
      </c>
      <c r="M39" t="s">
        <v>27</v>
      </c>
      <c r="N39" t="s">
        <v>86</v>
      </c>
      <c r="O39" t="s">
        <v>28</v>
      </c>
      <c r="P39">
        <v>400</v>
      </c>
      <c r="Q39">
        <v>70</v>
      </c>
      <c r="R39">
        <v>15</v>
      </c>
      <c r="S39" t="s">
        <v>167</v>
      </c>
      <c r="T39" t="s">
        <v>24</v>
      </c>
    </row>
    <row r="40" spans="1:20" hidden="1" x14ac:dyDescent="0.2">
      <c r="A40">
        <v>39</v>
      </c>
      <c r="B40" t="s">
        <v>17</v>
      </c>
      <c r="C40" t="s">
        <v>24</v>
      </c>
      <c r="D40" t="s">
        <v>31</v>
      </c>
      <c r="E40">
        <v>154</v>
      </c>
      <c r="F40">
        <v>2</v>
      </c>
      <c r="G40">
        <v>2</v>
      </c>
      <c r="H40" t="s">
        <v>26</v>
      </c>
      <c r="I40" t="s">
        <v>168</v>
      </c>
      <c r="J40" t="s">
        <v>89</v>
      </c>
      <c r="K40" t="s">
        <v>85</v>
      </c>
      <c r="L40" t="s">
        <v>89</v>
      </c>
      <c r="M40" t="s">
        <v>12</v>
      </c>
      <c r="N40" t="s">
        <v>86</v>
      </c>
      <c r="O40" t="s">
        <v>28</v>
      </c>
      <c r="P40">
        <v>400</v>
      </c>
      <c r="Q40">
        <v>70</v>
      </c>
      <c r="R40">
        <v>15</v>
      </c>
      <c r="S40" t="s">
        <v>169</v>
      </c>
      <c r="T40" t="s">
        <v>24</v>
      </c>
    </row>
    <row r="41" spans="1:20" hidden="1" x14ac:dyDescent="0.2">
      <c r="A41">
        <v>40</v>
      </c>
      <c r="B41" t="s">
        <v>17</v>
      </c>
      <c r="C41" t="s">
        <v>24</v>
      </c>
      <c r="D41" t="s">
        <v>31</v>
      </c>
      <c r="E41">
        <v>168</v>
      </c>
      <c r="F41">
        <v>2</v>
      </c>
      <c r="G41">
        <v>2</v>
      </c>
      <c r="H41" t="s">
        <v>26</v>
      </c>
      <c r="I41" t="s">
        <v>170</v>
      </c>
      <c r="J41" t="s">
        <v>171</v>
      </c>
      <c r="K41" t="s">
        <v>172</v>
      </c>
      <c r="L41" t="s">
        <v>173</v>
      </c>
      <c r="M41" t="s">
        <v>27</v>
      </c>
      <c r="N41" t="s">
        <v>86</v>
      </c>
      <c r="O41" t="s">
        <v>28</v>
      </c>
      <c r="P41">
        <v>400</v>
      </c>
      <c r="Q41">
        <v>70</v>
      </c>
      <c r="R41">
        <v>15</v>
      </c>
      <c r="S41" t="s">
        <v>174</v>
      </c>
      <c r="T41" t="s">
        <v>24</v>
      </c>
    </row>
    <row r="42" spans="1:20" hidden="1" x14ac:dyDescent="0.2">
      <c r="A42">
        <v>41</v>
      </c>
      <c r="B42" t="s">
        <v>17</v>
      </c>
      <c r="C42" t="s">
        <v>24</v>
      </c>
      <c r="D42" t="s">
        <v>31</v>
      </c>
      <c r="E42">
        <v>182</v>
      </c>
      <c r="F42">
        <v>2</v>
      </c>
      <c r="G42">
        <v>2</v>
      </c>
      <c r="H42" t="s">
        <v>26</v>
      </c>
      <c r="I42" t="s">
        <v>175</v>
      </c>
      <c r="J42" t="s">
        <v>89</v>
      </c>
      <c r="K42" t="s">
        <v>85</v>
      </c>
      <c r="L42" t="s">
        <v>89</v>
      </c>
      <c r="M42" t="s">
        <v>12</v>
      </c>
      <c r="N42" t="s">
        <v>86</v>
      </c>
      <c r="O42" t="s">
        <v>28</v>
      </c>
      <c r="P42">
        <v>400</v>
      </c>
      <c r="Q42">
        <v>70</v>
      </c>
      <c r="R42">
        <v>15</v>
      </c>
      <c r="S42" t="s">
        <v>176</v>
      </c>
      <c r="T42" t="s">
        <v>24</v>
      </c>
    </row>
    <row r="43" spans="1:20" hidden="1" x14ac:dyDescent="0.2">
      <c r="A43">
        <v>42</v>
      </c>
      <c r="B43" t="s">
        <v>17</v>
      </c>
      <c r="C43" t="s">
        <v>24</v>
      </c>
      <c r="D43" t="s">
        <v>31</v>
      </c>
      <c r="E43">
        <v>196</v>
      </c>
      <c r="F43">
        <v>2</v>
      </c>
      <c r="G43">
        <v>2</v>
      </c>
      <c r="H43" t="s">
        <v>26</v>
      </c>
      <c r="I43" t="s">
        <v>177</v>
      </c>
      <c r="J43" t="s">
        <v>178</v>
      </c>
      <c r="K43" t="s">
        <v>87</v>
      </c>
      <c r="L43" t="s">
        <v>179</v>
      </c>
      <c r="M43" t="s">
        <v>27</v>
      </c>
      <c r="N43" t="s">
        <v>86</v>
      </c>
      <c r="O43" t="s">
        <v>28</v>
      </c>
      <c r="P43">
        <v>400</v>
      </c>
      <c r="Q43">
        <v>70</v>
      </c>
      <c r="R43">
        <v>15</v>
      </c>
      <c r="S43" t="s">
        <v>180</v>
      </c>
      <c r="T43" t="s">
        <v>24</v>
      </c>
    </row>
    <row r="44" spans="1:20" hidden="1" x14ac:dyDescent="0.2">
      <c r="A44">
        <v>43</v>
      </c>
      <c r="B44" t="s">
        <v>17</v>
      </c>
      <c r="C44" t="s">
        <v>24</v>
      </c>
      <c r="D44" t="s">
        <v>31</v>
      </c>
      <c r="E44">
        <v>210</v>
      </c>
      <c r="F44">
        <v>3</v>
      </c>
      <c r="G44">
        <v>3</v>
      </c>
      <c r="H44" t="s">
        <v>26</v>
      </c>
      <c r="I44" t="s">
        <v>181</v>
      </c>
      <c r="J44" t="s">
        <v>89</v>
      </c>
      <c r="K44" t="s">
        <v>85</v>
      </c>
      <c r="L44" t="s">
        <v>89</v>
      </c>
      <c r="M44" t="s">
        <v>12</v>
      </c>
      <c r="N44" t="s">
        <v>86</v>
      </c>
      <c r="O44" t="s">
        <v>28</v>
      </c>
      <c r="P44">
        <v>400</v>
      </c>
      <c r="Q44">
        <v>70</v>
      </c>
      <c r="R44">
        <v>15</v>
      </c>
      <c r="S44" t="s">
        <v>182</v>
      </c>
      <c r="T44" t="s">
        <v>24</v>
      </c>
    </row>
    <row r="45" spans="1:20" hidden="1" x14ac:dyDescent="0.2">
      <c r="A45">
        <v>44</v>
      </c>
      <c r="B45" t="s">
        <v>17</v>
      </c>
      <c r="C45" t="s">
        <v>24</v>
      </c>
      <c r="D45" t="s">
        <v>31</v>
      </c>
      <c r="E45">
        <v>224</v>
      </c>
      <c r="F45">
        <v>3</v>
      </c>
      <c r="G45">
        <v>3</v>
      </c>
      <c r="H45" t="s">
        <v>26</v>
      </c>
      <c r="I45" t="s">
        <v>183</v>
      </c>
      <c r="J45" t="s">
        <v>184</v>
      </c>
      <c r="K45" t="s">
        <v>172</v>
      </c>
      <c r="L45" t="s">
        <v>185</v>
      </c>
      <c r="M45" t="s">
        <v>27</v>
      </c>
      <c r="N45" t="s">
        <v>86</v>
      </c>
      <c r="O45" t="s">
        <v>28</v>
      </c>
      <c r="P45">
        <v>400</v>
      </c>
      <c r="Q45">
        <v>70</v>
      </c>
      <c r="R45">
        <v>15</v>
      </c>
      <c r="S45" t="s">
        <v>186</v>
      </c>
      <c r="T45" t="s">
        <v>24</v>
      </c>
    </row>
    <row r="46" spans="1:20" hidden="1" x14ac:dyDescent="0.2">
      <c r="A46">
        <v>45</v>
      </c>
      <c r="B46" t="s">
        <v>17</v>
      </c>
      <c r="C46" t="s">
        <v>24</v>
      </c>
      <c r="D46" t="s">
        <v>31</v>
      </c>
      <c r="E46">
        <v>238</v>
      </c>
      <c r="F46">
        <v>3</v>
      </c>
      <c r="G46">
        <v>3</v>
      </c>
      <c r="H46" t="s">
        <v>26</v>
      </c>
      <c r="I46" t="s">
        <v>187</v>
      </c>
      <c r="J46" t="s">
        <v>89</v>
      </c>
      <c r="K46" t="s">
        <v>85</v>
      </c>
      <c r="L46" t="s">
        <v>89</v>
      </c>
      <c r="M46" t="s">
        <v>12</v>
      </c>
      <c r="N46" t="s">
        <v>86</v>
      </c>
      <c r="O46" t="s">
        <v>28</v>
      </c>
      <c r="P46">
        <v>400</v>
      </c>
      <c r="Q46">
        <v>70</v>
      </c>
      <c r="R46">
        <v>15</v>
      </c>
      <c r="S46" t="s">
        <v>188</v>
      </c>
      <c r="T46" t="s">
        <v>24</v>
      </c>
    </row>
    <row r="47" spans="1:20" hidden="1" x14ac:dyDescent="0.2">
      <c r="A47">
        <v>46</v>
      </c>
      <c r="B47" t="s">
        <v>17</v>
      </c>
      <c r="C47" t="s">
        <v>24</v>
      </c>
      <c r="D47" t="s">
        <v>31</v>
      </c>
      <c r="E47">
        <v>252</v>
      </c>
      <c r="F47">
        <v>3</v>
      </c>
      <c r="G47">
        <v>3</v>
      </c>
      <c r="H47" t="s">
        <v>26</v>
      </c>
      <c r="I47" t="s">
        <v>189</v>
      </c>
      <c r="J47" t="s">
        <v>190</v>
      </c>
      <c r="K47" t="s">
        <v>191</v>
      </c>
      <c r="L47" t="s">
        <v>192</v>
      </c>
      <c r="M47" t="s">
        <v>27</v>
      </c>
      <c r="N47" t="s">
        <v>86</v>
      </c>
      <c r="O47" t="s">
        <v>28</v>
      </c>
      <c r="P47">
        <v>400</v>
      </c>
      <c r="Q47">
        <v>70</v>
      </c>
      <c r="R47">
        <v>15</v>
      </c>
      <c r="S47" t="s">
        <v>193</v>
      </c>
      <c r="T47" t="s">
        <v>24</v>
      </c>
    </row>
    <row r="48" spans="1:20" hidden="1" x14ac:dyDescent="0.2">
      <c r="A48">
        <v>47</v>
      </c>
      <c r="B48" t="s">
        <v>17</v>
      </c>
      <c r="C48" t="s">
        <v>24</v>
      </c>
      <c r="D48" t="s">
        <v>31</v>
      </c>
      <c r="E48">
        <v>266</v>
      </c>
      <c r="F48">
        <v>3</v>
      </c>
      <c r="G48">
        <v>3</v>
      </c>
      <c r="H48" t="s">
        <v>26</v>
      </c>
      <c r="I48" t="s">
        <v>194</v>
      </c>
      <c r="J48" t="s">
        <v>89</v>
      </c>
      <c r="K48" t="s">
        <v>85</v>
      </c>
      <c r="L48" t="s">
        <v>89</v>
      </c>
      <c r="M48" t="s">
        <v>12</v>
      </c>
      <c r="N48" t="s">
        <v>86</v>
      </c>
      <c r="O48" t="s">
        <v>28</v>
      </c>
      <c r="P48">
        <v>400</v>
      </c>
      <c r="Q48">
        <v>70</v>
      </c>
      <c r="R48">
        <v>15</v>
      </c>
      <c r="S48" t="s">
        <v>195</v>
      </c>
      <c r="T48" t="s">
        <v>24</v>
      </c>
    </row>
    <row r="49" spans="1:20" hidden="1" x14ac:dyDescent="0.2">
      <c r="A49">
        <v>48</v>
      </c>
      <c r="B49" t="s">
        <v>17</v>
      </c>
      <c r="C49" t="s">
        <v>24</v>
      </c>
      <c r="D49" t="s">
        <v>31</v>
      </c>
      <c r="E49">
        <v>280</v>
      </c>
      <c r="F49">
        <v>3</v>
      </c>
      <c r="G49">
        <v>3</v>
      </c>
      <c r="H49" t="s">
        <v>26</v>
      </c>
      <c r="I49" t="s">
        <v>196</v>
      </c>
      <c r="J49" t="s">
        <v>197</v>
      </c>
      <c r="K49" t="s">
        <v>198</v>
      </c>
      <c r="L49" t="s">
        <v>199</v>
      </c>
      <c r="M49" t="s">
        <v>27</v>
      </c>
      <c r="N49" t="s">
        <v>86</v>
      </c>
      <c r="O49" t="s">
        <v>28</v>
      </c>
      <c r="P49">
        <v>400</v>
      </c>
      <c r="Q49">
        <v>70</v>
      </c>
      <c r="R49">
        <v>15</v>
      </c>
      <c r="S49" t="s">
        <v>200</v>
      </c>
      <c r="T49" t="s">
        <v>24</v>
      </c>
    </row>
    <row r="50" spans="1:20" hidden="1" x14ac:dyDescent="0.2">
      <c r="A50">
        <v>49</v>
      </c>
      <c r="B50" t="s">
        <v>17</v>
      </c>
      <c r="C50" t="s">
        <v>24</v>
      </c>
      <c r="D50" t="s">
        <v>31</v>
      </c>
      <c r="E50">
        <v>294</v>
      </c>
      <c r="F50">
        <v>6</v>
      </c>
      <c r="G50">
        <v>6</v>
      </c>
      <c r="H50" t="s">
        <v>26</v>
      </c>
      <c r="I50" t="s">
        <v>201</v>
      </c>
      <c r="J50" t="s">
        <v>89</v>
      </c>
      <c r="K50" t="s">
        <v>85</v>
      </c>
      <c r="L50" t="s">
        <v>89</v>
      </c>
      <c r="M50" t="s">
        <v>12</v>
      </c>
      <c r="N50" t="s">
        <v>86</v>
      </c>
      <c r="O50" t="s">
        <v>28</v>
      </c>
      <c r="P50">
        <v>400</v>
      </c>
      <c r="Q50">
        <v>70</v>
      </c>
      <c r="R50">
        <v>15</v>
      </c>
      <c r="S50" t="s">
        <v>202</v>
      </c>
      <c r="T50" t="s">
        <v>24</v>
      </c>
    </row>
    <row r="51" spans="1:20" hidden="1" x14ac:dyDescent="0.2">
      <c r="A51">
        <v>50</v>
      </c>
      <c r="B51" t="s">
        <v>17</v>
      </c>
      <c r="C51" t="s">
        <v>24</v>
      </c>
      <c r="D51" t="s">
        <v>31</v>
      </c>
      <c r="E51">
        <v>308</v>
      </c>
      <c r="F51">
        <v>6</v>
      </c>
      <c r="G51">
        <v>6</v>
      </c>
      <c r="H51" t="s">
        <v>26</v>
      </c>
      <c r="I51" t="s">
        <v>203</v>
      </c>
      <c r="J51" t="s">
        <v>204</v>
      </c>
      <c r="K51" t="s">
        <v>87</v>
      </c>
      <c r="L51" t="s">
        <v>205</v>
      </c>
      <c r="M51" t="s">
        <v>27</v>
      </c>
      <c r="N51" t="s">
        <v>86</v>
      </c>
      <c r="O51" t="s">
        <v>28</v>
      </c>
      <c r="P51">
        <v>400</v>
      </c>
      <c r="Q51">
        <v>70</v>
      </c>
      <c r="R51">
        <v>15</v>
      </c>
      <c r="S51" t="s">
        <v>206</v>
      </c>
      <c r="T51" t="s">
        <v>24</v>
      </c>
    </row>
    <row r="52" spans="1:20" hidden="1" x14ac:dyDescent="0.2">
      <c r="A52">
        <v>51</v>
      </c>
      <c r="B52" t="s">
        <v>17</v>
      </c>
      <c r="C52" t="s">
        <v>24</v>
      </c>
      <c r="D52" t="s">
        <v>31</v>
      </c>
      <c r="E52">
        <v>322</v>
      </c>
      <c r="F52">
        <v>6</v>
      </c>
      <c r="G52">
        <v>6</v>
      </c>
      <c r="H52" t="s">
        <v>26</v>
      </c>
      <c r="I52" t="s">
        <v>207</v>
      </c>
      <c r="J52" t="s">
        <v>89</v>
      </c>
      <c r="K52" t="s">
        <v>85</v>
      </c>
      <c r="L52" t="s">
        <v>89</v>
      </c>
      <c r="M52" t="s">
        <v>12</v>
      </c>
      <c r="N52" t="s">
        <v>86</v>
      </c>
      <c r="O52" t="s">
        <v>28</v>
      </c>
      <c r="P52">
        <v>400</v>
      </c>
      <c r="Q52">
        <v>70</v>
      </c>
      <c r="R52">
        <v>15</v>
      </c>
      <c r="S52" t="s">
        <v>208</v>
      </c>
      <c r="T52" t="s">
        <v>24</v>
      </c>
    </row>
    <row r="53" spans="1:20" hidden="1" x14ac:dyDescent="0.2">
      <c r="A53">
        <v>52</v>
      </c>
      <c r="B53" t="s">
        <v>17</v>
      </c>
      <c r="C53" t="s">
        <v>24</v>
      </c>
      <c r="D53" t="s">
        <v>31</v>
      </c>
      <c r="E53">
        <v>336</v>
      </c>
      <c r="F53">
        <v>6</v>
      </c>
      <c r="G53">
        <v>6</v>
      </c>
      <c r="H53" t="s">
        <v>26</v>
      </c>
      <c r="I53" t="s">
        <v>209</v>
      </c>
      <c r="J53" t="s">
        <v>210</v>
      </c>
      <c r="K53" t="s">
        <v>211</v>
      </c>
      <c r="L53" t="s">
        <v>212</v>
      </c>
      <c r="M53" t="s">
        <v>27</v>
      </c>
      <c r="N53" t="s">
        <v>86</v>
      </c>
      <c r="O53" t="s">
        <v>28</v>
      </c>
      <c r="P53">
        <v>400</v>
      </c>
      <c r="Q53">
        <v>70</v>
      </c>
      <c r="R53">
        <v>15</v>
      </c>
      <c r="S53" t="s">
        <v>213</v>
      </c>
      <c r="T53" t="s">
        <v>24</v>
      </c>
    </row>
    <row r="54" spans="1:20" hidden="1" x14ac:dyDescent="0.2">
      <c r="A54">
        <v>53</v>
      </c>
      <c r="B54" t="s">
        <v>17</v>
      </c>
      <c r="C54" t="s">
        <v>24</v>
      </c>
      <c r="D54" t="s">
        <v>31</v>
      </c>
      <c r="E54">
        <v>350</v>
      </c>
      <c r="F54">
        <v>6</v>
      </c>
      <c r="G54">
        <v>6</v>
      </c>
      <c r="H54" t="s">
        <v>26</v>
      </c>
      <c r="I54" t="s">
        <v>214</v>
      </c>
      <c r="J54" t="s">
        <v>89</v>
      </c>
      <c r="K54" t="s">
        <v>85</v>
      </c>
      <c r="L54" t="s">
        <v>89</v>
      </c>
      <c r="M54" t="s">
        <v>12</v>
      </c>
      <c r="N54" t="s">
        <v>86</v>
      </c>
      <c r="O54" t="s">
        <v>28</v>
      </c>
      <c r="P54">
        <v>400</v>
      </c>
      <c r="Q54">
        <v>70</v>
      </c>
      <c r="R54">
        <v>15</v>
      </c>
      <c r="S54" t="s">
        <v>215</v>
      </c>
      <c r="T54" t="s">
        <v>24</v>
      </c>
    </row>
    <row r="55" spans="1:20" hidden="1" x14ac:dyDescent="0.2">
      <c r="A55">
        <v>54</v>
      </c>
      <c r="B55" t="s">
        <v>17</v>
      </c>
      <c r="C55" t="s">
        <v>24</v>
      </c>
      <c r="D55" t="s">
        <v>31</v>
      </c>
      <c r="E55">
        <v>364</v>
      </c>
      <c r="F55">
        <v>6</v>
      </c>
      <c r="G55">
        <v>6</v>
      </c>
      <c r="H55" t="s">
        <v>26</v>
      </c>
      <c r="I55" t="s">
        <v>216</v>
      </c>
      <c r="J55" t="s">
        <v>217</v>
      </c>
      <c r="K55" t="s">
        <v>218</v>
      </c>
      <c r="L55" t="s">
        <v>219</v>
      </c>
      <c r="M55" t="s">
        <v>27</v>
      </c>
      <c r="N55" t="s">
        <v>86</v>
      </c>
      <c r="O55" t="s">
        <v>28</v>
      </c>
      <c r="P55">
        <v>400</v>
      </c>
      <c r="Q55">
        <v>70</v>
      </c>
      <c r="R55">
        <v>15</v>
      </c>
      <c r="S55" t="s">
        <v>220</v>
      </c>
      <c r="T55" t="s">
        <v>24</v>
      </c>
    </row>
    <row r="56" spans="1:20" hidden="1" x14ac:dyDescent="0.2">
      <c r="A56">
        <v>55</v>
      </c>
      <c r="B56" t="s">
        <v>17</v>
      </c>
      <c r="C56" t="s">
        <v>32</v>
      </c>
      <c r="D56" t="s">
        <v>33</v>
      </c>
      <c r="E56">
        <v>0</v>
      </c>
      <c r="F56">
        <v>1</v>
      </c>
      <c r="G56">
        <v>1</v>
      </c>
      <c r="H56" t="s">
        <v>25</v>
      </c>
      <c r="I56" t="s">
        <v>88</v>
      </c>
      <c r="J56" t="s">
        <v>85</v>
      </c>
      <c r="K56" t="s">
        <v>85</v>
      </c>
      <c r="L56" t="s">
        <v>85</v>
      </c>
      <c r="M56" t="s">
        <v>27</v>
      </c>
      <c r="N56" t="s">
        <v>86</v>
      </c>
      <c r="O56" t="s">
        <v>28</v>
      </c>
      <c r="P56">
        <v>400</v>
      </c>
      <c r="Q56">
        <v>70</v>
      </c>
      <c r="R56">
        <v>15</v>
      </c>
      <c r="S56" t="s">
        <v>221</v>
      </c>
      <c r="T56" t="s">
        <v>32</v>
      </c>
    </row>
    <row r="57" spans="1:20" hidden="1" x14ac:dyDescent="0.2">
      <c r="A57">
        <v>56</v>
      </c>
      <c r="B57" t="s">
        <v>17</v>
      </c>
      <c r="C57" t="s">
        <v>32</v>
      </c>
      <c r="D57" t="s">
        <v>33</v>
      </c>
      <c r="E57">
        <v>14</v>
      </c>
      <c r="F57">
        <v>1</v>
      </c>
      <c r="G57">
        <v>1</v>
      </c>
      <c r="H57" t="s">
        <v>25</v>
      </c>
      <c r="I57" t="s">
        <v>222</v>
      </c>
      <c r="J57" t="s">
        <v>85</v>
      </c>
      <c r="K57" t="s">
        <v>85</v>
      </c>
      <c r="L57" t="s">
        <v>85</v>
      </c>
      <c r="M57" t="s">
        <v>12</v>
      </c>
      <c r="N57" t="s">
        <v>86</v>
      </c>
      <c r="O57" t="s">
        <v>28</v>
      </c>
      <c r="P57">
        <v>400</v>
      </c>
      <c r="Q57">
        <v>70</v>
      </c>
      <c r="R57">
        <v>15</v>
      </c>
      <c r="S57" t="s">
        <v>223</v>
      </c>
      <c r="T57" t="s">
        <v>32</v>
      </c>
    </row>
    <row r="58" spans="1:20" hidden="1" x14ac:dyDescent="0.2">
      <c r="A58">
        <v>57</v>
      </c>
      <c r="B58" t="s">
        <v>17</v>
      </c>
      <c r="C58" t="s">
        <v>32</v>
      </c>
      <c r="D58" t="s">
        <v>33</v>
      </c>
      <c r="E58">
        <v>28</v>
      </c>
      <c r="F58">
        <v>1</v>
      </c>
      <c r="G58">
        <v>1</v>
      </c>
      <c r="H58" t="s">
        <v>25</v>
      </c>
      <c r="I58" t="s">
        <v>224</v>
      </c>
      <c r="J58" t="s">
        <v>85</v>
      </c>
      <c r="K58" t="s">
        <v>85</v>
      </c>
      <c r="L58" t="s">
        <v>85</v>
      </c>
      <c r="M58" t="s">
        <v>27</v>
      </c>
      <c r="N58" t="s">
        <v>86</v>
      </c>
      <c r="O58" t="s">
        <v>28</v>
      </c>
      <c r="P58">
        <v>400</v>
      </c>
      <c r="Q58">
        <v>70</v>
      </c>
      <c r="R58">
        <v>15</v>
      </c>
      <c r="S58" t="s">
        <v>225</v>
      </c>
      <c r="T58" t="s">
        <v>32</v>
      </c>
    </row>
    <row r="59" spans="1:20" hidden="1" x14ac:dyDescent="0.2">
      <c r="A59">
        <v>58</v>
      </c>
      <c r="B59" t="s">
        <v>17</v>
      </c>
      <c r="C59" t="s">
        <v>32</v>
      </c>
      <c r="D59" t="s">
        <v>33</v>
      </c>
      <c r="E59">
        <v>42</v>
      </c>
      <c r="F59">
        <v>1</v>
      </c>
      <c r="G59">
        <v>1</v>
      </c>
      <c r="H59" t="s">
        <v>25</v>
      </c>
      <c r="I59" t="s">
        <v>226</v>
      </c>
      <c r="J59" t="s">
        <v>85</v>
      </c>
      <c r="K59" t="s">
        <v>85</v>
      </c>
      <c r="L59" t="s">
        <v>85</v>
      </c>
      <c r="M59" t="s">
        <v>12</v>
      </c>
      <c r="N59" t="s">
        <v>86</v>
      </c>
      <c r="O59" t="s">
        <v>28</v>
      </c>
      <c r="P59">
        <v>400</v>
      </c>
      <c r="Q59">
        <v>70</v>
      </c>
      <c r="R59">
        <v>15</v>
      </c>
      <c r="S59" t="s">
        <v>227</v>
      </c>
      <c r="T59" t="s">
        <v>32</v>
      </c>
    </row>
    <row r="60" spans="1:20" hidden="1" x14ac:dyDescent="0.2">
      <c r="A60">
        <v>59</v>
      </c>
      <c r="B60" t="s">
        <v>17</v>
      </c>
      <c r="C60" t="s">
        <v>32</v>
      </c>
      <c r="D60" t="s">
        <v>33</v>
      </c>
      <c r="E60">
        <v>56</v>
      </c>
      <c r="F60">
        <v>1</v>
      </c>
      <c r="G60">
        <v>1</v>
      </c>
      <c r="H60" t="s">
        <v>25</v>
      </c>
      <c r="I60" t="s">
        <v>228</v>
      </c>
      <c r="J60" t="s">
        <v>85</v>
      </c>
      <c r="K60" t="s">
        <v>85</v>
      </c>
      <c r="L60" t="s">
        <v>85</v>
      </c>
      <c r="M60" t="s">
        <v>27</v>
      </c>
      <c r="N60" t="s">
        <v>86</v>
      </c>
      <c r="O60" t="s">
        <v>28</v>
      </c>
      <c r="P60">
        <v>400</v>
      </c>
      <c r="Q60">
        <v>70</v>
      </c>
      <c r="R60">
        <v>15</v>
      </c>
      <c r="S60" t="s">
        <v>229</v>
      </c>
      <c r="T60" t="s">
        <v>32</v>
      </c>
    </row>
    <row r="61" spans="1:20" hidden="1" x14ac:dyDescent="0.2">
      <c r="A61">
        <v>60</v>
      </c>
      <c r="B61" t="s">
        <v>17</v>
      </c>
      <c r="C61" t="s">
        <v>32</v>
      </c>
      <c r="D61" t="s">
        <v>33</v>
      </c>
      <c r="E61">
        <v>70</v>
      </c>
      <c r="F61">
        <v>1</v>
      </c>
      <c r="G61">
        <v>1</v>
      </c>
      <c r="H61" t="s">
        <v>25</v>
      </c>
      <c r="I61" t="s">
        <v>230</v>
      </c>
      <c r="J61" t="s">
        <v>85</v>
      </c>
      <c r="K61" t="s">
        <v>85</v>
      </c>
      <c r="L61" t="s">
        <v>85</v>
      </c>
      <c r="M61" t="s">
        <v>12</v>
      </c>
      <c r="N61" t="s">
        <v>86</v>
      </c>
      <c r="O61" t="s">
        <v>28</v>
      </c>
      <c r="P61">
        <v>400</v>
      </c>
      <c r="Q61">
        <v>70</v>
      </c>
      <c r="R61">
        <v>15</v>
      </c>
      <c r="S61" t="s">
        <v>231</v>
      </c>
      <c r="T61" t="s">
        <v>32</v>
      </c>
    </row>
    <row r="62" spans="1:20" hidden="1" x14ac:dyDescent="0.2">
      <c r="A62">
        <v>61</v>
      </c>
      <c r="B62" t="s">
        <v>17</v>
      </c>
      <c r="C62" t="s">
        <v>32</v>
      </c>
      <c r="D62" t="s">
        <v>33</v>
      </c>
      <c r="E62">
        <v>77</v>
      </c>
      <c r="F62">
        <v>1</v>
      </c>
      <c r="G62">
        <v>1</v>
      </c>
      <c r="H62" t="s">
        <v>25</v>
      </c>
      <c r="I62" t="s">
        <v>232</v>
      </c>
      <c r="J62" t="s">
        <v>85</v>
      </c>
      <c r="K62" t="s">
        <v>85</v>
      </c>
      <c r="L62" t="s">
        <v>85</v>
      </c>
      <c r="M62" t="s">
        <v>27</v>
      </c>
      <c r="N62" t="s">
        <v>86</v>
      </c>
      <c r="O62" t="s">
        <v>28</v>
      </c>
      <c r="P62">
        <v>400</v>
      </c>
      <c r="Q62">
        <v>70</v>
      </c>
      <c r="R62">
        <v>15</v>
      </c>
      <c r="S62" t="s">
        <v>233</v>
      </c>
      <c r="T62" t="s">
        <v>32</v>
      </c>
    </row>
    <row r="63" spans="1:20" hidden="1" x14ac:dyDescent="0.2">
      <c r="A63">
        <v>62</v>
      </c>
      <c r="B63" t="s">
        <v>17</v>
      </c>
      <c r="C63" t="s">
        <v>32</v>
      </c>
      <c r="D63" t="s">
        <v>33</v>
      </c>
      <c r="E63">
        <v>84</v>
      </c>
      <c r="F63">
        <v>1</v>
      </c>
      <c r="G63">
        <v>1</v>
      </c>
      <c r="H63" t="s">
        <v>25</v>
      </c>
      <c r="I63" t="s">
        <v>234</v>
      </c>
      <c r="J63" t="s">
        <v>85</v>
      </c>
      <c r="K63" t="s">
        <v>85</v>
      </c>
      <c r="L63" t="s">
        <v>85</v>
      </c>
      <c r="M63" t="s">
        <v>12</v>
      </c>
      <c r="N63" t="s">
        <v>86</v>
      </c>
      <c r="O63" t="s">
        <v>28</v>
      </c>
      <c r="P63">
        <v>400</v>
      </c>
      <c r="Q63">
        <v>70</v>
      </c>
      <c r="R63">
        <v>15</v>
      </c>
      <c r="S63" t="s">
        <v>235</v>
      </c>
      <c r="T63" t="s">
        <v>32</v>
      </c>
    </row>
    <row r="64" spans="1:20" hidden="1" x14ac:dyDescent="0.2">
      <c r="A64">
        <v>63</v>
      </c>
      <c r="B64" t="s">
        <v>17</v>
      </c>
      <c r="C64" t="s">
        <v>40</v>
      </c>
      <c r="D64" t="s">
        <v>42</v>
      </c>
      <c r="E64">
        <v>0</v>
      </c>
      <c r="F64">
        <v>1</v>
      </c>
      <c r="G64">
        <v>1</v>
      </c>
      <c r="H64" t="s">
        <v>25</v>
      </c>
      <c r="I64" t="s">
        <v>236</v>
      </c>
      <c r="J64" t="s">
        <v>85</v>
      </c>
      <c r="K64" t="s">
        <v>85</v>
      </c>
      <c r="L64" t="s">
        <v>85</v>
      </c>
      <c r="M64" t="s">
        <v>27</v>
      </c>
      <c r="N64" t="s">
        <v>85</v>
      </c>
      <c r="O64" t="s">
        <v>28</v>
      </c>
      <c r="P64">
        <v>400</v>
      </c>
      <c r="Q64">
        <v>70</v>
      </c>
      <c r="R64">
        <v>15</v>
      </c>
      <c r="S64" t="s">
        <v>237</v>
      </c>
      <c r="T64" t="s">
        <v>40</v>
      </c>
    </row>
    <row r="65" spans="1:20" hidden="1" x14ac:dyDescent="0.2">
      <c r="A65">
        <v>64</v>
      </c>
      <c r="B65" t="s">
        <v>17</v>
      </c>
      <c r="C65" t="s">
        <v>40</v>
      </c>
      <c r="D65" t="s">
        <v>42</v>
      </c>
      <c r="E65">
        <v>14</v>
      </c>
      <c r="F65">
        <v>1</v>
      </c>
      <c r="G65">
        <v>1</v>
      </c>
      <c r="H65" t="s">
        <v>25</v>
      </c>
      <c r="I65" t="s">
        <v>238</v>
      </c>
      <c r="J65" t="s">
        <v>85</v>
      </c>
      <c r="K65" t="s">
        <v>85</v>
      </c>
      <c r="L65" t="s">
        <v>85</v>
      </c>
      <c r="M65" t="s">
        <v>12</v>
      </c>
      <c r="N65" t="s">
        <v>85</v>
      </c>
      <c r="O65" t="s">
        <v>28</v>
      </c>
      <c r="P65">
        <v>400</v>
      </c>
      <c r="Q65">
        <v>70</v>
      </c>
      <c r="R65">
        <v>15</v>
      </c>
      <c r="S65" t="s">
        <v>239</v>
      </c>
      <c r="T65" t="s">
        <v>40</v>
      </c>
    </row>
    <row r="66" spans="1:20" hidden="1" x14ac:dyDescent="0.2">
      <c r="A66">
        <v>65</v>
      </c>
      <c r="B66" t="s">
        <v>17</v>
      </c>
      <c r="C66" t="s">
        <v>40</v>
      </c>
      <c r="D66" t="s">
        <v>42</v>
      </c>
      <c r="E66">
        <v>28</v>
      </c>
      <c r="F66">
        <v>1</v>
      </c>
      <c r="G66">
        <v>1</v>
      </c>
      <c r="H66" t="s">
        <v>25</v>
      </c>
      <c r="I66" t="s">
        <v>240</v>
      </c>
      <c r="J66" t="s">
        <v>85</v>
      </c>
      <c r="K66" t="s">
        <v>85</v>
      </c>
      <c r="L66" t="s">
        <v>85</v>
      </c>
      <c r="M66" t="s">
        <v>27</v>
      </c>
      <c r="N66" t="s">
        <v>85</v>
      </c>
      <c r="O66" t="s">
        <v>28</v>
      </c>
      <c r="P66">
        <v>400</v>
      </c>
      <c r="Q66">
        <v>70</v>
      </c>
      <c r="R66">
        <v>15</v>
      </c>
      <c r="S66" t="s">
        <v>241</v>
      </c>
      <c r="T66" t="s">
        <v>40</v>
      </c>
    </row>
    <row r="67" spans="1:20" hidden="1" x14ac:dyDescent="0.2">
      <c r="A67">
        <v>66</v>
      </c>
      <c r="B67" t="s">
        <v>17</v>
      </c>
      <c r="C67" t="s">
        <v>40</v>
      </c>
      <c r="D67" t="s">
        <v>42</v>
      </c>
      <c r="E67">
        <v>42</v>
      </c>
      <c r="F67">
        <v>1</v>
      </c>
      <c r="G67">
        <v>1</v>
      </c>
      <c r="H67" t="s">
        <v>25</v>
      </c>
      <c r="I67" t="s">
        <v>242</v>
      </c>
      <c r="J67" t="s">
        <v>85</v>
      </c>
      <c r="K67" t="s">
        <v>85</v>
      </c>
      <c r="L67" t="s">
        <v>85</v>
      </c>
      <c r="M67" t="s">
        <v>12</v>
      </c>
      <c r="N67" t="s">
        <v>85</v>
      </c>
      <c r="O67" t="s">
        <v>28</v>
      </c>
      <c r="P67">
        <v>400</v>
      </c>
      <c r="Q67">
        <v>70</v>
      </c>
      <c r="R67">
        <v>15</v>
      </c>
      <c r="S67" t="s">
        <v>243</v>
      </c>
      <c r="T67" t="s">
        <v>40</v>
      </c>
    </row>
    <row r="68" spans="1:20" hidden="1" x14ac:dyDescent="0.2">
      <c r="A68">
        <v>67</v>
      </c>
      <c r="B68" t="s">
        <v>17</v>
      </c>
      <c r="C68" t="s">
        <v>40</v>
      </c>
      <c r="D68" t="s">
        <v>42</v>
      </c>
      <c r="E68">
        <v>56</v>
      </c>
      <c r="F68">
        <v>1</v>
      </c>
      <c r="G68">
        <v>1</v>
      </c>
      <c r="H68" t="s">
        <v>25</v>
      </c>
      <c r="I68" t="s">
        <v>244</v>
      </c>
      <c r="J68" t="s">
        <v>85</v>
      </c>
      <c r="K68" t="s">
        <v>85</v>
      </c>
      <c r="L68" t="s">
        <v>85</v>
      </c>
      <c r="M68" t="s">
        <v>27</v>
      </c>
      <c r="N68" t="s">
        <v>85</v>
      </c>
      <c r="O68" t="s">
        <v>28</v>
      </c>
      <c r="P68">
        <v>400</v>
      </c>
      <c r="Q68">
        <v>70</v>
      </c>
      <c r="R68">
        <v>15</v>
      </c>
      <c r="S68" t="s">
        <v>245</v>
      </c>
      <c r="T68" t="s">
        <v>40</v>
      </c>
    </row>
    <row r="69" spans="1:20" hidden="1" x14ac:dyDescent="0.2">
      <c r="A69">
        <v>68</v>
      </c>
      <c r="B69" t="s">
        <v>17</v>
      </c>
      <c r="C69" t="s">
        <v>40</v>
      </c>
      <c r="D69" t="s">
        <v>42</v>
      </c>
      <c r="E69">
        <v>70</v>
      </c>
      <c r="F69">
        <v>1</v>
      </c>
      <c r="G69">
        <v>1</v>
      </c>
      <c r="H69" t="s">
        <v>25</v>
      </c>
      <c r="I69" t="s">
        <v>246</v>
      </c>
      <c r="J69" t="s">
        <v>85</v>
      </c>
      <c r="K69" t="s">
        <v>85</v>
      </c>
      <c r="L69" t="s">
        <v>85</v>
      </c>
      <c r="M69" t="s">
        <v>12</v>
      </c>
      <c r="N69" t="s">
        <v>86</v>
      </c>
      <c r="O69" t="s">
        <v>28</v>
      </c>
      <c r="P69">
        <v>400</v>
      </c>
      <c r="Q69">
        <v>70</v>
      </c>
      <c r="R69">
        <v>15</v>
      </c>
      <c r="S69" t="s">
        <v>247</v>
      </c>
      <c r="T69" t="s">
        <v>40</v>
      </c>
    </row>
    <row r="70" spans="1:20" hidden="1" x14ac:dyDescent="0.2">
      <c r="A70">
        <v>69</v>
      </c>
      <c r="B70" t="s">
        <v>17</v>
      </c>
      <c r="C70" t="s">
        <v>40</v>
      </c>
      <c r="D70" t="s">
        <v>42</v>
      </c>
      <c r="E70">
        <v>84</v>
      </c>
      <c r="F70">
        <v>1</v>
      </c>
      <c r="G70">
        <v>1</v>
      </c>
      <c r="H70" t="s">
        <v>25</v>
      </c>
      <c r="I70" t="s">
        <v>248</v>
      </c>
      <c r="J70" t="s">
        <v>85</v>
      </c>
      <c r="K70" t="s">
        <v>85</v>
      </c>
      <c r="L70" t="s">
        <v>85</v>
      </c>
      <c r="M70" t="s">
        <v>27</v>
      </c>
      <c r="N70" t="s">
        <v>86</v>
      </c>
      <c r="O70" t="s">
        <v>28</v>
      </c>
      <c r="P70">
        <v>400</v>
      </c>
      <c r="Q70">
        <v>70</v>
      </c>
      <c r="R70">
        <v>15</v>
      </c>
      <c r="S70" t="s">
        <v>249</v>
      </c>
      <c r="T70" t="s">
        <v>40</v>
      </c>
    </row>
    <row r="71" spans="1:20" hidden="1" x14ac:dyDescent="0.2">
      <c r="A71">
        <v>70</v>
      </c>
      <c r="B71" t="s">
        <v>17</v>
      </c>
      <c r="C71" t="s">
        <v>40</v>
      </c>
      <c r="D71" t="s">
        <v>42</v>
      </c>
      <c r="E71">
        <v>98</v>
      </c>
      <c r="F71">
        <v>1</v>
      </c>
      <c r="G71">
        <v>1</v>
      </c>
      <c r="H71" t="s">
        <v>25</v>
      </c>
      <c r="I71" t="s">
        <v>250</v>
      </c>
      <c r="J71" t="s">
        <v>85</v>
      </c>
      <c r="K71" t="s">
        <v>85</v>
      </c>
      <c r="L71" t="s">
        <v>85</v>
      </c>
      <c r="M71" t="s">
        <v>27</v>
      </c>
      <c r="N71" t="s">
        <v>85</v>
      </c>
      <c r="O71" t="s">
        <v>28</v>
      </c>
      <c r="P71">
        <v>400</v>
      </c>
      <c r="Q71">
        <v>70</v>
      </c>
      <c r="R71">
        <v>15</v>
      </c>
      <c r="S71" t="s">
        <v>251</v>
      </c>
      <c r="T71" t="s">
        <v>40</v>
      </c>
    </row>
    <row r="72" spans="1:20" hidden="1" x14ac:dyDescent="0.2">
      <c r="A72">
        <v>71</v>
      </c>
      <c r="B72" t="s">
        <v>17</v>
      </c>
      <c r="C72" t="s">
        <v>40</v>
      </c>
      <c r="D72" t="s">
        <v>42</v>
      </c>
      <c r="E72">
        <v>112</v>
      </c>
      <c r="F72">
        <v>1</v>
      </c>
      <c r="G72">
        <v>1</v>
      </c>
      <c r="H72" t="s">
        <v>25</v>
      </c>
      <c r="I72" t="s">
        <v>252</v>
      </c>
      <c r="J72" t="s">
        <v>85</v>
      </c>
      <c r="K72" t="s">
        <v>85</v>
      </c>
      <c r="L72" t="s">
        <v>85</v>
      </c>
      <c r="M72" t="s">
        <v>27</v>
      </c>
      <c r="N72" t="s">
        <v>85</v>
      </c>
      <c r="O72" t="s">
        <v>28</v>
      </c>
      <c r="P72">
        <v>400</v>
      </c>
      <c r="Q72">
        <v>70</v>
      </c>
      <c r="R72">
        <v>15</v>
      </c>
      <c r="S72" t="s">
        <v>253</v>
      </c>
      <c r="T72" t="s">
        <v>40</v>
      </c>
    </row>
    <row r="73" spans="1:20" hidden="1" x14ac:dyDescent="0.2">
      <c r="A73">
        <v>72</v>
      </c>
      <c r="B73" t="s">
        <v>17</v>
      </c>
      <c r="C73" t="s">
        <v>40</v>
      </c>
      <c r="D73" t="s">
        <v>42</v>
      </c>
      <c r="E73">
        <v>126</v>
      </c>
      <c r="F73">
        <v>1</v>
      </c>
      <c r="G73">
        <v>1</v>
      </c>
      <c r="H73" t="s">
        <v>25</v>
      </c>
      <c r="I73" t="s">
        <v>254</v>
      </c>
      <c r="J73" t="s">
        <v>85</v>
      </c>
      <c r="K73" t="s">
        <v>85</v>
      </c>
      <c r="L73" t="s">
        <v>85</v>
      </c>
      <c r="M73" t="s">
        <v>12</v>
      </c>
      <c r="N73" t="s">
        <v>85</v>
      </c>
      <c r="O73" t="s">
        <v>28</v>
      </c>
      <c r="P73">
        <v>400</v>
      </c>
      <c r="Q73">
        <v>70</v>
      </c>
      <c r="R73">
        <v>15</v>
      </c>
      <c r="S73" t="s">
        <v>255</v>
      </c>
      <c r="T73" t="s">
        <v>40</v>
      </c>
    </row>
    <row r="74" spans="1:20" hidden="1" x14ac:dyDescent="0.2">
      <c r="A74">
        <v>73</v>
      </c>
      <c r="B74" t="s">
        <v>17</v>
      </c>
      <c r="C74" t="s">
        <v>40</v>
      </c>
      <c r="D74" t="s">
        <v>42</v>
      </c>
      <c r="E74">
        <v>140</v>
      </c>
      <c r="F74">
        <v>1</v>
      </c>
      <c r="G74">
        <v>1</v>
      </c>
      <c r="H74" t="s">
        <v>25</v>
      </c>
      <c r="I74" t="s">
        <v>256</v>
      </c>
      <c r="J74" t="s">
        <v>85</v>
      </c>
      <c r="K74" t="s">
        <v>85</v>
      </c>
      <c r="L74" t="s">
        <v>85</v>
      </c>
      <c r="M74" t="s">
        <v>27</v>
      </c>
      <c r="N74" t="s">
        <v>86</v>
      </c>
      <c r="O74" t="s">
        <v>28</v>
      </c>
      <c r="P74">
        <v>400</v>
      </c>
      <c r="Q74">
        <v>70</v>
      </c>
      <c r="R74">
        <v>15</v>
      </c>
      <c r="S74" t="s">
        <v>257</v>
      </c>
      <c r="T74" t="s">
        <v>40</v>
      </c>
    </row>
    <row r="75" spans="1:20" hidden="1" x14ac:dyDescent="0.2">
      <c r="A75">
        <v>74</v>
      </c>
      <c r="B75" t="s">
        <v>17</v>
      </c>
      <c r="C75" t="s">
        <v>40</v>
      </c>
      <c r="D75" t="s">
        <v>42</v>
      </c>
      <c r="E75">
        <v>154</v>
      </c>
      <c r="F75">
        <v>1</v>
      </c>
      <c r="G75">
        <v>1</v>
      </c>
      <c r="H75" t="s">
        <v>25</v>
      </c>
      <c r="I75" t="s">
        <v>258</v>
      </c>
      <c r="J75" t="s">
        <v>85</v>
      </c>
      <c r="K75" t="s">
        <v>85</v>
      </c>
      <c r="L75" t="s">
        <v>85</v>
      </c>
      <c r="M75" t="s">
        <v>27</v>
      </c>
      <c r="N75" t="s">
        <v>85</v>
      </c>
      <c r="O75" t="s">
        <v>28</v>
      </c>
      <c r="P75">
        <v>400</v>
      </c>
      <c r="Q75">
        <v>70</v>
      </c>
      <c r="R75">
        <v>15</v>
      </c>
      <c r="S75" t="s">
        <v>259</v>
      </c>
      <c r="T75" t="s">
        <v>40</v>
      </c>
    </row>
    <row r="76" spans="1:20" hidden="1" x14ac:dyDescent="0.2">
      <c r="A76">
        <v>75</v>
      </c>
      <c r="B76" t="s">
        <v>17</v>
      </c>
      <c r="C76" t="s">
        <v>40</v>
      </c>
      <c r="D76" t="s">
        <v>42</v>
      </c>
      <c r="E76">
        <v>168</v>
      </c>
      <c r="F76">
        <v>1</v>
      </c>
      <c r="G76">
        <v>1</v>
      </c>
      <c r="H76" t="s">
        <v>25</v>
      </c>
      <c r="I76" t="s">
        <v>260</v>
      </c>
      <c r="J76" t="s">
        <v>85</v>
      </c>
      <c r="K76" t="s">
        <v>85</v>
      </c>
      <c r="L76" t="s">
        <v>85</v>
      </c>
      <c r="M76" t="s">
        <v>27</v>
      </c>
      <c r="N76" t="s">
        <v>85</v>
      </c>
      <c r="O76" t="s">
        <v>28</v>
      </c>
      <c r="P76">
        <v>400</v>
      </c>
      <c r="Q76">
        <v>70</v>
      </c>
      <c r="R76">
        <v>15</v>
      </c>
      <c r="S76" t="s">
        <v>261</v>
      </c>
      <c r="T76" t="s">
        <v>40</v>
      </c>
    </row>
    <row r="77" spans="1:20" hidden="1" x14ac:dyDescent="0.2">
      <c r="A77">
        <v>76</v>
      </c>
      <c r="B77" t="s">
        <v>17</v>
      </c>
      <c r="C77" t="s">
        <v>40</v>
      </c>
      <c r="D77" t="s">
        <v>42</v>
      </c>
      <c r="E77">
        <v>182</v>
      </c>
      <c r="F77">
        <v>1</v>
      </c>
      <c r="G77">
        <v>1</v>
      </c>
      <c r="H77" t="s">
        <v>25</v>
      </c>
      <c r="I77" t="s">
        <v>262</v>
      </c>
      <c r="J77" t="s">
        <v>85</v>
      </c>
      <c r="K77" t="s">
        <v>85</v>
      </c>
      <c r="L77" t="s">
        <v>85</v>
      </c>
      <c r="M77" t="s">
        <v>12</v>
      </c>
      <c r="N77" t="s">
        <v>85</v>
      </c>
      <c r="O77" t="s">
        <v>28</v>
      </c>
      <c r="P77">
        <v>400</v>
      </c>
      <c r="Q77">
        <v>70</v>
      </c>
      <c r="R77">
        <v>15</v>
      </c>
      <c r="S77" t="s">
        <v>263</v>
      </c>
      <c r="T77" t="s">
        <v>40</v>
      </c>
    </row>
    <row r="78" spans="1:20" hidden="1" x14ac:dyDescent="0.2">
      <c r="A78">
        <v>77</v>
      </c>
      <c r="B78" t="s">
        <v>17</v>
      </c>
      <c r="C78" t="s">
        <v>40</v>
      </c>
      <c r="D78" t="s">
        <v>42</v>
      </c>
      <c r="E78">
        <v>196</v>
      </c>
      <c r="F78">
        <v>1</v>
      </c>
      <c r="G78">
        <v>1</v>
      </c>
      <c r="H78" t="s">
        <v>25</v>
      </c>
      <c r="I78" t="s">
        <v>264</v>
      </c>
      <c r="J78" t="s">
        <v>85</v>
      </c>
      <c r="K78" t="s">
        <v>85</v>
      </c>
      <c r="L78" t="s">
        <v>85</v>
      </c>
      <c r="M78" t="s">
        <v>27</v>
      </c>
      <c r="N78" t="s">
        <v>85</v>
      </c>
      <c r="O78" t="s">
        <v>28</v>
      </c>
      <c r="P78">
        <v>400</v>
      </c>
      <c r="Q78">
        <v>70</v>
      </c>
      <c r="R78">
        <v>15</v>
      </c>
      <c r="S78" t="s">
        <v>265</v>
      </c>
      <c r="T78" t="s">
        <v>40</v>
      </c>
    </row>
    <row r="79" spans="1:20" hidden="1" x14ac:dyDescent="0.2">
      <c r="A79">
        <v>78</v>
      </c>
      <c r="B79" t="s">
        <v>17</v>
      </c>
      <c r="C79" t="s">
        <v>40</v>
      </c>
      <c r="D79" t="s">
        <v>42</v>
      </c>
      <c r="E79">
        <v>210</v>
      </c>
      <c r="F79">
        <v>1</v>
      </c>
      <c r="G79">
        <v>1</v>
      </c>
      <c r="H79" t="s">
        <v>25</v>
      </c>
      <c r="I79" t="s">
        <v>264</v>
      </c>
      <c r="J79" t="s">
        <v>85</v>
      </c>
      <c r="K79" t="s">
        <v>85</v>
      </c>
      <c r="L79" t="s">
        <v>85</v>
      </c>
      <c r="M79" t="s">
        <v>12</v>
      </c>
      <c r="N79" t="s">
        <v>85</v>
      </c>
      <c r="O79" t="s">
        <v>28</v>
      </c>
      <c r="P79">
        <v>400</v>
      </c>
      <c r="Q79">
        <v>70</v>
      </c>
      <c r="R79">
        <v>15</v>
      </c>
      <c r="S79" t="s">
        <v>266</v>
      </c>
      <c r="T79" t="s">
        <v>40</v>
      </c>
    </row>
    <row r="80" spans="1:20" hidden="1" x14ac:dyDescent="0.2">
      <c r="A80">
        <v>79</v>
      </c>
      <c r="B80" t="s">
        <v>17</v>
      </c>
      <c r="C80" t="s">
        <v>40</v>
      </c>
      <c r="D80" t="s">
        <v>42</v>
      </c>
      <c r="E80">
        <v>233</v>
      </c>
      <c r="F80">
        <v>1</v>
      </c>
      <c r="G80">
        <v>1</v>
      </c>
      <c r="H80" t="s">
        <v>25</v>
      </c>
      <c r="I80" t="s">
        <v>267</v>
      </c>
      <c r="J80" t="s">
        <v>85</v>
      </c>
      <c r="K80" t="s">
        <v>85</v>
      </c>
      <c r="L80" t="s">
        <v>85</v>
      </c>
      <c r="M80" t="s">
        <v>27</v>
      </c>
      <c r="N80" t="s">
        <v>85</v>
      </c>
      <c r="O80" t="s">
        <v>28</v>
      </c>
      <c r="P80">
        <v>400</v>
      </c>
      <c r="Q80">
        <v>70</v>
      </c>
      <c r="R80">
        <v>15</v>
      </c>
      <c r="S80" t="s">
        <v>268</v>
      </c>
      <c r="T80" t="s">
        <v>40</v>
      </c>
    </row>
    <row r="81" spans="1:20" hidden="1" x14ac:dyDescent="0.2">
      <c r="A81">
        <v>80</v>
      </c>
      <c r="B81" t="s">
        <v>17</v>
      </c>
      <c r="C81" t="s">
        <v>47</v>
      </c>
      <c r="D81" t="s">
        <v>48</v>
      </c>
      <c r="E81">
        <v>0</v>
      </c>
      <c r="F81">
        <v>1</v>
      </c>
      <c r="G81">
        <v>1</v>
      </c>
      <c r="H81" t="s">
        <v>25</v>
      </c>
      <c r="I81" t="s">
        <v>269</v>
      </c>
      <c r="J81" t="s">
        <v>85</v>
      </c>
      <c r="K81" t="s">
        <v>85</v>
      </c>
      <c r="L81" t="s">
        <v>85</v>
      </c>
      <c r="M81" t="s">
        <v>27</v>
      </c>
      <c r="N81" t="s">
        <v>270</v>
      </c>
      <c r="O81" t="s">
        <v>28</v>
      </c>
      <c r="P81">
        <v>400</v>
      </c>
      <c r="Q81">
        <v>70</v>
      </c>
      <c r="R81">
        <v>15</v>
      </c>
      <c r="S81" t="s">
        <v>271</v>
      </c>
      <c r="T81" t="s">
        <v>47</v>
      </c>
    </row>
    <row r="82" spans="1:20" hidden="1" x14ac:dyDescent="0.2">
      <c r="A82">
        <v>81</v>
      </c>
      <c r="B82" t="s">
        <v>17</v>
      </c>
      <c r="C82" t="s">
        <v>47</v>
      </c>
      <c r="D82" t="s">
        <v>48</v>
      </c>
      <c r="E82">
        <v>14</v>
      </c>
      <c r="F82">
        <v>1</v>
      </c>
      <c r="G82">
        <v>1</v>
      </c>
      <c r="H82" t="s">
        <v>25</v>
      </c>
      <c r="I82" t="s">
        <v>272</v>
      </c>
      <c r="J82" t="s">
        <v>85</v>
      </c>
      <c r="K82" t="s">
        <v>85</v>
      </c>
      <c r="L82" t="s">
        <v>85</v>
      </c>
      <c r="M82" t="s">
        <v>12</v>
      </c>
      <c r="N82" t="s">
        <v>270</v>
      </c>
      <c r="O82" t="s">
        <v>28</v>
      </c>
      <c r="P82">
        <v>400</v>
      </c>
      <c r="Q82">
        <v>70</v>
      </c>
      <c r="R82">
        <v>15</v>
      </c>
      <c r="S82" t="s">
        <v>273</v>
      </c>
      <c r="T82" t="s">
        <v>47</v>
      </c>
    </row>
    <row r="83" spans="1:20" hidden="1" x14ac:dyDescent="0.2">
      <c r="A83">
        <v>82</v>
      </c>
      <c r="B83" t="s">
        <v>17</v>
      </c>
      <c r="C83" t="s">
        <v>47</v>
      </c>
      <c r="D83" t="s">
        <v>48</v>
      </c>
      <c r="E83">
        <v>28</v>
      </c>
      <c r="F83">
        <v>1</v>
      </c>
      <c r="G83">
        <v>1</v>
      </c>
      <c r="H83" t="s">
        <v>25</v>
      </c>
      <c r="I83" t="s">
        <v>274</v>
      </c>
      <c r="J83" t="s">
        <v>85</v>
      </c>
      <c r="K83" t="s">
        <v>85</v>
      </c>
      <c r="L83" t="s">
        <v>85</v>
      </c>
      <c r="M83" t="s">
        <v>27</v>
      </c>
      <c r="N83" t="s">
        <v>270</v>
      </c>
      <c r="O83" t="s">
        <v>28</v>
      </c>
      <c r="P83">
        <v>400</v>
      </c>
      <c r="Q83">
        <v>70</v>
      </c>
      <c r="R83">
        <v>15</v>
      </c>
      <c r="S83" t="s">
        <v>275</v>
      </c>
      <c r="T83" t="s">
        <v>47</v>
      </c>
    </row>
    <row r="84" spans="1:20" hidden="1" x14ac:dyDescent="0.2">
      <c r="A84">
        <v>83</v>
      </c>
      <c r="B84" t="s">
        <v>17</v>
      </c>
      <c r="C84" t="s">
        <v>47</v>
      </c>
      <c r="D84" t="s">
        <v>48</v>
      </c>
      <c r="E84">
        <v>42</v>
      </c>
      <c r="F84">
        <v>1</v>
      </c>
      <c r="G84">
        <v>1</v>
      </c>
      <c r="H84" t="s">
        <v>25</v>
      </c>
      <c r="I84" t="s">
        <v>276</v>
      </c>
      <c r="J84" t="s">
        <v>85</v>
      </c>
      <c r="K84" t="s">
        <v>85</v>
      </c>
      <c r="L84" t="s">
        <v>85</v>
      </c>
      <c r="M84" t="s">
        <v>12</v>
      </c>
      <c r="N84" t="s">
        <v>270</v>
      </c>
      <c r="O84" t="s">
        <v>28</v>
      </c>
      <c r="P84">
        <v>400</v>
      </c>
      <c r="Q84">
        <v>70</v>
      </c>
      <c r="R84">
        <v>15</v>
      </c>
      <c r="S84" t="s">
        <v>277</v>
      </c>
      <c r="T84" t="s">
        <v>47</v>
      </c>
    </row>
    <row r="85" spans="1:20" hidden="1" x14ac:dyDescent="0.2">
      <c r="A85">
        <v>84</v>
      </c>
      <c r="B85" t="s">
        <v>17</v>
      </c>
      <c r="C85" t="s">
        <v>47</v>
      </c>
      <c r="D85" t="s">
        <v>48</v>
      </c>
      <c r="E85">
        <v>56</v>
      </c>
      <c r="F85">
        <v>1</v>
      </c>
      <c r="G85">
        <v>1</v>
      </c>
      <c r="H85" t="s">
        <v>25</v>
      </c>
      <c r="I85" t="s">
        <v>278</v>
      </c>
      <c r="J85" t="s">
        <v>85</v>
      </c>
      <c r="K85" t="s">
        <v>85</v>
      </c>
      <c r="L85" t="s">
        <v>85</v>
      </c>
      <c r="M85" t="s">
        <v>27</v>
      </c>
      <c r="N85" t="s">
        <v>270</v>
      </c>
      <c r="O85" t="s">
        <v>28</v>
      </c>
      <c r="P85">
        <v>400</v>
      </c>
      <c r="Q85">
        <v>70</v>
      </c>
      <c r="R85">
        <v>15</v>
      </c>
      <c r="S85" t="s">
        <v>279</v>
      </c>
      <c r="T85" t="s">
        <v>47</v>
      </c>
    </row>
    <row r="86" spans="1:20" hidden="1" x14ac:dyDescent="0.2">
      <c r="A86">
        <v>85</v>
      </c>
      <c r="B86" t="s">
        <v>17</v>
      </c>
      <c r="C86" t="s">
        <v>47</v>
      </c>
      <c r="D86" t="s">
        <v>48</v>
      </c>
      <c r="E86">
        <v>70</v>
      </c>
      <c r="F86">
        <v>1</v>
      </c>
      <c r="G86">
        <v>1</v>
      </c>
      <c r="H86" t="s">
        <v>25</v>
      </c>
      <c r="I86" t="s">
        <v>280</v>
      </c>
      <c r="J86" t="s">
        <v>85</v>
      </c>
      <c r="K86" t="s">
        <v>85</v>
      </c>
      <c r="L86" t="s">
        <v>85</v>
      </c>
      <c r="M86" t="s">
        <v>12</v>
      </c>
      <c r="N86" t="s">
        <v>270</v>
      </c>
      <c r="O86" t="s">
        <v>28</v>
      </c>
      <c r="P86">
        <v>400</v>
      </c>
      <c r="Q86">
        <v>70</v>
      </c>
      <c r="R86">
        <v>15</v>
      </c>
      <c r="S86" t="s">
        <v>281</v>
      </c>
      <c r="T86" t="s">
        <v>47</v>
      </c>
    </row>
    <row r="87" spans="1:20" hidden="1" x14ac:dyDescent="0.2">
      <c r="A87">
        <v>86</v>
      </c>
      <c r="B87" t="s">
        <v>17</v>
      </c>
      <c r="C87" t="s">
        <v>47</v>
      </c>
      <c r="D87" t="s">
        <v>48</v>
      </c>
      <c r="E87">
        <v>84</v>
      </c>
      <c r="F87">
        <v>1</v>
      </c>
      <c r="G87">
        <v>1</v>
      </c>
      <c r="H87" t="s">
        <v>25</v>
      </c>
      <c r="I87" t="s">
        <v>282</v>
      </c>
      <c r="J87" t="s">
        <v>85</v>
      </c>
      <c r="K87" t="s">
        <v>85</v>
      </c>
      <c r="L87" t="s">
        <v>85</v>
      </c>
      <c r="M87" t="s">
        <v>27</v>
      </c>
      <c r="N87" t="s">
        <v>270</v>
      </c>
      <c r="O87" t="s">
        <v>28</v>
      </c>
      <c r="P87">
        <v>400</v>
      </c>
      <c r="Q87">
        <v>70</v>
      </c>
      <c r="R87">
        <v>15</v>
      </c>
      <c r="S87" t="s">
        <v>283</v>
      </c>
      <c r="T87" t="s">
        <v>47</v>
      </c>
    </row>
    <row r="88" spans="1:20" hidden="1" x14ac:dyDescent="0.2">
      <c r="A88">
        <v>87</v>
      </c>
      <c r="B88" t="s">
        <v>17</v>
      </c>
      <c r="C88" t="s">
        <v>47</v>
      </c>
      <c r="D88" t="s">
        <v>48</v>
      </c>
      <c r="E88">
        <v>98</v>
      </c>
      <c r="F88">
        <v>1</v>
      </c>
      <c r="G88">
        <v>1</v>
      </c>
      <c r="H88" t="s">
        <v>25</v>
      </c>
      <c r="I88" t="s">
        <v>284</v>
      </c>
      <c r="J88" t="s">
        <v>85</v>
      </c>
      <c r="K88" t="s">
        <v>85</v>
      </c>
      <c r="L88" t="s">
        <v>85</v>
      </c>
      <c r="M88" t="s">
        <v>12</v>
      </c>
      <c r="N88" t="s">
        <v>270</v>
      </c>
      <c r="O88" t="s">
        <v>28</v>
      </c>
      <c r="P88">
        <v>400</v>
      </c>
      <c r="Q88">
        <v>70</v>
      </c>
      <c r="R88">
        <v>15</v>
      </c>
      <c r="S88" t="s">
        <v>285</v>
      </c>
      <c r="T88" t="s">
        <v>47</v>
      </c>
    </row>
    <row r="89" spans="1:20" hidden="1" x14ac:dyDescent="0.2">
      <c r="A89">
        <v>88</v>
      </c>
      <c r="B89" t="s">
        <v>17</v>
      </c>
      <c r="C89" t="s">
        <v>47</v>
      </c>
      <c r="D89" t="s">
        <v>48</v>
      </c>
      <c r="E89">
        <v>112</v>
      </c>
      <c r="F89">
        <v>1</v>
      </c>
      <c r="G89">
        <v>1</v>
      </c>
      <c r="H89" t="s">
        <v>25</v>
      </c>
      <c r="I89" t="s">
        <v>286</v>
      </c>
      <c r="J89" t="s">
        <v>85</v>
      </c>
      <c r="K89" t="s">
        <v>85</v>
      </c>
      <c r="L89" t="s">
        <v>85</v>
      </c>
      <c r="M89" t="s">
        <v>27</v>
      </c>
      <c r="N89" t="s">
        <v>270</v>
      </c>
      <c r="O89" t="s">
        <v>28</v>
      </c>
      <c r="P89">
        <v>400</v>
      </c>
      <c r="Q89">
        <v>70</v>
      </c>
      <c r="R89">
        <v>15</v>
      </c>
      <c r="S89" t="s">
        <v>287</v>
      </c>
      <c r="T89" t="s">
        <v>47</v>
      </c>
    </row>
    <row r="90" spans="1:20" hidden="1" x14ac:dyDescent="0.2">
      <c r="A90">
        <v>89</v>
      </c>
      <c r="B90" t="s">
        <v>17</v>
      </c>
      <c r="C90" t="s">
        <v>47</v>
      </c>
      <c r="D90" t="s">
        <v>48</v>
      </c>
      <c r="E90">
        <v>126</v>
      </c>
      <c r="F90">
        <v>1</v>
      </c>
      <c r="G90">
        <v>1</v>
      </c>
      <c r="H90" t="s">
        <v>26</v>
      </c>
      <c r="I90" t="s">
        <v>288</v>
      </c>
      <c r="J90" t="s">
        <v>85</v>
      </c>
      <c r="K90" t="s">
        <v>85</v>
      </c>
      <c r="L90" t="s">
        <v>85</v>
      </c>
      <c r="M90" t="s">
        <v>12</v>
      </c>
      <c r="N90" t="s">
        <v>270</v>
      </c>
      <c r="O90" t="s">
        <v>28</v>
      </c>
      <c r="P90">
        <v>400</v>
      </c>
      <c r="Q90">
        <v>70</v>
      </c>
      <c r="R90">
        <v>15</v>
      </c>
      <c r="S90" t="s">
        <v>289</v>
      </c>
      <c r="T90" t="s">
        <v>47</v>
      </c>
    </row>
    <row r="91" spans="1:20" hidden="1" x14ac:dyDescent="0.2">
      <c r="A91">
        <v>90</v>
      </c>
      <c r="B91" t="s">
        <v>17</v>
      </c>
      <c r="C91" t="s">
        <v>47</v>
      </c>
      <c r="D91" t="s">
        <v>48</v>
      </c>
      <c r="E91">
        <v>140</v>
      </c>
      <c r="F91">
        <v>1</v>
      </c>
      <c r="G91">
        <v>1</v>
      </c>
      <c r="H91" t="s">
        <v>26</v>
      </c>
      <c r="I91" t="s">
        <v>290</v>
      </c>
      <c r="J91" t="s">
        <v>85</v>
      </c>
      <c r="K91" t="s">
        <v>85</v>
      </c>
      <c r="L91" t="s">
        <v>85</v>
      </c>
      <c r="M91" t="s">
        <v>27</v>
      </c>
      <c r="N91" t="s">
        <v>270</v>
      </c>
      <c r="O91" t="s">
        <v>28</v>
      </c>
      <c r="P91">
        <v>400</v>
      </c>
      <c r="Q91">
        <v>70</v>
      </c>
      <c r="R91">
        <v>15</v>
      </c>
      <c r="S91" t="s">
        <v>291</v>
      </c>
      <c r="T91" t="s">
        <v>47</v>
      </c>
    </row>
    <row r="92" spans="1:20" hidden="1" x14ac:dyDescent="0.2">
      <c r="A92">
        <v>91</v>
      </c>
      <c r="B92" t="s">
        <v>17</v>
      </c>
      <c r="C92" t="s">
        <v>47</v>
      </c>
      <c r="D92" t="s">
        <v>48</v>
      </c>
      <c r="E92">
        <v>154</v>
      </c>
      <c r="F92">
        <v>1</v>
      </c>
      <c r="G92">
        <v>1</v>
      </c>
      <c r="H92" t="s">
        <v>26</v>
      </c>
      <c r="I92" t="s">
        <v>292</v>
      </c>
      <c r="J92" t="s">
        <v>85</v>
      </c>
      <c r="K92" t="s">
        <v>85</v>
      </c>
      <c r="L92" t="s">
        <v>85</v>
      </c>
      <c r="M92" t="s">
        <v>12</v>
      </c>
      <c r="N92" t="s">
        <v>270</v>
      </c>
      <c r="O92" t="s">
        <v>28</v>
      </c>
      <c r="P92">
        <v>400</v>
      </c>
      <c r="Q92">
        <v>70</v>
      </c>
      <c r="R92">
        <v>15</v>
      </c>
      <c r="S92" t="s">
        <v>293</v>
      </c>
      <c r="T92" t="s">
        <v>47</v>
      </c>
    </row>
    <row r="93" spans="1:20" hidden="1" x14ac:dyDescent="0.2">
      <c r="A93">
        <v>92</v>
      </c>
      <c r="B93" t="s">
        <v>17</v>
      </c>
      <c r="C93" t="s">
        <v>47</v>
      </c>
      <c r="D93" t="s">
        <v>48</v>
      </c>
      <c r="E93">
        <v>168</v>
      </c>
      <c r="F93">
        <v>1</v>
      </c>
      <c r="G93">
        <v>1</v>
      </c>
      <c r="H93" t="s">
        <v>26</v>
      </c>
      <c r="I93" t="s">
        <v>294</v>
      </c>
      <c r="J93" t="s">
        <v>85</v>
      </c>
      <c r="K93" t="s">
        <v>85</v>
      </c>
      <c r="L93" t="s">
        <v>85</v>
      </c>
      <c r="M93" t="s">
        <v>27</v>
      </c>
      <c r="N93" t="s">
        <v>270</v>
      </c>
      <c r="O93" t="s">
        <v>28</v>
      </c>
      <c r="P93">
        <v>400</v>
      </c>
      <c r="Q93">
        <v>70</v>
      </c>
      <c r="R93">
        <v>15</v>
      </c>
      <c r="S93" t="s">
        <v>295</v>
      </c>
      <c r="T93" t="s">
        <v>47</v>
      </c>
    </row>
    <row r="94" spans="1:20" hidden="1" x14ac:dyDescent="0.2">
      <c r="A94">
        <v>93</v>
      </c>
      <c r="B94" t="s">
        <v>17</v>
      </c>
      <c r="C94" t="s">
        <v>47</v>
      </c>
      <c r="D94" t="s">
        <v>48</v>
      </c>
      <c r="E94">
        <v>182</v>
      </c>
      <c r="F94">
        <v>1</v>
      </c>
      <c r="G94">
        <v>1</v>
      </c>
      <c r="H94" t="s">
        <v>26</v>
      </c>
      <c r="I94" t="s">
        <v>296</v>
      </c>
      <c r="J94" t="s">
        <v>85</v>
      </c>
      <c r="K94" t="s">
        <v>85</v>
      </c>
      <c r="L94" t="s">
        <v>85</v>
      </c>
      <c r="M94" t="s">
        <v>12</v>
      </c>
      <c r="N94" t="s">
        <v>270</v>
      </c>
      <c r="O94" t="s">
        <v>28</v>
      </c>
      <c r="P94">
        <v>400</v>
      </c>
      <c r="Q94">
        <v>70</v>
      </c>
      <c r="R94">
        <v>15</v>
      </c>
      <c r="S94" t="s">
        <v>297</v>
      </c>
      <c r="T94" t="s">
        <v>47</v>
      </c>
    </row>
    <row r="95" spans="1:20" hidden="1" x14ac:dyDescent="0.2">
      <c r="A95">
        <v>94</v>
      </c>
      <c r="B95" t="s">
        <v>17</v>
      </c>
      <c r="C95" t="s">
        <v>47</v>
      </c>
      <c r="D95" t="s">
        <v>48</v>
      </c>
      <c r="E95">
        <v>196</v>
      </c>
      <c r="F95">
        <v>1</v>
      </c>
      <c r="G95">
        <v>1</v>
      </c>
      <c r="H95" t="s">
        <v>26</v>
      </c>
      <c r="I95" t="s">
        <v>298</v>
      </c>
      <c r="J95" t="s">
        <v>85</v>
      </c>
      <c r="K95" t="s">
        <v>85</v>
      </c>
      <c r="L95" t="s">
        <v>85</v>
      </c>
      <c r="M95" t="s">
        <v>27</v>
      </c>
      <c r="N95" t="s">
        <v>270</v>
      </c>
      <c r="O95" t="s">
        <v>28</v>
      </c>
      <c r="P95">
        <v>400</v>
      </c>
      <c r="Q95">
        <v>70</v>
      </c>
      <c r="R95">
        <v>15</v>
      </c>
      <c r="S95" t="s">
        <v>299</v>
      </c>
      <c r="T95" t="s">
        <v>47</v>
      </c>
    </row>
    <row r="96" spans="1:20" hidden="1" x14ac:dyDescent="0.2">
      <c r="A96">
        <v>95</v>
      </c>
      <c r="B96" t="s">
        <v>17</v>
      </c>
      <c r="C96" t="s">
        <v>47</v>
      </c>
      <c r="D96" t="s">
        <v>48</v>
      </c>
      <c r="E96">
        <v>210</v>
      </c>
      <c r="F96">
        <v>1</v>
      </c>
      <c r="G96">
        <v>1</v>
      </c>
      <c r="H96" t="s">
        <v>26</v>
      </c>
      <c r="I96" t="s">
        <v>300</v>
      </c>
      <c r="J96" t="s">
        <v>85</v>
      </c>
      <c r="K96" t="s">
        <v>85</v>
      </c>
      <c r="L96" t="s">
        <v>85</v>
      </c>
      <c r="M96" t="s">
        <v>12</v>
      </c>
      <c r="N96" t="s">
        <v>270</v>
      </c>
      <c r="O96" t="s">
        <v>28</v>
      </c>
      <c r="P96">
        <v>400</v>
      </c>
      <c r="Q96">
        <v>70</v>
      </c>
      <c r="R96">
        <v>15</v>
      </c>
      <c r="S96" t="s">
        <v>301</v>
      </c>
      <c r="T96" t="s">
        <v>47</v>
      </c>
    </row>
    <row r="97" spans="1:20" hidden="1" x14ac:dyDescent="0.2">
      <c r="A97">
        <v>96</v>
      </c>
      <c r="B97" t="s">
        <v>17</v>
      </c>
      <c r="C97" t="s">
        <v>47</v>
      </c>
      <c r="D97" t="s">
        <v>48</v>
      </c>
      <c r="E97">
        <v>224</v>
      </c>
      <c r="F97">
        <v>1</v>
      </c>
      <c r="G97">
        <v>1</v>
      </c>
      <c r="H97" t="s">
        <v>26</v>
      </c>
      <c r="I97" t="s">
        <v>302</v>
      </c>
      <c r="J97" t="s">
        <v>85</v>
      </c>
      <c r="K97" t="s">
        <v>85</v>
      </c>
      <c r="L97" t="s">
        <v>85</v>
      </c>
      <c r="M97" t="s">
        <v>27</v>
      </c>
      <c r="N97" t="s">
        <v>270</v>
      </c>
      <c r="O97" t="s">
        <v>28</v>
      </c>
      <c r="P97">
        <v>400</v>
      </c>
      <c r="Q97">
        <v>70</v>
      </c>
      <c r="R97">
        <v>15</v>
      </c>
      <c r="S97" t="s">
        <v>303</v>
      </c>
      <c r="T97" t="s">
        <v>47</v>
      </c>
    </row>
    <row r="98" spans="1:20" hidden="1" x14ac:dyDescent="0.2">
      <c r="A98">
        <v>97</v>
      </c>
      <c r="B98" t="s">
        <v>17</v>
      </c>
      <c r="C98" t="s">
        <v>47</v>
      </c>
      <c r="D98" t="s">
        <v>48</v>
      </c>
      <c r="E98">
        <v>238</v>
      </c>
      <c r="F98">
        <v>1</v>
      </c>
      <c r="G98">
        <v>1</v>
      </c>
      <c r="H98" t="s">
        <v>26</v>
      </c>
      <c r="I98" t="s">
        <v>304</v>
      </c>
      <c r="J98" t="s">
        <v>85</v>
      </c>
      <c r="K98" t="s">
        <v>85</v>
      </c>
      <c r="L98" t="s">
        <v>85</v>
      </c>
      <c r="M98" t="s">
        <v>12</v>
      </c>
      <c r="N98" t="s">
        <v>270</v>
      </c>
      <c r="O98" t="s">
        <v>28</v>
      </c>
      <c r="P98">
        <v>400</v>
      </c>
      <c r="Q98">
        <v>70</v>
      </c>
      <c r="R98">
        <v>15</v>
      </c>
      <c r="S98" t="s">
        <v>305</v>
      </c>
      <c r="T98" t="s">
        <v>47</v>
      </c>
    </row>
    <row r="99" spans="1:20" hidden="1" x14ac:dyDescent="0.2">
      <c r="A99">
        <v>98</v>
      </c>
      <c r="B99" t="s">
        <v>17</v>
      </c>
      <c r="C99" t="s">
        <v>47</v>
      </c>
      <c r="D99" t="s">
        <v>48</v>
      </c>
      <c r="E99">
        <v>252</v>
      </c>
      <c r="F99">
        <v>1</v>
      </c>
      <c r="G99">
        <v>1</v>
      </c>
      <c r="H99" t="s">
        <v>26</v>
      </c>
      <c r="I99" t="s">
        <v>306</v>
      </c>
      <c r="J99" t="s">
        <v>85</v>
      </c>
      <c r="K99" t="s">
        <v>85</v>
      </c>
      <c r="L99" t="s">
        <v>85</v>
      </c>
      <c r="M99" t="s">
        <v>27</v>
      </c>
      <c r="N99" t="s">
        <v>270</v>
      </c>
      <c r="O99" t="s">
        <v>28</v>
      </c>
      <c r="P99">
        <v>400</v>
      </c>
      <c r="Q99">
        <v>70</v>
      </c>
      <c r="R99">
        <v>15</v>
      </c>
      <c r="S99" t="s">
        <v>307</v>
      </c>
      <c r="T99" t="s">
        <v>47</v>
      </c>
    </row>
    <row r="100" spans="1:20" hidden="1" x14ac:dyDescent="0.2">
      <c r="A100">
        <v>99</v>
      </c>
      <c r="B100" t="s">
        <v>17</v>
      </c>
      <c r="C100" t="s">
        <v>47</v>
      </c>
      <c r="D100" t="s">
        <v>48</v>
      </c>
      <c r="E100">
        <v>266</v>
      </c>
      <c r="F100">
        <v>1</v>
      </c>
      <c r="G100">
        <v>1</v>
      </c>
      <c r="H100" t="s">
        <v>26</v>
      </c>
      <c r="I100" t="s">
        <v>308</v>
      </c>
      <c r="J100" t="s">
        <v>85</v>
      </c>
      <c r="K100" t="s">
        <v>85</v>
      </c>
      <c r="L100" t="s">
        <v>85</v>
      </c>
      <c r="M100" t="s">
        <v>12</v>
      </c>
      <c r="N100" t="s">
        <v>270</v>
      </c>
      <c r="O100" t="s">
        <v>28</v>
      </c>
      <c r="P100">
        <v>400</v>
      </c>
      <c r="Q100">
        <v>70</v>
      </c>
      <c r="R100">
        <v>15</v>
      </c>
      <c r="S100" t="s">
        <v>309</v>
      </c>
      <c r="T100" t="s">
        <v>47</v>
      </c>
    </row>
    <row r="101" spans="1:20" hidden="1" x14ac:dyDescent="0.2">
      <c r="A101">
        <v>100</v>
      </c>
      <c r="B101" t="s">
        <v>17</v>
      </c>
      <c r="C101" t="s">
        <v>47</v>
      </c>
      <c r="D101" t="s">
        <v>48</v>
      </c>
      <c r="E101">
        <v>280</v>
      </c>
      <c r="F101">
        <v>1</v>
      </c>
      <c r="G101">
        <v>1</v>
      </c>
      <c r="H101" t="s">
        <v>26</v>
      </c>
      <c r="I101" t="s">
        <v>310</v>
      </c>
      <c r="J101" t="s">
        <v>85</v>
      </c>
      <c r="K101" t="s">
        <v>85</v>
      </c>
      <c r="L101" t="s">
        <v>85</v>
      </c>
      <c r="M101" t="s">
        <v>27</v>
      </c>
      <c r="N101" t="s">
        <v>270</v>
      </c>
      <c r="O101" t="s">
        <v>28</v>
      </c>
      <c r="P101">
        <v>400</v>
      </c>
      <c r="Q101">
        <v>70</v>
      </c>
      <c r="R101">
        <v>15</v>
      </c>
      <c r="S101" t="s">
        <v>311</v>
      </c>
      <c r="T101" t="s">
        <v>47</v>
      </c>
    </row>
    <row r="102" spans="1:20" hidden="1" x14ac:dyDescent="0.2">
      <c r="A102">
        <v>101</v>
      </c>
      <c r="B102" t="s">
        <v>17</v>
      </c>
      <c r="C102" t="s">
        <v>47</v>
      </c>
      <c r="D102" t="s">
        <v>48</v>
      </c>
      <c r="E102">
        <v>294</v>
      </c>
      <c r="F102">
        <v>1</v>
      </c>
      <c r="G102">
        <v>1</v>
      </c>
      <c r="H102" t="s">
        <v>26</v>
      </c>
      <c r="I102" t="s">
        <v>312</v>
      </c>
      <c r="J102" t="s">
        <v>85</v>
      </c>
      <c r="K102" t="s">
        <v>85</v>
      </c>
      <c r="L102" t="s">
        <v>85</v>
      </c>
      <c r="M102" t="s">
        <v>12</v>
      </c>
      <c r="N102" t="s">
        <v>270</v>
      </c>
      <c r="O102" t="s">
        <v>28</v>
      </c>
      <c r="P102">
        <v>400</v>
      </c>
      <c r="Q102">
        <v>70</v>
      </c>
      <c r="R102">
        <v>15</v>
      </c>
      <c r="S102" t="s">
        <v>313</v>
      </c>
      <c r="T102" t="s">
        <v>47</v>
      </c>
    </row>
    <row r="103" spans="1:20" hidden="1" x14ac:dyDescent="0.2">
      <c r="A103">
        <v>102</v>
      </c>
      <c r="B103" t="s">
        <v>17</v>
      </c>
      <c r="C103" t="s">
        <v>47</v>
      </c>
      <c r="D103" t="s">
        <v>48</v>
      </c>
      <c r="E103">
        <v>308</v>
      </c>
      <c r="F103">
        <v>1</v>
      </c>
      <c r="G103">
        <v>1</v>
      </c>
      <c r="H103" t="s">
        <v>26</v>
      </c>
      <c r="I103" t="s">
        <v>314</v>
      </c>
      <c r="J103" t="s">
        <v>85</v>
      </c>
      <c r="K103" t="s">
        <v>85</v>
      </c>
      <c r="L103" t="s">
        <v>85</v>
      </c>
      <c r="M103" t="s">
        <v>27</v>
      </c>
      <c r="N103" t="s">
        <v>270</v>
      </c>
      <c r="O103" t="s">
        <v>28</v>
      </c>
      <c r="P103">
        <v>400</v>
      </c>
      <c r="Q103">
        <v>70</v>
      </c>
      <c r="R103">
        <v>15</v>
      </c>
      <c r="S103" t="s">
        <v>315</v>
      </c>
      <c r="T103" t="s">
        <v>47</v>
      </c>
    </row>
    <row r="104" spans="1:20" hidden="1" x14ac:dyDescent="0.2">
      <c r="A104">
        <v>103</v>
      </c>
      <c r="B104" t="s">
        <v>17</v>
      </c>
      <c r="C104" t="s">
        <v>47</v>
      </c>
      <c r="D104" t="s">
        <v>48</v>
      </c>
      <c r="E104">
        <v>322</v>
      </c>
      <c r="F104">
        <v>1</v>
      </c>
      <c r="G104">
        <v>1</v>
      </c>
      <c r="H104" t="s">
        <v>26</v>
      </c>
      <c r="I104" t="s">
        <v>316</v>
      </c>
      <c r="J104" t="s">
        <v>85</v>
      </c>
      <c r="K104" t="s">
        <v>85</v>
      </c>
      <c r="L104" t="s">
        <v>85</v>
      </c>
      <c r="M104" t="s">
        <v>12</v>
      </c>
      <c r="N104" t="s">
        <v>270</v>
      </c>
      <c r="O104" t="s">
        <v>28</v>
      </c>
      <c r="P104">
        <v>400</v>
      </c>
      <c r="Q104">
        <v>70</v>
      </c>
      <c r="R104">
        <v>15</v>
      </c>
      <c r="S104" t="s">
        <v>317</v>
      </c>
      <c r="T104" t="s">
        <v>47</v>
      </c>
    </row>
    <row r="105" spans="1:20" hidden="1" x14ac:dyDescent="0.2">
      <c r="A105">
        <v>104</v>
      </c>
      <c r="B105" t="s">
        <v>17</v>
      </c>
      <c r="C105" t="s">
        <v>47</v>
      </c>
      <c r="D105" t="s">
        <v>48</v>
      </c>
      <c r="E105">
        <v>336</v>
      </c>
      <c r="F105">
        <v>1</v>
      </c>
      <c r="G105">
        <v>1</v>
      </c>
      <c r="H105" t="s">
        <v>26</v>
      </c>
      <c r="I105" t="s">
        <v>318</v>
      </c>
      <c r="J105" t="s">
        <v>85</v>
      </c>
      <c r="K105" t="s">
        <v>85</v>
      </c>
      <c r="L105" t="s">
        <v>85</v>
      </c>
      <c r="M105" t="s">
        <v>27</v>
      </c>
      <c r="N105" t="s">
        <v>270</v>
      </c>
      <c r="O105" t="s">
        <v>28</v>
      </c>
      <c r="P105">
        <v>400</v>
      </c>
      <c r="Q105">
        <v>70</v>
      </c>
      <c r="R105">
        <v>15</v>
      </c>
      <c r="S105" t="s">
        <v>319</v>
      </c>
      <c r="T105" t="s">
        <v>47</v>
      </c>
    </row>
    <row r="106" spans="1:20" hidden="1" x14ac:dyDescent="0.2">
      <c r="A106">
        <v>105</v>
      </c>
      <c r="B106" t="s">
        <v>17</v>
      </c>
      <c r="C106" t="s">
        <v>47</v>
      </c>
      <c r="D106" t="s">
        <v>48</v>
      </c>
      <c r="E106">
        <v>350</v>
      </c>
      <c r="F106">
        <v>1</v>
      </c>
      <c r="G106">
        <v>1</v>
      </c>
      <c r="H106" t="s">
        <v>26</v>
      </c>
      <c r="I106" t="s">
        <v>320</v>
      </c>
      <c r="J106" t="s">
        <v>85</v>
      </c>
      <c r="K106" t="s">
        <v>85</v>
      </c>
      <c r="L106" t="s">
        <v>85</v>
      </c>
      <c r="M106" t="s">
        <v>12</v>
      </c>
      <c r="N106" t="s">
        <v>270</v>
      </c>
      <c r="O106" t="s">
        <v>28</v>
      </c>
      <c r="P106">
        <v>400</v>
      </c>
      <c r="Q106">
        <v>70</v>
      </c>
      <c r="R106">
        <v>15</v>
      </c>
      <c r="S106" t="s">
        <v>321</v>
      </c>
      <c r="T106" t="s">
        <v>47</v>
      </c>
    </row>
    <row r="107" spans="1:20" hidden="1" x14ac:dyDescent="0.2">
      <c r="A107">
        <v>106</v>
      </c>
      <c r="B107" t="s">
        <v>17</v>
      </c>
      <c r="C107" t="s">
        <v>47</v>
      </c>
      <c r="D107" t="s">
        <v>48</v>
      </c>
      <c r="E107">
        <v>364</v>
      </c>
      <c r="F107">
        <v>1</v>
      </c>
      <c r="G107">
        <v>1</v>
      </c>
      <c r="H107" t="s">
        <v>26</v>
      </c>
      <c r="I107" t="s">
        <v>322</v>
      </c>
      <c r="J107" t="s">
        <v>85</v>
      </c>
      <c r="K107" t="s">
        <v>85</v>
      </c>
      <c r="L107" t="s">
        <v>85</v>
      </c>
      <c r="M107" t="s">
        <v>27</v>
      </c>
      <c r="N107" t="s">
        <v>270</v>
      </c>
      <c r="O107" t="s">
        <v>28</v>
      </c>
      <c r="P107">
        <v>400</v>
      </c>
      <c r="Q107">
        <v>70</v>
      </c>
      <c r="R107">
        <v>15</v>
      </c>
      <c r="S107" t="s">
        <v>323</v>
      </c>
      <c r="T107" t="s">
        <v>47</v>
      </c>
    </row>
    <row r="108" spans="1:20" hidden="1" x14ac:dyDescent="0.2">
      <c r="A108">
        <v>107</v>
      </c>
      <c r="B108" t="s">
        <v>17</v>
      </c>
      <c r="C108" t="s">
        <v>47</v>
      </c>
      <c r="D108" t="s">
        <v>48</v>
      </c>
      <c r="E108">
        <v>378</v>
      </c>
      <c r="F108">
        <v>1</v>
      </c>
      <c r="G108">
        <v>1</v>
      </c>
      <c r="H108" t="s">
        <v>26</v>
      </c>
      <c r="I108" t="s">
        <v>324</v>
      </c>
      <c r="J108" t="s">
        <v>85</v>
      </c>
      <c r="K108" t="s">
        <v>85</v>
      </c>
      <c r="L108" t="s">
        <v>85</v>
      </c>
      <c r="M108" t="s">
        <v>12</v>
      </c>
      <c r="N108" t="s">
        <v>270</v>
      </c>
      <c r="O108" t="s">
        <v>28</v>
      </c>
      <c r="P108">
        <v>400</v>
      </c>
      <c r="Q108">
        <v>70</v>
      </c>
      <c r="R108">
        <v>15</v>
      </c>
      <c r="S108" t="s">
        <v>325</v>
      </c>
      <c r="T108" t="s">
        <v>47</v>
      </c>
    </row>
    <row r="109" spans="1:20" hidden="1" x14ac:dyDescent="0.2">
      <c r="A109">
        <v>108</v>
      </c>
      <c r="B109" t="s">
        <v>17</v>
      </c>
      <c r="C109" t="s">
        <v>47</v>
      </c>
      <c r="D109" t="s">
        <v>48</v>
      </c>
      <c r="E109">
        <v>392</v>
      </c>
      <c r="F109">
        <v>1</v>
      </c>
      <c r="G109">
        <v>1</v>
      </c>
      <c r="H109" t="s">
        <v>26</v>
      </c>
      <c r="I109" t="s">
        <v>326</v>
      </c>
      <c r="J109" t="s">
        <v>85</v>
      </c>
      <c r="K109" t="s">
        <v>85</v>
      </c>
      <c r="L109" t="s">
        <v>85</v>
      </c>
      <c r="M109" t="s">
        <v>27</v>
      </c>
      <c r="N109" t="s">
        <v>270</v>
      </c>
      <c r="O109" t="s">
        <v>28</v>
      </c>
      <c r="P109">
        <v>400</v>
      </c>
      <c r="Q109">
        <v>70</v>
      </c>
      <c r="R109">
        <v>15</v>
      </c>
      <c r="S109" t="s">
        <v>327</v>
      </c>
      <c r="T109" t="s">
        <v>47</v>
      </c>
    </row>
    <row r="110" spans="1:20" x14ac:dyDescent="0.2">
      <c r="A110">
        <v>109</v>
      </c>
      <c r="B110" t="s">
        <v>17</v>
      </c>
      <c r="C110" t="s">
        <v>56</v>
      </c>
      <c r="D110" t="s">
        <v>50</v>
      </c>
      <c r="E110">
        <v>0</v>
      </c>
      <c r="F110">
        <v>1</v>
      </c>
      <c r="G110">
        <v>1</v>
      </c>
      <c r="H110" t="s">
        <v>25</v>
      </c>
      <c r="I110" t="s">
        <v>269</v>
      </c>
      <c r="J110" t="s">
        <v>85</v>
      </c>
      <c r="K110" t="s">
        <v>85</v>
      </c>
      <c r="L110" t="s">
        <v>85</v>
      </c>
      <c r="M110" t="s">
        <v>27</v>
      </c>
      <c r="N110" t="s">
        <v>270</v>
      </c>
      <c r="O110" t="s">
        <v>28</v>
      </c>
      <c r="P110">
        <v>400</v>
      </c>
      <c r="Q110">
        <v>70</v>
      </c>
      <c r="R110">
        <v>15</v>
      </c>
      <c r="S110" t="s">
        <v>328</v>
      </c>
      <c r="T110" t="s">
        <v>56</v>
      </c>
    </row>
    <row r="111" spans="1:20" x14ac:dyDescent="0.2">
      <c r="A111">
        <v>110</v>
      </c>
      <c r="B111" t="s">
        <v>17</v>
      </c>
      <c r="C111" t="s">
        <v>56</v>
      </c>
      <c r="D111" t="s">
        <v>50</v>
      </c>
      <c r="E111">
        <v>14</v>
      </c>
      <c r="F111">
        <v>1</v>
      </c>
      <c r="G111">
        <v>1</v>
      </c>
      <c r="H111" t="s">
        <v>25</v>
      </c>
      <c r="I111" t="s">
        <v>329</v>
      </c>
      <c r="J111" t="s">
        <v>85</v>
      </c>
      <c r="K111" t="s">
        <v>85</v>
      </c>
      <c r="L111" t="s">
        <v>85</v>
      </c>
      <c r="M111" t="s">
        <v>12</v>
      </c>
      <c r="N111" t="s">
        <v>270</v>
      </c>
      <c r="O111" t="s">
        <v>28</v>
      </c>
      <c r="P111">
        <v>400</v>
      </c>
      <c r="Q111">
        <v>70</v>
      </c>
      <c r="R111">
        <v>15</v>
      </c>
      <c r="S111" t="s">
        <v>330</v>
      </c>
      <c r="T111" t="s">
        <v>56</v>
      </c>
    </row>
    <row r="112" spans="1:20" x14ac:dyDescent="0.2">
      <c r="A112">
        <v>111</v>
      </c>
      <c r="B112" t="s">
        <v>17</v>
      </c>
      <c r="C112" t="s">
        <v>56</v>
      </c>
      <c r="D112" t="s">
        <v>50</v>
      </c>
      <c r="E112">
        <v>28</v>
      </c>
      <c r="F112">
        <v>1</v>
      </c>
      <c r="G112">
        <v>1</v>
      </c>
      <c r="H112" t="s">
        <v>25</v>
      </c>
      <c r="I112" t="s">
        <v>331</v>
      </c>
      <c r="J112" t="s">
        <v>85</v>
      </c>
      <c r="K112" t="s">
        <v>85</v>
      </c>
      <c r="L112" t="s">
        <v>85</v>
      </c>
      <c r="M112" t="s">
        <v>27</v>
      </c>
      <c r="N112" t="s">
        <v>270</v>
      </c>
      <c r="O112" t="s">
        <v>28</v>
      </c>
      <c r="P112">
        <v>400</v>
      </c>
      <c r="Q112">
        <v>70</v>
      </c>
      <c r="R112">
        <v>15</v>
      </c>
      <c r="S112" t="s">
        <v>332</v>
      </c>
      <c r="T112" t="s">
        <v>56</v>
      </c>
    </row>
    <row r="113" spans="1:20" x14ac:dyDescent="0.2">
      <c r="A113">
        <v>112</v>
      </c>
      <c r="B113" t="s">
        <v>17</v>
      </c>
      <c r="C113" t="s">
        <v>56</v>
      </c>
      <c r="D113" t="s">
        <v>50</v>
      </c>
      <c r="E113">
        <v>42</v>
      </c>
      <c r="F113">
        <v>1</v>
      </c>
      <c r="G113">
        <v>1</v>
      </c>
      <c r="H113" t="s">
        <v>25</v>
      </c>
      <c r="I113" t="s">
        <v>333</v>
      </c>
      <c r="J113" t="s">
        <v>85</v>
      </c>
      <c r="K113" t="s">
        <v>85</v>
      </c>
      <c r="L113" t="s">
        <v>85</v>
      </c>
      <c r="M113" t="s">
        <v>12</v>
      </c>
      <c r="N113" t="s">
        <v>270</v>
      </c>
      <c r="O113" t="s">
        <v>28</v>
      </c>
      <c r="P113">
        <v>400</v>
      </c>
      <c r="Q113">
        <v>70</v>
      </c>
      <c r="R113">
        <v>15</v>
      </c>
      <c r="S113" t="s">
        <v>334</v>
      </c>
      <c r="T113" t="s">
        <v>56</v>
      </c>
    </row>
    <row r="114" spans="1:20" x14ac:dyDescent="0.2">
      <c r="A114">
        <v>113</v>
      </c>
      <c r="B114" t="s">
        <v>17</v>
      </c>
      <c r="C114" t="s">
        <v>56</v>
      </c>
      <c r="D114" t="s">
        <v>50</v>
      </c>
      <c r="E114">
        <v>56</v>
      </c>
      <c r="F114">
        <v>1</v>
      </c>
      <c r="G114">
        <v>1</v>
      </c>
      <c r="H114" t="s">
        <v>25</v>
      </c>
      <c r="I114" t="s">
        <v>335</v>
      </c>
      <c r="J114" t="s">
        <v>85</v>
      </c>
      <c r="K114" t="s">
        <v>85</v>
      </c>
      <c r="L114" t="s">
        <v>85</v>
      </c>
      <c r="M114" t="s">
        <v>27</v>
      </c>
      <c r="N114" t="s">
        <v>270</v>
      </c>
      <c r="O114" t="s">
        <v>28</v>
      </c>
      <c r="P114">
        <v>400</v>
      </c>
      <c r="Q114">
        <v>70</v>
      </c>
      <c r="R114">
        <v>15</v>
      </c>
      <c r="S114" t="s">
        <v>336</v>
      </c>
      <c r="T114" t="s">
        <v>56</v>
      </c>
    </row>
    <row r="115" spans="1:20" x14ac:dyDescent="0.2">
      <c r="A115">
        <v>114</v>
      </c>
      <c r="B115" t="s">
        <v>17</v>
      </c>
      <c r="C115" t="s">
        <v>56</v>
      </c>
      <c r="D115" t="s">
        <v>50</v>
      </c>
      <c r="E115">
        <v>70</v>
      </c>
      <c r="F115">
        <v>1</v>
      </c>
      <c r="G115">
        <v>1</v>
      </c>
      <c r="H115" t="s">
        <v>25</v>
      </c>
      <c r="I115" t="s">
        <v>337</v>
      </c>
      <c r="J115" t="s">
        <v>85</v>
      </c>
      <c r="K115" t="s">
        <v>85</v>
      </c>
      <c r="L115" t="s">
        <v>85</v>
      </c>
      <c r="M115" t="s">
        <v>12</v>
      </c>
      <c r="N115" t="s">
        <v>270</v>
      </c>
      <c r="O115" t="s">
        <v>28</v>
      </c>
      <c r="P115">
        <v>400</v>
      </c>
      <c r="Q115">
        <v>70</v>
      </c>
      <c r="R115">
        <v>15</v>
      </c>
      <c r="S115" t="s">
        <v>338</v>
      </c>
      <c r="T115" t="s">
        <v>56</v>
      </c>
    </row>
    <row r="116" spans="1:20" x14ac:dyDescent="0.2">
      <c r="A116">
        <v>115</v>
      </c>
      <c r="B116" t="s">
        <v>17</v>
      </c>
      <c r="C116" t="s">
        <v>56</v>
      </c>
      <c r="D116" t="s">
        <v>50</v>
      </c>
      <c r="E116">
        <v>84</v>
      </c>
      <c r="F116">
        <v>1</v>
      </c>
      <c r="G116">
        <v>1</v>
      </c>
      <c r="H116" t="s">
        <v>25</v>
      </c>
      <c r="I116" t="s">
        <v>339</v>
      </c>
      <c r="J116" t="s">
        <v>85</v>
      </c>
      <c r="K116" t="s">
        <v>85</v>
      </c>
      <c r="L116" t="s">
        <v>85</v>
      </c>
      <c r="M116" t="s">
        <v>27</v>
      </c>
      <c r="N116" t="s">
        <v>270</v>
      </c>
      <c r="O116" t="s">
        <v>28</v>
      </c>
      <c r="P116">
        <v>400</v>
      </c>
      <c r="Q116">
        <v>70</v>
      </c>
      <c r="R116">
        <v>15</v>
      </c>
      <c r="S116" t="s">
        <v>340</v>
      </c>
      <c r="T116" t="s">
        <v>56</v>
      </c>
    </row>
    <row r="117" spans="1:20" x14ac:dyDescent="0.2">
      <c r="A117">
        <v>116</v>
      </c>
      <c r="B117" t="s">
        <v>17</v>
      </c>
      <c r="C117" t="s">
        <v>56</v>
      </c>
      <c r="D117" t="s">
        <v>50</v>
      </c>
      <c r="E117">
        <v>98</v>
      </c>
      <c r="F117">
        <v>1</v>
      </c>
      <c r="G117">
        <v>1</v>
      </c>
      <c r="H117" t="s">
        <v>25</v>
      </c>
      <c r="I117" t="s">
        <v>341</v>
      </c>
      <c r="J117" t="s">
        <v>85</v>
      </c>
      <c r="K117" t="s">
        <v>85</v>
      </c>
      <c r="L117" t="s">
        <v>85</v>
      </c>
      <c r="M117" t="s">
        <v>12</v>
      </c>
      <c r="N117" t="s">
        <v>270</v>
      </c>
      <c r="O117" t="s">
        <v>28</v>
      </c>
      <c r="P117">
        <v>400</v>
      </c>
      <c r="Q117">
        <v>70</v>
      </c>
      <c r="R117">
        <v>15</v>
      </c>
      <c r="S117" t="s">
        <v>342</v>
      </c>
      <c r="T117" t="s">
        <v>56</v>
      </c>
    </row>
    <row r="118" spans="1:20" x14ac:dyDescent="0.2">
      <c r="A118">
        <v>117</v>
      </c>
      <c r="B118" t="s">
        <v>17</v>
      </c>
      <c r="C118" t="s">
        <v>56</v>
      </c>
      <c r="D118" t="s">
        <v>50</v>
      </c>
      <c r="E118">
        <v>112</v>
      </c>
      <c r="F118">
        <v>1</v>
      </c>
      <c r="G118">
        <v>1</v>
      </c>
      <c r="H118" t="s">
        <v>25</v>
      </c>
      <c r="I118" t="s">
        <v>343</v>
      </c>
      <c r="J118" t="s">
        <v>85</v>
      </c>
      <c r="K118" t="s">
        <v>85</v>
      </c>
      <c r="L118" t="s">
        <v>85</v>
      </c>
      <c r="M118" t="s">
        <v>27</v>
      </c>
      <c r="N118" t="s">
        <v>270</v>
      </c>
      <c r="O118" t="s">
        <v>28</v>
      </c>
      <c r="P118">
        <v>400</v>
      </c>
      <c r="Q118">
        <v>70</v>
      </c>
      <c r="R118">
        <v>15</v>
      </c>
      <c r="S118" t="s">
        <v>344</v>
      </c>
      <c r="T118" t="s">
        <v>56</v>
      </c>
    </row>
    <row r="119" spans="1:20" x14ac:dyDescent="0.2">
      <c r="A119">
        <v>118</v>
      </c>
      <c r="B119" t="s">
        <v>17</v>
      </c>
      <c r="C119" t="s">
        <v>56</v>
      </c>
      <c r="D119" t="s">
        <v>50</v>
      </c>
      <c r="E119">
        <v>126</v>
      </c>
      <c r="F119">
        <v>1</v>
      </c>
      <c r="G119">
        <v>2</v>
      </c>
      <c r="H119" t="s">
        <v>26</v>
      </c>
      <c r="I119" t="s">
        <v>345</v>
      </c>
      <c r="J119" t="s">
        <v>85</v>
      </c>
      <c r="K119" t="s">
        <v>85</v>
      </c>
      <c r="L119" t="s">
        <v>85</v>
      </c>
      <c r="M119" t="s">
        <v>12</v>
      </c>
      <c r="N119" t="s">
        <v>270</v>
      </c>
      <c r="O119" t="s">
        <v>28</v>
      </c>
      <c r="P119">
        <v>400</v>
      </c>
      <c r="Q119">
        <v>70</v>
      </c>
      <c r="R119">
        <v>15</v>
      </c>
      <c r="S119" t="s">
        <v>346</v>
      </c>
      <c r="T119" t="s">
        <v>56</v>
      </c>
    </row>
    <row r="120" spans="1:20" x14ac:dyDescent="0.2">
      <c r="A120">
        <v>119</v>
      </c>
      <c r="B120" t="s">
        <v>17</v>
      </c>
      <c r="C120" t="s">
        <v>56</v>
      </c>
      <c r="D120" t="s">
        <v>31</v>
      </c>
      <c r="E120">
        <v>140</v>
      </c>
      <c r="F120">
        <v>2</v>
      </c>
      <c r="G120">
        <v>2</v>
      </c>
      <c r="H120" t="s">
        <v>26</v>
      </c>
      <c r="I120" t="s">
        <v>347</v>
      </c>
      <c r="J120" t="s">
        <v>348</v>
      </c>
      <c r="K120" t="s">
        <v>349</v>
      </c>
      <c r="L120" t="s">
        <v>349</v>
      </c>
      <c r="M120" t="s">
        <v>27</v>
      </c>
      <c r="N120" t="s">
        <v>270</v>
      </c>
      <c r="O120" t="s">
        <v>28</v>
      </c>
      <c r="P120">
        <v>400</v>
      </c>
      <c r="Q120">
        <v>70</v>
      </c>
      <c r="R120">
        <v>15</v>
      </c>
      <c r="S120" t="s">
        <v>350</v>
      </c>
      <c r="T120" t="s">
        <v>56</v>
      </c>
    </row>
    <row r="121" spans="1:20" x14ac:dyDescent="0.2">
      <c r="A121">
        <v>120</v>
      </c>
      <c r="B121" t="s">
        <v>17</v>
      </c>
      <c r="C121" t="s">
        <v>56</v>
      </c>
      <c r="D121" t="s">
        <v>31</v>
      </c>
      <c r="E121">
        <v>154</v>
      </c>
      <c r="F121">
        <v>2</v>
      </c>
      <c r="G121">
        <v>2</v>
      </c>
      <c r="H121" t="s">
        <v>26</v>
      </c>
      <c r="I121" t="s">
        <v>351</v>
      </c>
      <c r="J121" t="s">
        <v>89</v>
      </c>
      <c r="K121" t="s">
        <v>85</v>
      </c>
      <c r="L121" t="s">
        <v>89</v>
      </c>
      <c r="M121" t="s">
        <v>12</v>
      </c>
      <c r="N121" t="s">
        <v>270</v>
      </c>
      <c r="O121" t="s">
        <v>28</v>
      </c>
      <c r="P121">
        <v>400</v>
      </c>
      <c r="Q121">
        <v>70</v>
      </c>
      <c r="R121">
        <v>15</v>
      </c>
      <c r="S121" t="s">
        <v>352</v>
      </c>
      <c r="T121" t="s">
        <v>56</v>
      </c>
    </row>
    <row r="122" spans="1:20" x14ac:dyDescent="0.2">
      <c r="A122">
        <v>121</v>
      </c>
      <c r="B122" t="s">
        <v>17</v>
      </c>
      <c r="C122" t="s">
        <v>56</v>
      </c>
      <c r="D122" t="s">
        <v>31</v>
      </c>
      <c r="E122">
        <v>168</v>
      </c>
      <c r="F122">
        <v>2</v>
      </c>
      <c r="G122">
        <v>2</v>
      </c>
      <c r="H122" t="s">
        <v>26</v>
      </c>
      <c r="I122" t="s">
        <v>353</v>
      </c>
      <c r="J122" t="s">
        <v>354</v>
      </c>
      <c r="K122" t="s">
        <v>355</v>
      </c>
      <c r="L122" t="s">
        <v>356</v>
      </c>
      <c r="M122" t="s">
        <v>27</v>
      </c>
      <c r="N122" t="s">
        <v>270</v>
      </c>
      <c r="O122" t="s">
        <v>28</v>
      </c>
      <c r="P122">
        <v>400</v>
      </c>
      <c r="Q122">
        <v>70</v>
      </c>
      <c r="R122">
        <v>15</v>
      </c>
      <c r="S122" t="s">
        <v>357</v>
      </c>
      <c r="T122" t="s">
        <v>56</v>
      </c>
    </row>
    <row r="123" spans="1:20" x14ac:dyDescent="0.2">
      <c r="A123">
        <v>122</v>
      </c>
      <c r="B123" t="s">
        <v>17</v>
      </c>
      <c r="C123" t="s">
        <v>56</v>
      </c>
      <c r="D123" t="s">
        <v>31</v>
      </c>
      <c r="E123">
        <v>182</v>
      </c>
      <c r="F123">
        <v>2</v>
      </c>
      <c r="G123">
        <v>2</v>
      </c>
      <c r="H123" t="s">
        <v>26</v>
      </c>
      <c r="I123" t="s">
        <v>358</v>
      </c>
      <c r="J123" t="s">
        <v>89</v>
      </c>
      <c r="K123" t="s">
        <v>85</v>
      </c>
      <c r="L123" t="s">
        <v>89</v>
      </c>
      <c r="M123" t="s">
        <v>12</v>
      </c>
      <c r="N123" t="s">
        <v>270</v>
      </c>
      <c r="O123" t="s">
        <v>28</v>
      </c>
      <c r="P123">
        <v>400</v>
      </c>
      <c r="Q123">
        <v>70</v>
      </c>
      <c r="R123">
        <v>15</v>
      </c>
      <c r="S123" t="s">
        <v>359</v>
      </c>
      <c r="T123" t="s">
        <v>56</v>
      </c>
    </row>
    <row r="124" spans="1:20" x14ac:dyDescent="0.2">
      <c r="A124">
        <v>123</v>
      </c>
      <c r="B124" t="s">
        <v>17</v>
      </c>
      <c r="C124" t="s">
        <v>56</v>
      </c>
      <c r="D124" t="s">
        <v>31</v>
      </c>
      <c r="E124">
        <v>196</v>
      </c>
      <c r="F124">
        <v>2</v>
      </c>
      <c r="G124">
        <v>2</v>
      </c>
      <c r="H124" t="s">
        <v>26</v>
      </c>
      <c r="I124" t="s">
        <v>360</v>
      </c>
      <c r="J124" t="s">
        <v>361</v>
      </c>
      <c r="K124" t="s">
        <v>362</v>
      </c>
      <c r="L124" t="s">
        <v>363</v>
      </c>
      <c r="M124" t="s">
        <v>27</v>
      </c>
      <c r="N124" t="s">
        <v>270</v>
      </c>
      <c r="O124" t="s">
        <v>28</v>
      </c>
      <c r="P124">
        <v>400</v>
      </c>
      <c r="Q124">
        <v>70</v>
      </c>
      <c r="R124">
        <v>15</v>
      </c>
      <c r="S124" t="s">
        <v>364</v>
      </c>
      <c r="T124" t="s">
        <v>56</v>
      </c>
    </row>
    <row r="125" spans="1:20" x14ac:dyDescent="0.2">
      <c r="A125">
        <v>124</v>
      </c>
      <c r="B125" t="s">
        <v>17</v>
      </c>
      <c r="C125" t="s">
        <v>56</v>
      </c>
      <c r="D125" t="s">
        <v>31</v>
      </c>
      <c r="E125">
        <v>210</v>
      </c>
      <c r="F125">
        <v>2</v>
      </c>
      <c r="G125">
        <v>2</v>
      </c>
      <c r="H125" t="s">
        <v>26</v>
      </c>
      <c r="I125" t="s">
        <v>365</v>
      </c>
      <c r="J125" t="s">
        <v>89</v>
      </c>
      <c r="K125" t="s">
        <v>85</v>
      </c>
      <c r="L125" t="s">
        <v>89</v>
      </c>
      <c r="M125" t="s">
        <v>12</v>
      </c>
      <c r="N125" t="s">
        <v>270</v>
      </c>
      <c r="O125" t="s">
        <v>28</v>
      </c>
      <c r="P125">
        <v>400</v>
      </c>
      <c r="Q125">
        <v>70</v>
      </c>
      <c r="R125">
        <v>15</v>
      </c>
      <c r="S125" t="s">
        <v>366</v>
      </c>
      <c r="T125" t="s">
        <v>56</v>
      </c>
    </row>
    <row r="126" spans="1:20" x14ac:dyDescent="0.2">
      <c r="A126">
        <v>125</v>
      </c>
      <c r="B126" t="s">
        <v>17</v>
      </c>
      <c r="C126" t="s">
        <v>56</v>
      </c>
      <c r="D126" t="s">
        <v>31</v>
      </c>
      <c r="E126">
        <v>224</v>
      </c>
      <c r="F126">
        <v>2</v>
      </c>
      <c r="G126">
        <v>3</v>
      </c>
      <c r="H126" t="s">
        <v>26</v>
      </c>
      <c r="I126" t="s">
        <v>367</v>
      </c>
      <c r="J126" t="s">
        <v>368</v>
      </c>
      <c r="K126" t="s">
        <v>218</v>
      </c>
      <c r="L126" t="s">
        <v>369</v>
      </c>
      <c r="M126" t="s">
        <v>27</v>
      </c>
      <c r="N126" t="s">
        <v>270</v>
      </c>
      <c r="O126" t="s">
        <v>28</v>
      </c>
      <c r="P126">
        <v>400</v>
      </c>
      <c r="Q126">
        <v>70</v>
      </c>
      <c r="R126">
        <v>15</v>
      </c>
      <c r="S126" t="s">
        <v>370</v>
      </c>
      <c r="T126" t="s">
        <v>56</v>
      </c>
    </row>
    <row r="127" spans="1:20" x14ac:dyDescent="0.2">
      <c r="A127">
        <v>126</v>
      </c>
      <c r="B127" t="s">
        <v>17</v>
      </c>
      <c r="C127" t="s">
        <v>56</v>
      </c>
      <c r="D127" t="s">
        <v>31</v>
      </c>
      <c r="E127">
        <v>238</v>
      </c>
      <c r="F127">
        <v>3</v>
      </c>
      <c r="G127">
        <v>3</v>
      </c>
      <c r="H127" t="s">
        <v>26</v>
      </c>
      <c r="I127" t="s">
        <v>371</v>
      </c>
      <c r="J127" t="s">
        <v>89</v>
      </c>
      <c r="K127" t="s">
        <v>85</v>
      </c>
      <c r="L127" t="s">
        <v>89</v>
      </c>
      <c r="M127" t="s">
        <v>12</v>
      </c>
      <c r="N127" t="s">
        <v>270</v>
      </c>
      <c r="O127" t="s">
        <v>28</v>
      </c>
      <c r="P127">
        <v>400</v>
      </c>
      <c r="Q127">
        <v>70</v>
      </c>
      <c r="R127">
        <v>15</v>
      </c>
      <c r="S127" t="s">
        <v>372</v>
      </c>
      <c r="T127" t="s">
        <v>56</v>
      </c>
    </row>
    <row r="128" spans="1:20" x14ac:dyDescent="0.2">
      <c r="A128">
        <v>127</v>
      </c>
      <c r="B128" t="s">
        <v>17</v>
      </c>
      <c r="C128" t="s">
        <v>56</v>
      </c>
      <c r="D128" t="s">
        <v>31</v>
      </c>
      <c r="E128">
        <v>252</v>
      </c>
      <c r="F128">
        <v>3</v>
      </c>
      <c r="G128">
        <v>3</v>
      </c>
      <c r="H128" t="s">
        <v>26</v>
      </c>
      <c r="I128" t="s">
        <v>373</v>
      </c>
      <c r="J128" t="s">
        <v>374</v>
      </c>
      <c r="K128" t="s">
        <v>375</v>
      </c>
      <c r="L128" t="s">
        <v>376</v>
      </c>
      <c r="M128" t="s">
        <v>27</v>
      </c>
      <c r="N128" t="s">
        <v>270</v>
      </c>
      <c r="O128" t="s">
        <v>28</v>
      </c>
      <c r="P128">
        <v>400</v>
      </c>
      <c r="Q128">
        <v>70</v>
      </c>
      <c r="R128">
        <v>15</v>
      </c>
      <c r="S128" t="s">
        <v>377</v>
      </c>
      <c r="T128" t="s">
        <v>56</v>
      </c>
    </row>
    <row r="129" spans="1:20" x14ac:dyDescent="0.2">
      <c r="A129">
        <v>128</v>
      </c>
      <c r="B129" t="s">
        <v>17</v>
      </c>
      <c r="C129" t="s">
        <v>56</v>
      </c>
      <c r="D129" t="s">
        <v>31</v>
      </c>
      <c r="E129">
        <v>266</v>
      </c>
      <c r="F129">
        <v>3</v>
      </c>
      <c r="G129">
        <v>3</v>
      </c>
      <c r="H129" t="s">
        <v>26</v>
      </c>
      <c r="I129" t="s">
        <v>378</v>
      </c>
      <c r="J129" t="s">
        <v>89</v>
      </c>
      <c r="K129" t="s">
        <v>85</v>
      </c>
      <c r="L129" t="s">
        <v>89</v>
      </c>
      <c r="M129" t="s">
        <v>12</v>
      </c>
      <c r="N129" t="s">
        <v>270</v>
      </c>
      <c r="O129" t="s">
        <v>28</v>
      </c>
      <c r="P129">
        <v>400</v>
      </c>
      <c r="Q129">
        <v>70</v>
      </c>
      <c r="R129">
        <v>15</v>
      </c>
      <c r="S129" t="s">
        <v>379</v>
      </c>
      <c r="T129" t="s">
        <v>56</v>
      </c>
    </row>
    <row r="130" spans="1:20" x14ac:dyDescent="0.2">
      <c r="A130">
        <v>129</v>
      </c>
      <c r="B130" t="s">
        <v>17</v>
      </c>
      <c r="C130" t="s">
        <v>56</v>
      </c>
      <c r="D130" t="s">
        <v>31</v>
      </c>
      <c r="E130">
        <v>280</v>
      </c>
      <c r="F130">
        <v>3</v>
      </c>
      <c r="G130">
        <v>3</v>
      </c>
      <c r="H130" t="s">
        <v>26</v>
      </c>
      <c r="I130" t="s">
        <v>380</v>
      </c>
      <c r="J130" t="s">
        <v>381</v>
      </c>
      <c r="K130" t="s">
        <v>382</v>
      </c>
      <c r="L130" t="s">
        <v>383</v>
      </c>
      <c r="M130" t="s">
        <v>27</v>
      </c>
      <c r="N130" t="s">
        <v>270</v>
      </c>
      <c r="O130" t="s">
        <v>28</v>
      </c>
      <c r="P130">
        <v>400</v>
      </c>
      <c r="Q130">
        <v>70</v>
      </c>
      <c r="R130">
        <v>15</v>
      </c>
      <c r="S130" t="s">
        <v>384</v>
      </c>
      <c r="T130" t="s">
        <v>56</v>
      </c>
    </row>
    <row r="131" spans="1:20" x14ac:dyDescent="0.2">
      <c r="A131">
        <v>130</v>
      </c>
      <c r="B131" t="s">
        <v>17</v>
      </c>
      <c r="C131" t="s">
        <v>56</v>
      </c>
      <c r="D131" t="s">
        <v>31</v>
      </c>
      <c r="E131">
        <v>294</v>
      </c>
      <c r="F131">
        <v>3</v>
      </c>
      <c r="G131">
        <v>3</v>
      </c>
      <c r="H131" t="s">
        <v>26</v>
      </c>
      <c r="I131" t="s">
        <v>385</v>
      </c>
      <c r="J131" t="s">
        <v>89</v>
      </c>
      <c r="K131" t="s">
        <v>85</v>
      </c>
      <c r="L131" t="s">
        <v>89</v>
      </c>
      <c r="M131" t="s">
        <v>12</v>
      </c>
      <c r="N131" t="s">
        <v>270</v>
      </c>
      <c r="O131" t="s">
        <v>28</v>
      </c>
      <c r="P131">
        <v>400</v>
      </c>
      <c r="Q131">
        <v>70</v>
      </c>
      <c r="R131">
        <v>15</v>
      </c>
      <c r="S131" t="s">
        <v>386</v>
      </c>
      <c r="T131" t="s">
        <v>56</v>
      </c>
    </row>
    <row r="132" spans="1:20" x14ac:dyDescent="0.2">
      <c r="A132">
        <v>131</v>
      </c>
      <c r="B132" t="s">
        <v>17</v>
      </c>
      <c r="C132" t="s">
        <v>56</v>
      </c>
      <c r="D132" t="s">
        <v>31</v>
      </c>
      <c r="E132">
        <v>308</v>
      </c>
      <c r="F132">
        <v>3</v>
      </c>
      <c r="G132">
        <v>6</v>
      </c>
      <c r="H132" t="s">
        <v>26</v>
      </c>
      <c r="I132" t="s">
        <v>387</v>
      </c>
      <c r="J132" t="s">
        <v>388</v>
      </c>
      <c r="K132" t="s">
        <v>389</v>
      </c>
      <c r="L132" t="s">
        <v>390</v>
      </c>
      <c r="M132" t="s">
        <v>27</v>
      </c>
      <c r="N132" t="s">
        <v>270</v>
      </c>
      <c r="O132" t="s">
        <v>28</v>
      </c>
      <c r="P132">
        <v>400</v>
      </c>
      <c r="Q132">
        <v>70</v>
      </c>
      <c r="R132">
        <v>15</v>
      </c>
      <c r="S132" t="s">
        <v>391</v>
      </c>
      <c r="T132" t="s">
        <v>56</v>
      </c>
    </row>
    <row r="133" spans="1:20" x14ac:dyDescent="0.2">
      <c r="A133">
        <v>132</v>
      </c>
      <c r="B133" t="s">
        <v>17</v>
      </c>
      <c r="C133" t="s">
        <v>56</v>
      </c>
      <c r="D133" t="s">
        <v>31</v>
      </c>
      <c r="E133">
        <v>322</v>
      </c>
      <c r="F133">
        <v>6</v>
      </c>
      <c r="G133">
        <v>6</v>
      </c>
      <c r="H133" t="s">
        <v>26</v>
      </c>
      <c r="I133" t="s">
        <v>392</v>
      </c>
      <c r="J133" t="s">
        <v>89</v>
      </c>
      <c r="K133" t="s">
        <v>85</v>
      </c>
      <c r="L133" t="s">
        <v>89</v>
      </c>
      <c r="M133" t="s">
        <v>12</v>
      </c>
      <c r="N133" t="s">
        <v>270</v>
      </c>
      <c r="O133" t="s">
        <v>28</v>
      </c>
      <c r="P133">
        <v>400</v>
      </c>
      <c r="Q133">
        <v>70</v>
      </c>
      <c r="R133">
        <v>15</v>
      </c>
      <c r="S133" t="s">
        <v>393</v>
      </c>
      <c r="T133" t="s">
        <v>56</v>
      </c>
    </row>
    <row r="134" spans="1:20" x14ac:dyDescent="0.2">
      <c r="A134">
        <v>133</v>
      </c>
      <c r="B134" t="s">
        <v>17</v>
      </c>
      <c r="C134" t="s">
        <v>56</v>
      </c>
      <c r="D134" t="s">
        <v>31</v>
      </c>
      <c r="E134">
        <v>336</v>
      </c>
      <c r="F134">
        <v>6</v>
      </c>
      <c r="G134">
        <v>6</v>
      </c>
      <c r="H134" t="s">
        <v>26</v>
      </c>
      <c r="I134" t="s">
        <v>394</v>
      </c>
      <c r="J134" t="s">
        <v>395</v>
      </c>
      <c r="K134" t="s">
        <v>396</v>
      </c>
      <c r="L134" t="s">
        <v>397</v>
      </c>
      <c r="M134" t="s">
        <v>27</v>
      </c>
      <c r="N134" t="s">
        <v>270</v>
      </c>
      <c r="O134" t="s">
        <v>28</v>
      </c>
      <c r="P134">
        <v>400</v>
      </c>
      <c r="Q134">
        <v>70</v>
      </c>
      <c r="R134">
        <v>15</v>
      </c>
      <c r="S134" t="s">
        <v>398</v>
      </c>
      <c r="T134" t="s">
        <v>56</v>
      </c>
    </row>
    <row r="135" spans="1:20" x14ac:dyDescent="0.2">
      <c r="A135">
        <v>134</v>
      </c>
      <c r="B135" t="s">
        <v>17</v>
      </c>
      <c r="C135" t="s">
        <v>56</v>
      </c>
      <c r="D135" t="s">
        <v>31</v>
      </c>
      <c r="E135">
        <v>350</v>
      </c>
      <c r="F135">
        <v>6</v>
      </c>
      <c r="G135">
        <v>6</v>
      </c>
      <c r="H135" t="s">
        <v>26</v>
      </c>
      <c r="I135" t="s">
        <v>399</v>
      </c>
      <c r="J135" t="s">
        <v>89</v>
      </c>
      <c r="K135" t="s">
        <v>85</v>
      </c>
      <c r="L135" t="s">
        <v>89</v>
      </c>
      <c r="M135" t="s">
        <v>12</v>
      </c>
      <c r="N135" t="s">
        <v>270</v>
      </c>
      <c r="O135" t="s">
        <v>28</v>
      </c>
      <c r="P135">
        <v>400</v>
      </c>
      <c r="Q135">
        <v>70</v>
      </c>
      <c r="R135">
        <v>15</v>
      </c>
      <c r="S135" t="s">
        <v>400</v>
      </c>
      <c r="T135" t="s">
        <v>56</v>
      </c>
    </row>
    <row r="136" spans="1:20" x14ac:dyDescent="0.2">
      <c r="A136">
        <v>135</v>
      </c>
      <c r="B136" t="s">
        <v>17</v>
      </c>
      <c r="C136" t="s">
        <v>56</v>
      </c>
      <c r="D136" t="s">
        <v>31</v>
      </c>
      <c r="E136">
        <v>364</v>
      </c>
      <c r="F136">
        <v>6</v>
      </c>
      <c r="G136">
        <v>6</v>
      </c>
      <c r="H136" t="s">
        <v>26</v>
      </c>
      <c r="I136" t="s">
        <v>401</v>
      </c>
      <c r="J136" t="s">
        <v>402</v>
      </c>
      <c r="K136" t="s">
        <v>403</v>
      </c>
      <c r="L136" t="s">
        <v>404</v>
      </c>
      <c r="M136" t="s">
        <v>27</v>
      </c>
      <c r="N136" t="s">
        <v>270</v>
      </c>
      <c r="O136" t="s">
        <v>28</v>
      </c>
      <c r="P136">
        <v>400</v>
      </c>
      <c r="Q136">
        <v>70</v>
      </c>
      <c r="R136">
        <v>15</v>
      </c>
      <c r="S136" t="s">
        <v>405</v>
      </c>
      <c r="T136" t="s">
        <v>56</v>
      </c>
    </row>
    <row r="137" spans="1:20" x14ac:dyDescent="0.2">
      <c r="A137">
        <v>136</v>
      </c>
      <c r="B137" t="s">
        <v>17</v>
      </c>
      <c r="C137" t="s">
        <v>56</v>
      </c>
      <c r="D137" t="s">
        <v>31</v>
      </c>
      <c r="E137">
        <v>378</v>
      </c>
      <c r="F137">
        <v>6</v>
      </c>
      <c r="G137">
        <v>6</v>
      </c>
      <c r="H137" t="s">
        <v>26</v>
      </c>
      <c r="I137" t="s">
        <v>406</v>
      </c>
      <c r="J137" t="s">
        <v>89</v>
      </c>
      <c r="K137" t="s">
        <v>85</v>
      </c>
      <c r="L137" t="s">
        <v>89</v>
      </c>
      <c r="M137" t="s">
        <v>12</v>
      </c>
      <c r="N137" t="s">
        <v>270</v>
      </c>
      <c r="O137" t="s">
        <v>28</v>
      </c>
      <c r="P137">
        <v>400</v>
      </c>
      <c r="Q137">
        <v>70</v>
      </c>
      <c r="R137">
        <v>15</v>
      </c>
      <c r="S137" t="s">
        <v>407</v>
      </c>
      <c r="T137" t="s">
        <v>56</v>
      </c>
    </row>
    <row r="138" spans="1:20" x14ac:dyDescent="0.2">
      <c r="A138">
        <v>137</v>
      </c>
      <c r="B138" t="s">
        <v>17</v>
      </c>
      <c r="C138" t="s">
        <v>56</v>
      </c>
      <c r="D138" t="s">
        <v>31</v>
      </c>
      <c r="E138">
        <v>392</v>
      </c>
      <c r="F138">
        <v>6</v>
      </c>
      <c r="G138">
        <v>6</v>
      </c>
      <c r="H138" t="s">
        <v>26</v>
      </c>
      <c r="I138" t="s">
        <v>408</v>
      </c>
      <c r="J138" t="s">
        <v>409</v>
      </c>
      <c r="K138" t="s">
        <v>410</v>
      </c>
      <c r="L138" t="s">
        <v>411</v>
      </c>
      <c r="M138" t="s">
        <v>27</v>
      </c>
      <c r="N138" t="s">
        <v>270</v>
      </c>
      <c r="O138" t="s">
        <v>28</v>
      </c>
      <c r="P138">
        <v>400</v>
      </c>
      <c r="Q138">
        <v>70</v>
      </c>
      <c r="R138">
        <v>15</v>
      </c>
      <c r="S138" t="s">
        <v>412</v>
      </c>
      <c r="T138" t="s">
        <v>56</v>
      </c>
    </row>
    <row r="139" spans="1:20" hidden="1" x14ac:dyDescent="0.2">
      <c r="A139">
        <v>138</v>
      </c>
      <c r="B139" t="s">
        <v>17</v>
      </c>
      <c r="C139" t="s">
        <v>41</v>
      </c>
      <c r="D139" t="s">
        <v>57</v>
      </c>
      <c r="E139">
        <v>0</v>
      </c>
      <c r="F139">
        <v>1</v>
      </c>
      <c r="G139">
        <v>1</v>
      </c>
      <c r="H139" t="s">
        <v>25</v>
      </c>
      <c r="I139" t="s">
        <v>413</v>
      </c>
      <c r="J139" t="s">
        <v>85</v>
      </c>
      <c r="K139" t="s">
        <v>85</v>
      </c>
      <c r="L139" t="s">
        <v>85</v>
      </c>
      <c r="M139" t="s">
        <v>27</v>
      </c>
      <c r="N139" t="s">
        <v>414</v>
      </c>
      <c r="O139" t="s">
        <v>28</v>
      </c>
      <c r="P139">
        <v>400</v>
      </c>
      <c r="Q139">
        <v>70</v>
      </c>
      <c r="R139">
        <v>15</v>
      </c>
      <c r="S139" t="s">
        <v>415</v>
      </c>
      <c r="T139" t="s">
        <v>41</v>
      </c>
    </row>
    <row r="140" spans="1:20" hidden="1" x14ac:dyDescent="0.2">
      <c r="A140">
        <v>139</v>
      </c>
      <c r="B140" t="s">
        <v>17</v>
      </c>
      <c r="C140" t="s">
        <v>41</v>
      </c>
      <c r="D140" t="s">
        <v>57</v>
      </c>
      <c r="E140">
        <v>14</v>
      </c>
      <c r="F140">
        <v>1</v>
      </c>
      <c r="G140">
        <v>1</v>
      </c>
      <c r="H140" t="s">
        <v>25</v>
      </c>
      <c r="I140" t="s">
        <v>416</v>
      </c>
      <c r="J140" t="s">
        <v>85</v>
      </c>
      <c r="K140" t="s">
        <v>85</v>
      </c>
      <c r="L140" t="s">
        <v>85</v>
      </c>
      <c r="M140" t="s">
        <v>12</v>
      </c>
      <c r="N140" t="s">
        <v>414</v>
      </c>
      <c r="O140" t="s">
        <v>28</v>
      </c>
      <c r="P140">
        <v>400</v>
      </c>
      <c r="Q140">
        <v>70</v>
      </c>
      <c r="R140">
        <v>15</v>
      </c>
      <c r="S140" t="s">
        <v>417</v>
      </c>
      <c r="T140" t="s">
        <v>41</v>
      </c>
    </row>
    <row r="141" spans="1:20" hidden="1" x14ac:dyDescent="0.2">
      <c r="A141">
        <v>140</v>
      </c>
      <c r="B141" t="s">
        <v>17</v>
      </c>
      <c r="C141" t="s">
        <v>41</v>
      </c>
      <c r="D141" t="s">
        <v>57</v>
      </c>
      <c r="E141">
        <v>28</v>
      </c>
      <c r="F141">
        <v>1</v>
      </c>
      <c r="G141">
        <v>1</v>
      </c>
      <c r="H141" t="s">
        <v>25</v>
      </c>
      <c r="I141" t="s">
        <v>418</v>
      </c>
      <c r="J141" t="s">
        <v>85</v>
      </c>
      <c r="K141" t="s">
        <v>85</v>
      </c>
      <c r="L141" t="s">
        <v>85</v>
      </c>
      <c r="M141" t="s">
        <v>27</v>
      </c>
      <c r="N141" t="s">
        <v>414</v>
      </c>
      <c r="O141" t="s">
        <v>28</v>
      </c>
      <c r="P141">
        <v>400</v>
      </c>
      <c r="Q141">
        <v>70</v>
      </c>
      <c r="R141">
        <v>15</v>
      </c>
      <c r="S141" t="s">
        <v>419</v>
      </c>
      <c r="T141" t="s">
        <v>41</v>
      </c>
    </row>
    <row r="142" spans="1:20" hidden="1" x14ac:dyDescent="0.2">
      <c r="A142">
        <v>141</v>
      </c>
      <c r="B142" t="s">
        <v>17</v>
      </c>
      <c r="C142" t="s">
        <v>41</v>
      </c>
      <c r="D142" t="s">
        <v>57</v>
      </c>
      <c r="E142">
        <v>42</v>
      </c>
      <c r="F142">
        <v>1</v>
      </c>
      <c r="G142">
        <v>1</v>
      </c>
      <c r="H142" t="s">
        <v>25</v>
      </c>
      <c r="I142" t="s">
        <v>420</v>
      </c>
      <c r="J142" t="s">
        <v>85</v>
      </c>
      <c r="K142" t="s">
        <v>85</v>
      </c>
      <c r="L142" t="s">
        <v>85</v>
      </c>
      <c r="M142" t="s">
        <v>12</v>
      </c>
      <c r="N142" t="s">
        <v>414</v>
      </c>
      <c r="O142" t="s">
        <v>28</v>
      </c>
      <c r="P142">
        <v>400</v>
      </c>
      <c r="Q142">
        <v>70</v>
      </c>
      <c r="R142">
        <v>15</v>
      </c>
      <c r="S142" t="s">
        <v>421</v>
      </c>
      <c r="T142" t="s">
        <v>41</v>
      </c>
    </row>
    <row r="143" spans="1:20" hidden="1" x14ac:dyDescent="0.2">
      <c r="A143">
        <v>142</v>
      </c>
      <c r="B143" t="s">
        <v>17</v>
      </c>
      <c r="C143" t="s">
        <v>41</v>
      </c>
      <c r="D143" t="s">
        <v>57</v>
      </c>
      <c r="E143">
        <v>56</v>
      </c>
      <c r="F143">
        <v>1</v>
      </c>
      <c r="G143">
        <v>1</v>
      </c>
      <c r="H143" t="s">
        <v>25</v>
      </c>
      <c r="I143" t="s">
        <v>422</v>
      </c>
      <c r="J143" t="s">
        <v>85</v>
      </c>
      <c r="K143" t="s">
        <v>85</v>
      </c>
      <c r="L143" t="s">
        <v>85</v>
      </c>
      <c r="M143" t="s">
        <v>27</v>
      </c>
      <c r="N143" t="s">
        <v>414</v>
      </c>
      <c r="O143" t="s">
        <v>28</v>
      </c>
      <c r="P143">
        <v>400</v>
      </c>
      <c r="Q143">
        <v>70</v>
      </c>
      <c r="R143">
        <v>15</v>
      </c>
      <c r="S143" t="s">
        <v>423</v>
      </c>
      <c r="T143" t="s">
        <v>41</v>
      </c>
    </row>
    <row r="144" spans="1:20" hidden="1" x14ac:dyDescent="0.2">
      <c r="A144">
        <v>143</v>
      </c>
      <c r="B144" t="s">
        <v>17</v>
      </c>
      <c r="C144" t="s">
        <v>41</v>
      </c>
      <c r="D144" t="s">
        <v>57</v>
      </c>
      <c r="E144">
        <v>70</v>
      </c>
      <c r="F144">
        <v>1</v>
      </c>
      <c r="G144">
        <v>1</v>
      </c>
      <c r="H144" t="s">
        <v>25</v>
      </c>
      <c r="I144" t="s">
        <v>424</v>
      </c>
      <c r="J144" t="s">
        <v>85</v>
      </c>
      <c r="K144" t="s">
        <v>85</v>
      </c>
      <c r="L144" t="s">
        <v>85</v>
      </c>
      <c r="M144" t="s">
        <v>12</v>
      </c>
      <c r="N144" t="s">
        <v>414</v>
      </c>
      <c r="O144" t="s">
        <v>28</v>
      </c>
      <c r="P144">
        <v>400</v>
      </c>
      <c r="Q144">
        <v>70</v>
      </c>
      <c r="R144">
        <v>15</v>
      </c>
      <c r="S144" t="s">
        <v>425</v>
      </c>
      <c r="T144" t="s">
        <v>41</v>
      </c>
    </row>
    <row r="145" spans="1:20" hidden="1" x14ac:dyDescent="0.2">
      <c r="A145">
        <v>144</v>
      </c>
      <c r="B145" t="s">
        <v>17</v>
      </c>
      <c r="C145" t="s">
        <v>41</v>
      </c>
      <c r="D145" t="s">
        <v>57</v>
      </c>
      <c r="E145">
        <v>84</v>
      </c>
      <c r="F145">
        <v>1</v>
      </c>
      <c r="G145">
        <v>1</v>
      </c>
      <c r="H145" t="s">
        <v>25</v>
      </c>
      <c r="I145" t="s">
        <v>426</v>
      </c>
      <c r="J145" t="s">
        <v>85</v>
      </c>
      <c r="K145" t="s">
        <v>85</v>
      </c>
      <c r="L145" t="s">
        <v>85</v>
      </c>
      <c r="M145" t="s">
        <v>27</v>
      </c>
      <c r="N145" t="s">
        <v>414</v>
      </c>
      <c r="O145" t="s">
        <v>28</v>
      </c>
      <c r="P145">
        <v>400</v>
      </c>
      <c r="Q145">
        <v>70</v>
      </c>
      <c r="R145">
        <v>15</v>
      </c>
      <c r="S145" t="s">
        <v>427</v>
      </c>
      <c r="T145" t="s">
        <v>41</v>
      </c>
    </row>
    <row r="146" spans="1:20" hidden="1" x14ac:dyDescent="0.2">
      <c r="A146">
        <v>145</v>
      </c>
      <c r="B146" t="s">
        <v>17</v>
      </c>
      <c r="C146" t="s">
        <v>41</v>
      </c>
      <c r="D146" t="s">
        <v>57</v>
      </c>
      <c r="E146">
        <v>98</v>
      </c>
      <c r="F146">
        <v>1</v>
      </c>
      <c r="G146">
        <v>1</v>
      </c>
      <c r="H146" t="s">
        <v>25</v>
      </c>
      <c r="I146" t="s">
        <v>428</v>
      </c>
      <c r="J146" t="s">
        <v>85</v>
      </c>
      <c r="K146" t="s">
        <v>85</v>
      </c>
      <c r="L146" t="s">
        <v>85</v>
      </c>
      <c r="M146" t="s">
        <v>12</v>
      </c>
      <c r="N146" t="s">
        <v>414</v>
      </c>
      <c r="O146" t="s">
        <v>28</v>
      </c>
      <c r="P146">
        <v>400</v>
      </c>
      <c r="Q146">
        <v>70</v>
      </c>
      <c r="R146">
        <v>15</v>
      </c>
      <c r="S146" t="s">
        <v>429</v>
      </c>
      <c r="T146" t="s">
        <v>41</v>
      </c>
    </row>
    <row r="147" spans="1:20" hidden="1" x14ac:dyDescent="0.2">
      <c r="A147">
        <v>146</v>
      </c>
      <c r="B147" t="s">
        <v>17</v>
      </c>
      <c r="C147" t="s">
        <v>41</v>
      </c>
      <c r="D147" t="s">
        <v>57</v>
      </c>
      <c r="E147">
        <v>105</v>
      </c>
      <c r="F147">
        <v>1</v>
      </c>
      <c r="G147">
        <v>1</v>
      </c>
      <c r="H147" t="s">
        <v>26</v>
      </c>
      <c r="I147" t="s">
        <v>430</v>
      </c>
      <c r="J147" t="s">
        <v>85</v>
      </c>
      <c r="K147" t="s">
        <v>85</v>
      </c>
      <c r="L147" t="s">
        <v>85</v>
      </c>
      <c r="M147" t="s">
        <v>27</v>
      </c>
      <c r="N147" t="s">
        <v>414</v>
      </c>
      <c r="O147" t="s">
        <v>28</v>
      </c>
      <c r="P147">
        <v>400</v>
      </c>
      <c r="Q147">
        <v>70</v>
      </c>
      <c r="R147">
        <v>15</v>
      </c>
      <c r="S147" t="s">
        <v>431</v>
      </c>
      <c r="T147" t="s">
        <v>41</v>
      </c>
    </row>
    <row r="148" spans="1:20" hidden="1" x14ac:dyDescent="0.2">
      <c r="A148">
        <v>147</v>
      </c>
      <c r="B148" t="s">
        <v>17</v>
      </c>
      <c r="C148" t="s">
        <v>62</v>
      </c>
      <c r="D148" t="s">
        <v>270</v>
      </c>
      <c r="E148">
        <v>0</v>
      </c>
      <c r="F148">
        <v>1</v>
      </c>
      <c r="G148">
        <v>1</v>
      </c>
      <c r="H148" t="s">
        <v>25</v>
      </c>
      <c r="I148" t="s">
        <v>88</v>
      </c>
      <c r="J148" t="s">
        <v>85</v>
      </c>
      <c r="K148" t="s">
        <v>85</v>
      </c>
      <c r="L148" t="s">
        <v>85</v>
      </c>
      <c r="M148" t="s">
        <v>27</v>
      </c>
      <c r="N148" t="s">
        <v>86</v>
      </c>
      <c r="O148" t="s">
        <v>28</v>
      </c>
      <c r="P148">
        <v>400</v>
      </c>
      <c r="Q148">
        <v>70</v>
      </c>
      <c r="R148">
        <v>15</v>
      </c>
      <c r="S148" t="s">
        <v>432</v>
      </c>
      <c r="T148" t="s">
        <v>433</v>
      </c>
    </row>
    <row r="149" spans="1:20" hidden="1" x14ac:dyDescent="0.2">
      <c r="A149">
        <v>148</v>
      </c>
      <c r="B149" t="s">
        <v>17</v>
      </c>
      <c r="C149" t="s">
        <v>62</v>
      </c>
      <c r="D149" t="s">
        <v>270</v>
      </c>
      <c r="E149">
        <v>14</v>
      </c>
      <c r="F149">
        <v>1</v>
      </c>
      <c r="G149">
        <v>1</v>
      </c>
      <c r="H149" t="s">
        <v>25</v>
      </c>
      <c r="I149" t="s">
        <v>222</v>
      </c>
      <c r="J149" t="s">
        <v>85</v>
      </c>
      <c r="K149" t="s">
        <v>85</v>
      </c>
      <c r="L149" t="s">
        <v>85</v>
      </c>
      <c r="M149" t="s">
        <v>12</v>
      </c>
      <c r="N149" t="s">
        <v>86</v>
      </c>
      <c r="O149" t="s">
        <v>28</v>
      </c>
      <c r="P149">
        <v>400</v>
      </c>
      <c r="Q149">
        <v>70</v>
      </c>
      <c r="R149">
        <v>15</v>
      </c>
      <c r="S149" t="s">
        <v>434</v>
      </c>
      <c r="T149" t="s">
        <v>433</v>
      </c>
    </row>
    <row r="150" spans="1:20" hidden="1" x14ac:dyDescent="0.2">
      <c r="A150">
        <v>149</v>
      </c>
      <c r="B150" t="s">
        <v>17</v>
      </c>
      <c r="C150" t="s">
        <v>62</v>
      </c>
      <c r="D150" t="s">
        <v>270</v>
      </c>
      <c r="E150">
        <v>28</v>
      </c>
      <c r="F150">
        <v>1</v>
      </c>
      <c r="G150">
        <v>1</v>
      </c>
      <c r="H150" t="s">
        <v>25</v>
      </c>
      <c r="I150" t="s">
        <v>224</v>
      </c>
      <c r="J150" t="s">
        <v>85</v>
      </c>
      <c r="K150" t="s">
        <v>85</v>
      </c>
      <c r="L150" t="s">
        <v>85</v>
      </c>
      <c r="M150" t="s">
        <v>27</v>
      </c>
      <c r="N150" t="s">
        <v>86</v>
      </c>
      <c r="O150" t="s">
        <v>28</v>
      </c>
      <c r="P150">
        <v>400</v>
      </c>
      <c r="Q150">
        <v>70</v>
      </c>
      <c r="R150">
        <v>15</v>
      </c>
      <c r="S150" t="s">
        <v>435</v>
      </c>
      <c r="T150" t="s">
        <v>433</v>
      </c>
    </row>
    <row r="151" spans="1:20" hidden="1" x14ac:dyDescent="0.2">
      <c r="A151">
        <v>150</v>
      </c>
      <c r="B151" t="s">
        <v>17</v>
      </c>
      <c r="C151" t="s">
        <v>62</v>
      </c>
      <c r="D151" t="s">
        <v>270</v>
      </c>
      <c r="E151">
        <v>42</v>
      </c>
      <c r="F151">
        <v>1</v>
      </c>
      <c r="G151">
        <v>1</v>
      </c>
      <c r="H151" t="s">
        <v>25</v>
      </c>
      <c r="I151" t="s">
        <v>226</v>
      </c>
      <c r="J151" t="s">
        <v>85</v>
      </c>
      <c r="K151" t="s">
        <v>85</v>
      </c>
      <c r="L151" t="s">
        <v>85</v>
      </c>
      <c r="M151" t="s">
        <v>12</v>
      </c>
      <c r="N151" t="s">
        <v>86</v>
      </c>
      <c r="O151" t="s">
        <v>28</v>
      </c>
      <c r="P151">
        <v>400</v>
      </c>
      <c r="Q151">
        <v>70</v>
      </c>
      <c r="R151">
        <v>15</v>
      </c>
      <c r="S151" t="s">
        <v>436</v>
      </c>
      <c r="T151" t="s">
        <v>433</v>
      </c>
    </row>
    <row r="152" spans="1:20" hidden="1" x14ac:dyDescent="0.2">
      <c r="A152">
        <v>151</v>
      </c>
      <c r="B152" t="s">
        <v>17</v>
      </c>
      <c r="C152" t="s">
        <v>62</v>
      </c>
      <c r="D152" t="s">
        <v>270</v>
      </c>
      <c r="E152">
        <v>56</v>
      </c>
      <c r="F152">
        <v>1</v>
      </c>
      <c r="G152">
        <v>1</v>
      </c>
      <c r="H152" t="s">
        <v>25</v>
      </c>
      <c r="I152" t="s">
        <v>228</v>
      </c>
      <c r="J152" t="s">
        <v>85</v>
      </c>
      <c r="K152" t="s">
        <v>85</v>
      </c>
      <c r="L152" t="s">
        <v>85</v>
      </c>
      <c r="M152" t="s">
        <v>27</v>
      </c>
      <c r="N152" t="s">
        <v>86</v>
      </c>
      <c r="O152" t="s">
        <v>28</v>
      </c>
      <c r="P152">
        <v>400</v>
      </c>
      <c r="Q152">
        <v>70</v>
      </c>
      <c r="R152">
        <v>15</v>
      </c>
      <c r="S152" t="s">
        <v>229</v>
      </c>
      <c r="T152" t="s">
        <v>433</v>
      </c>
    </row>
    <row r="153" spans="1:20" hidden="1" x14ac:dyDescent="0.2">
      <c r="A153">
        <v>152</v>
      </c>
      <c r="B153" t="s">
        <v>17</v>
      </c>
      <c r="C153" t="s">
        <v>62</v>
      </c>
      <c r="D153" t="s">
        <v>270</v>
      </c>
      <c r="E153">
        <v>70</v>
      </c>
      <c r="F153">
        <v>1</v>
      </c>
      <c r="G153">
        <v>1</v>
      </c>
      <c r="H153" t="s">
        <v>25</v>
      </c>
      <c r="I153" t="s">
        <v>230</v>
      </c>
      <c r="J153" t="s">
        <v>85</v>
      </c>
      <c r="K153" t="s">
        <v>85</v>
      </c>
      <c r="L153" t="s">
        <v>85</v>
      </c>
      <c r="M153" t="s">
        <v>12</v>
      </c>
      <c r="N153" t="s">
        <v>86</v>
      </c>
      <c r="O153" t="s">
        <v>28</v>
      </c>
      <c r="P153">
        <v>400</v>
      </c>
      <c r="Q153">
        <v>70</v>
      </c>
      <c r="R153">
        <v>15</v>
      </c>
      <c r="S153" t="s">
        <v>231</v>
      </c>
      <c r="T153" t="s">
        <v>433</v>
      </c>
    </row>
    <row r="154" spans="1:20" hidden="1" x14ac:dyDescent="0.2">
      <c r="A154">
        <v>153</v>
      </c>
      <c r="B154" t="s">
        <v>17</v>
      </c>
      <c r="C154" t="s">
        <v>62</v>
      </c>
      <c r="D154" t="s">
        <v>270</v>
      </c>
      <c r="E154">
        <v>77</v>
      </c>
      <c r="F154">
        <v>1</v>
      </c>
      <c r="G154">
        <v>1</v>
      </c>
      <c r="H154" t="s">
        <v>25</v>
      </c>
      <c r="I154" t="s">
        <v>232</v>
      </c>
      <c r="J154" t="s">
        <v>85</v>
      </c>
      <c r="K154" t="s">
        <v>85</v>
      </c>
      <c r="L154" t="s">
        <v>85</v>
      </c>
      <c r="M154" t="s">
        <v>80</v>
      </c>
      <c r="N154" t="s">
        <v>86</v>
      </c>
      <c r="O154" t="s">
        <v>28</v>
      </c>
      <c r="P154">
        <v>400</v>
      </c>
      <c r="Q154">
        <v>70</v>
      </c>
      <c r="R154">
        <v>15</v>
      </c>
      <c r="S154" t="s">
        <v>233</v>
      </c>
      <c r="T154" t="s">
        <v>433</v>
      </c>
    </row>
    <row r="155" spans="1:20" hidden="1" x14ac:dyDescent="0.2">
      <c r="A155">
        <v>154</v>
      </c>
      <c r="B155" t="s">
        <v>17</v>
      </c>
      <c r="C155" t="s">
        <v>62</v>
      </c>
      <c r="D155" t="s">
        <v>270</v>
      </c>
      <c r="E155">
        <v>84</v>
      </c>
      <c r="F155">
        <v>1</v>
      </c>
      <c r="G155">
        <v>1</v>
      </c>
      <c r="H155" t="s">
        <v>25</v>
      </c>
      <c r="I155" t="s">
        <v>234</v>
      </c>
      <c r="J155" t="s">
        <v>85</v>
      </c>
      <c r="K155" t="s">
        <v>85</v>
      </c>
      <c r="L155" t="s">
        <v>85</v>
      </c>
      <c r="M155" t="s">
        <v>27</v>
      </c>
      <c r="N155" t="s">
        <v>86</v>
      </c>
      <c r="O155" t="s">
        <v>28</v>
      </c>
      <c r="P155">
        <v>400</v>
      </c>
      <c r="Q155">
        <v>70</v>
      </c>
      <c r="R155">
        <v>15</v>
      </c>
      <c r="S155" t="s">
        <v>235</v>
      </c>
      <c r="T155" t="s">
        <v>433</v>
      </c>
    </row>
    <row r="156" spans="1:20" hidden="1" x14ac:dyDescent="0.2">
      <c r="A156">
        <v>155</v>
      </c>
      <c r="B156" t="s">
        <v>17</v>
      </c>
      <c r="C156" t="s">
        <v>62</v>
      </c>
      <c r="D156" t="s">
        <v>270</v>
      </c>
      <c r="E156">
        <v>91</v>
      </c>
      <c r="F156">
        <v>1</v>
      </c>
      <c r="G156">
        <v>1</v>
      </c>
      <c r="H156" t="s">
        <v>26</v>
      </c>
      <c r="I156" t="s">
        <v>437</v>
      </c>
      <c r="J156" t="s">
        <v>85</v>
      </c>
      <c r="K156" t="s">
        <v>85</v>
      </c>
      <c r="L156" t="s">
        <v>85</v>
      </c>
      <c r="M156" t="s">
        <v>80</v>
      </c>
      <c r="N156" t="s">
        <v>86</v>
      </c>
      <c r="O156" t="s">
        <v>28</v>
      </c>
      <c r="P156">
        <v>400</v>
      </c>
      <c r="Q156">
        <v>70</v>
      </c>
      <c r="R156">
        <v>15</v>
      </c>
      <c r="S156" t="s">
        <v>438</v>
      </c>
      <c r="T156" t="s">
        <v>433</v>
      </c>
    </row>
    <row r="157" spans="1:20" hidden="1" x14ac:dyDescent="0.2">
      <c r="A157">
        <v>156</v>
      </c>
      <c r="B157" t="s">
        <v>17</v>
      </c>
      <c r="C157" t="s">
        <v>62</v>
      </c>
      <c r="D157" t="s">
        <v>86</v>
      </c>
      <c r="E157">
        <v>98</v>
      </c>
      <c r="F157">
        <v>1</v>
      </c>
      <c r="G157">
        <v>1</v>
      </c>
      <c r="H157" t="s">
        <v>26</v>
      </c>
      <c r="I157" t="s">
        <v>439</v>
      </c>
      <c r="J157" t="s">
        <v>85</v>
      </c>
      <c r="K157" t="s">
        <v>85</v>
      </c>
      <c r="L157" t="s">
        <v>85</v>
      </c>
      <c r="M157" t="s">
        <v>12</v>
      </c>
      <c r="N157" t="s">
        <v>86</v>
      </c>
      <c r="O157" t="s">
        <v>28</v>
      </c>
      <c r="P157">
        <v>400</v>
      </c>
      <c r="Q157">
        <v>70</v>
      </c>
      <c r="R157">
        <v>15</v>
      </c>
      <c r="S157" t="s">
        <v>439</v>
      </c>
      <c r="T157" t="s">
        <v>433</v>
      </c>
    </row>
    <row r="158" spans="1:20" hidden="1" x14ac:dyDescent="0.2">
      <c r="A158">
        <v>157</v>
      </c>
      <c r="B158" t="s">
        <v>64</v>
      </c>
      <c r="C158" t="s">
        <v>63</v>
      </c>
      <c r="D158" t="s">
        <v>270</v>
      </c>
      <c r="E158">
        <v>0</v>
      </c>
      <c r="F158">
        <v>1</v>
      </c>
      <c r="G158">
        <v>1</v>
      </c>
      <c r="H158" t="s">
        <v>25</v>
      </c>
      <c r="I158" t="s">
        <v>440</v>
      </c>
      <c r="J158" t="s">
        <v>85</v>
      </c>
      <c r="K158" t="s">
        <v>85</v>
      </c>
      <c r="L158" t="s">
        <v>85</v>
      </c>
      <c r="M158" t="s">
        <v>27</v>
      </c>
      <c r="N158" t="s">
        <v>86</v>
      </c>
      <c r="O158" t="s">
        <v>65</v>
      </c>
      <c r="P158">
        <v>50</v>
      </c>
      <c r="Q158">
        <v>70</v>
      </c>
      <c r="R158">
        <v>15</v>
      </c>
      <c r="S158" t="s">
        <v>441</v>
      </c>
      <c r="T158" t="s">
        <v>63</v>
      </c>
    </row>
    <row r="159" spans="1:20" hidden="1" x14ac:dyDescent="0.2">
      <c r="A159">
        <v>158</v>
      </c>
      <c r="B159" t="s">
        <v>64</v>
      </c>
      <c r="C159" t="s">
        <v>63</v>
      </c>
      <c r="D159" t="s">
        <v>270</v>
      </c>
      <c r="E159">
        <v>14</v>
      </c>
      <c r="F159">
        <v>1</v>
      </c>
      <c r="G159">
        <v>1</v>
      </c>
      <c r="H159" t="s">
        <v>66</v>
      </c>
      <c r="I159" t="s">
        <v>89</v>
      </c>
      <c r="J159" t="s">
        <v>85</v>
      </c>
      <c r="K159" t="s">
        <v>85</v>
      </c>
      <c r="L159" t="s">
        <v>85</v>
      </c>
      <c r="M159" t="s">
        <v>12</v>
      </c>
      <c r="N159" t="s">
        <v>86</v>
      </c>
      <c r="O159" t="s">
        <v>65</v>
      </c>
      <c r="P159">
        <v>50</v>
      </c>
      <c r="Q159">
        <v>70</v>
      </c>
      <c r="R159">
        <v>15</v>
      </c>
      <c r="S159" t="s">
        <v>442</v>
      </c>
      <c r="T159" t="s">
        <v>63</v>
      </c>
    </row>
    <row r="160" spans="1:20" hidden="1" x14ac:dyDescent="0.2">
      <c r="A160">
        <v>159</v>
      </c>
      <c r="B160" t="s">
        <v>64</v>
      </c>
      <c r="C160" t="s">
        <v>63</v>
      </c>
      <c r="D160" t="s">
        <v>270</v>
      </c>
      <c r="E160">
        <v>28</v>
      </c>
      <c r="F160">
        <v>1</v>
      </c>
      <c r="G160">
        <v>1</v>
      </c>
      <c r="H160" t="s">
        <v>66</v>
      </c>
      <c r="I160" t="s">
        <v>89</v>
      </c>
      <c r="J160" t="s">
        <v>85</v>
      </c>
      <c r="K160" t="s">
        <v>85</v>
      </c>
      <c r="L160" t="s">
        <v>85</v>
      </c>
      <c r="M160" t="s">
        <v>27</v>
      </c>
      <c r="N160" t="s">
        <v>86</v>
      </c>
      <c r="O160" t="s">
        <v>65</v>
      </c>
      <c r="P160">
        <v>200</v>
      </c>
      <c r="Q160">
        <v>70</v>
      </c>
      <c r="R160">
        <v>15</v>
      </c>
      <c r="S160" t="s">
        <v>443</v>
      </c>
      <c r="T160" t="s">
        <v>63</v>
      </c>
    </row>
    <row r="161" spans="1:20" hidden="1" x14ac:dyDescent="0.2">
      <c r="A161">
        <v>160</v>
      </c>
      <c r="B161" t="s">
        <v>64</v>
      </c>
      <c r="C161" t="s">
        <v>63</v>
      </c>
      <c r="D161" t="s">
        <v>270</v>
      </c>
      <c r="E161">
        <v>42</v>
      </c>
      <c r="F161">
        <v>1</v>
      </c>
      <c r="G161">
        <v>1</v>
      </c>
      <c r="H161" t="s">
        <v>66</v>
      </c>
      <c r="I161" t="s">
        <v>89</v>
      </c>
      <c r="J161" t="s">
        <v>85</v>
      </c>
      <c r="K161" t="s">
        <v>85</v>
      </c>
      <c r="L161" t="s">
        <v>85</v>
      </c>
      <c r="M161" t="s">
        <v>12</v>
      </c>
      <c r="N161" t="s">
        <v>270</v>
      </c>
      <c r="O161" t="s">
        <v>65</v>
      </c>
      <c r="P161">
        <v>200</v>
      </c>
      <c r="Q161">
        <v>70</v>
      </c>
      <c r="R161">
        <v>15</v>
      </c>
      <c r="S161" t="s">
        <v>444</v>
      </c>
      <c r="T161" t="s">
        <v>63</v>
      </c>
    </row>
    <row r="162" spans="1:20" hidden="1" x14ac:dyDescent="0.2">
      <c r="A162">
        <v>161</v>
      </c>
      <c r="B162" t="s">
        <v>64</v>
      </c>
      <c r="C162" t="s">
        <v>63</v>
      </c>
      <c r="D162" t="s">
        <v>270</v>
      </c>
      <c r="E162">
        <v>56</v>
      </c>
      <c r="F162">
        <v>1</v>
      </c>
      <c r="G162">
        <v>1</v>
      </c>
      <c r="H162" t="s">
        <v>66</v>
      </c>
      <c r="I162" t="s">
        <v>89</v>
      </c>
      <c r="J162" t="s">
        <v>85</v>
      </c>
      <c r="K162" t="s">
        <v>85</v>
      </c>
      <c r="L162" t="s">
        <v>85</v>
      </c>
      <c r="M162" t="s">
        <v>27</v>
      </c>
      <c r="N162" t="s">
        <v>270</v>
      </c>
      <c r="O162" t="s">
        <v>65</v>
      </c>
      <c r="P162">
        <v>200</v>
      </c>
      <c r="Q162">
        <v>70</v>
      </c>
      <c r="R162">
        <v>15</v>
      </c>
      <c r="S162" t="s">
        <v>445</v>
      </c>
      <c r="T162" t="s">
        <v>63</v>
      </c>
    </row>
    <row r="163" spans="1:20" hidden="1" x14ac:dyDescent="0.2">
      <c r="A163">
        <v>162</v>
      </c>
      <c r="B163" t="s">
        <v>64</v>
      </c>
      <c r="C163" t="s">
        <v>446</v>
      </c>
      <c r="D163" t="s">
        <v>447</v>
      </c>
      <c r="E163">
        <v>0</v>
      </c>
      <c r="F163">
        <v>1</v>
      </c>
      <c r="G163">
        <v>1</v>
      </c>
      <c r="H163" t="s">
        <v>25</v>
      </c>
      <c r="I163" t="s">
        <v>448</v>
      </c>
      <c r="J163" t="s">
        <v>85</v>
      </c>
      <c r="K163" t="s">
        <v>85</v>
      </c>
      <c r="L163" t="s">
        <v>85</v>
      </c>
      <c r="M163" t="s">
        <v>27</v>
      </c>
      <c r="N163" t="s">
        <v>86</v>
      </c>
      <c r="O163" t="s">
        <v>28</v>
      </c>
      <c r="P163">
        <v>200</v>
      </c>
      <c r="Q163">
        <v>70</v>
      </c>
      <c r="R163">
        <v>18</v>
      </c>
      <c r="S163" t="s">
        <v>449</v>
      </c>
      <c r="T163" t="s">
        <v>450</v>
      </c>
    </row>
    <row r="164" spans="1:20" hidden="1" x14ac:dyDescent="0.2">
      <c r="A164">
        <v>163</v>
      </c>
      <c r="B164" t="s">
        <v>64</v>
      </c>
      <c r="C164" t="s">
        <v>446</v>
      </c>
      <c r="D164" t="s">
        <v>451</v>
      </c>
      <c r="E164">
        <v>0</v>
      </c>
      <c r="F164">
        <v>1</v>
      </c>
      <c r="G164">
        <v>2</v>
      </c>
      <c r="H164" t="s">
        <v>25</v>
      </c>
      <c r="I164" t="s">
        <v>452</v>
      </c>
      <c r="J164" t="s">
        <v>85</v>
      </c>
      <c r="K164" t="s">
        <v>85</v>
      </c>
      <c r="L164" t="s">
        <v>85</v>
      </c>
      <c r="M164" t="s">
        <v>27</v>
      </c>
      <c r="N164" t="s">
        <v>414</v>
      </c>
      <c r="O164" t="s">
        <v>28</v>
      </c>
      <c r="P164">
        <v>200</v>
      </c>
      <c r="Q164">
        <v>70</v>
      </c>
      <c r="R164">
        <v>18</v>
      </c>
      <c r="S164" t="s">
        <v>453</v>
      </c>
      <c r="T164" t="s">
        <v>454</v>
      </c>
    </row>
    <row r="165" spans="1:20" hidden="1" x14ac:dyDescent="0.2">
      <c r="A165">
        <v>164</v>
      </c>
      <c r="B165" t="s">
        <v>64</v>
      </c>
      <c r="C165" t="s">
        <v>446</v>
      </c>
      <c r="D165" t="s">
        <v>455</v>
      </c>
      <c r="E165">
        <v>0</v>
      </c>
      <c r="F165">
        <v>1</v>
      </c>
      <c r="G165">
        <v>2</v>
      </c>
      <c r="H165" t="s">
        <v>25</v>
      </c>
      <c r="I165" t="s">
        <v>456</v>
      </c>
      <c r="J165" t="s">
        <v>85</v>
      </c>
      <c r="K165" t="s">
        <v>85</v>
      </c>
      <c r="L165" t="s">
        <v>85</v>
      </c>
      <c r="M165" t="s">
        <v>27</v>
      </c>
      <c r="N165" t="s">
        <v>86</v>
      </c>
      <c r="O165" t="s">
        <v>28</v>
      </c>
      <c r="P165">
        <v>200</v>
      </c>
      <c r="Q165">
        <v>70</v>
      </c>
      <c r="R165">
        <v>18</v>
      </c>
      <c r="S165" t="s">
        <v>457</v>
      </c>
      <c r="T165" t="s">
        <v>458</v>
      </c>
    </row>
    <row r="166" spans="1:20" hidden="1" x14ac:dyDescent="0.2">
      <c r="A166">
        <v>165</v>
      </c>
      <c r="B166" t="s">
        <v>64</v>
      </c>
      <c r="C166" t="s">
        <v>446</v>
      </c>
      <c r="D166" t="s">
        <v>459</v>
      </c>
      <c r="E166">
        <v>0</v>
      </c>
      <c r="F166">
        <v>1</v>
      </c>
      <c r="G166">
        <v>5</v>
      </c>
      <c r="H166" t="s">
        <v>25</v>
      </c>
      <c r="I166" t="s">
        <v>460</v>
      </c>
      <c r="J166" t="s">
        <v>85</v>
      </c>
      <c r="K166" t="s">
        <v>85</v>
      </c>
      <c r="L166" t="s">
        <v>85</v>
      </c>
      <c r="M166" t="s">
        <v>27</v>
      </c>
      <c r="N166" t="s">
        <v>461</v>
      </c>
      <c r="O166" t="s">
        <v>28</v>
      </c>
      <c r="P166">
        <v>200</v>
      </c>
      <c r="Q166">
        <v>70</v>
      </c>
      <c r="R166">
        <v>18</v>
      </c>
      <c r="S166" t="s">
        <v>462</v>
      </c>
      <c r="T166" t="s">
        <v>463</v>
      </c>
    </row>
    <row r="167" spans="1:20" hidden="1" x14ac:dyDescent="0.2">
      <c r="A167">
        <v>166</v>
      </c>
      <c r="B167" t="s">
        <v>64</v>
      </c>
      <c r="C167" t="s">
        <v>446</v>
      </c>
      <c r="D167" t="s">
        <v>464</v>
      </c>
      <c r="E167">
        <v>0</v>
      </c>
      <c r="F167">
        <v>1</v>
      </c>
      <c r="G167">
        <v>7</v>
      </c>
      <c r="H167" t="s">
        <v>25</v>
      </c>
      <c r="I167" t="s">
        <v>465</v>
      </c>
      <c r="J167" t="s">
        <v>85</v>
      </c>
      <c r="K167" t="s">
        <v>85</v>
      </c>
      <c r="L167" t="s">
        <v>85</v>
      </c>
      <c r="M167" t="s">
        <v>27</v>
      </c>
      <c r="N167" t="s">
        <v>466</v>
      </c>
      <c r="O167" t="s">
        <v>28</v>
      </c>
      <c r="P167">
        <v>200</v>
      </c>
      <c r="Q167">
        <v>70</v>
      </c>
      <c r="R167">
        <v>18</v>
      </c>
      <c r="S167" t="s">
        <v>467</v>
      </c>
      <c r="T167" t="s">
        <v>468</v>
      </c>
    </row>
    <row r="168" spans="1:20" hidden="1" x14ac:dyDescent="0.2">
      <c r="A168">
        <v>167</v>
      </c>
      <c r="B168" t="s">
        <v>64</v>
      </c>
      <c r="C168" t="s">
        <v>446</v>
      </c>
      <c r="D168" t="s">
        <v>447</v>
      </c>
      <c r="E168">
        <v>14</v>
      </c>
      <c r="F168">
        <v>1</v>
      </c>
      <c r="G168">
        <v>1</v>
      </c>
      <c r="H168" t="s">
        <v>25</v>
      </c>
      <c r="I168" t="s">
        <v>469</v>
      </c>
      <c r="J168" t="s">
        <v>85</v>
      </c>
      <c r="K168" t="s">
        <v>85</v>
      </c>
      <c r="L168" t="s">
        <v>85</v>
      </c>
      <c r="M168" t="s">
        <v>12</v>
      </c>
      <c r="N168" t="s">
        <v>86</v>
      </c>
      <c r="O168" t="s">
        <v>28</v>
      </c>
      <c r="P168">
        <v>200</v>
      </c>
      <c r="Q168">
        <v>70</v>
      </c>
      <c r="R168">
        <v>18</v>
      </c>
      <c r="S168" t="s">
        <v>470</v>
      </c>
      <c r="T168" t="s">
        <v>450</v>
      </c>
    </row>
    <row r="169" spans="1:20" hidden="1" x14ac:dyDescent="0.2">
      <c r="A169">
        <v>168</v>
      </c>
      <c r="B169" t="s">
        <v>64</v>
      </c>
      <c r="C169" t="s">
        <v>446</v>
      </c>
      <c r="D169" t="s">
        <v>451</v>
      </c>
      <c r="E169">
        <v>14</v>
      </c>
      <c r="F169">
        <v>1</v>
      </c>
      <c r="G169">
        <v>2</v>
      </c>
      <c r="H169" t="s">
        <v>25</v>
      </c>
      <c r="I169" t="s">
        <v>471</v>
      </c>
      <c r="J169" t="s">
        <v>85</v>
      </c>
      <c r="K169" t="s">
        <v>85</v>
      </c>
      <c r="L169" t="s">
        <v>85</v>
      </c>
      <c r="M169" t="s">
        <v>12</v>
      </c>
      <c r="N169" t="s">
        <v>414</v>
      </c>
      <c r="O169" t="s">
        <v>28</v>
      </c>
      <c r="P169">
        <v>200</v>
      </c>
      <c r="Q169">
        <v>70</v>
      </c>
      <c r="R169">
        <v>18</v>
      </c>
      <c r="S169" t="s">
        <v>472</v>
      </c>
      <c r="T169" t="s">
        <v>454</v>
      </c>
    </row>
    <row r="170" spans="1:20" hidden="1" x14ac:dyDescent="0.2">
      <c r="A170">
        <v>169</v>
      </c>
      <c r="B170" t="s">
        <v>64</v>
      </c>
      <c r="C170" t="s">
        <v>446</v>
      </c>
      <c r="D170" t="s">
        <v>455</v>
      </c>
      <c r="E170">
        <v>14</v>
      </c>
      <c r="F170">
        <v>1</v>
      </c>
      <c r="G170">
        <v>2</v>
      </c>
      <c r="H170" t="s">
        <v>25</v>
      </c>
      <c r="I170" t="s">
        <v>409</v>
      </c>
      <c r="J170" t="s">
        <v>85</v>
      </c>
      <c r="K170" t="s">
        <v>85</v>
      </c>
      <c r="L170" t="s">
        <v>85</v>
      </c>
      <c r="M170" t="s">
        <v>12</v>
      </c>
      <c r="N170" t="s">
        <v>86</v>
      </c>
      <c r="O170" t="s">
        <v>28</v>
      </c>
      <c r="P170">
        <v>200</v>
      </c>
      <c r="Q170">
        <v>70</v>
      </c>
      <c r="R170">
        <v>18</v>
      </c>
      <c r="S170" t="s">
        <v>473</v>
      </c>
      <c r="T170" t="s">
        <v>458</v>
      </c>
    </row>
    <row r="171" spans="1:20" hidden="1" x14ac:dyDescent="0.2">
      <c r="A171">
        <v>170</v>
      </c>
      <c r="B171" t="s">
        <v>64</v>
      </c>
      <c r="C171" t="s">
        <v>446</v>
      </c>
      <c r="D171" t="s">
        <v>459</v>
      </c>
      <c r="E171">
        <v>14</v>
      </c>
      <c r="F171">
        <v>1</v>
      </c>
      <c r="G171">
        <v>5</v>
      </c>
      <c r="H171" t="s">
        <v>25</v>
      </c>
      <c r="I171" t="s">
        <v>474</v>
      </c>
      <c r="J171" t="s">
        <v>85</v>
      </c>
      <c r="K171" t="s">
        <v>85</v>
      </c>
      <c r="L171" t="s">
        <v>85</v>
      </c>
      <c r="M171" t="s">
        <v>12</v>
      </c>
      <c r="N171" t="s">
        <v>461</v>
      </c>
      <c r="O171" t="s">
        <v>28</v>
      </c>
      <c r="P171">
        <v>200</v>
      </c>
      <c r="Q171">
        <v>70</v>
      </c>
      <c r="R171">
        <v>18</v>
      </c>
      <c r="S171" t="s">
        <v>475</v>
      </c>
      <c r="T171" t="s">
        <v>463</v>
      </c>
    </row>
    <row r="172" spans="1:20" hidden="1" x14ac:dyDescent="0.2">
      <c r="A172">
        <v>171</v>
      </c>
      <c r="B172" t="s">
        <v>64</v>
      </c>
      <c r="C172" t="s">
        <v>446</v>
      </c>
      <c r="D172" t="s">
        <v>464</v>
      </c>
      <c r="E172">
        <v>14</v>
      </c>
      <c r="F172">
        <v>1</v>
      </c>
      <c r="G172">
        <v>7</v>
      </c>
      <c r="H172" t="s">
        <v>25</v>
      </c>
      <c r="I172" t="s">
        <v>89</v>
      </c>
      <c r="J172" t="s">
        <v>85</v>
      </c>
      <c r="K172" t="s">
        <v>85</v>
      </c>
      <c r="L172" t="s">
        <v>85</v>
      </c>
      <c r="M172" t="s">
        <v>12</v>
      </c>
      <c r="N172" t="s">
        <v>466</v>
      </c>
      <c r="O172" t="s">
        <v>28</v>
      </c>
      <c r="P172">
        <v>200</v>
      </c>
      <c r="Q172">
        <v>70</v>
      </c>
      <c r="R172">
        <v>18</v>
      </c>
      <c r="S172" t="s">
        <v>476</v>
      </c>
      <c r="T172" t="s">
        <v>468</v>
      </c>
    </row>
    <row r="173" spans="1:20" hidden="1" x14ac:dyDescent="0.2">
      <c r="A173">
        <v>172</v>
      </c>
      <c r="B173" t="s">
        <v>64</v>
      </c>
      <c r="C173" t="s">
        <v>446</v>
      </c>
      <c r="D173" t="s">
        <v>447</v>
      </c>
      <c r="E173">
        <v>28</v>
      </c>
      <c r="F173">
        <v>1</v>
      </c>
      <c r="G173">
        <v>1</v>
      </c>
      <c r="H173" t="s">
        <v>25</v>
      </c>
      <c r="I173" t="s">
        <v>477</v>
      </c>
      <c r="J173" t="s">
        <v>85</v>
      </c>
      <c r="K173" t="s">
        <v>85</v>
      </c>
      <c r="L173" t="s">
        <v>85</v>
      </c>
      <c r="M173" t="s">
        <v>27</v>
      </c>
      <c r="N173" t="s">
        <v>86</v>
      </c>
      <c r="O173" t="s">
        <v>28</v>
      </c>
      <c r="P173">
        <v>200</v>
      </c>
      <c r="Q173">
        <v>70</v>
      </c>
      <c r="R173">
        <v>18</v>
      </c>
      <c r="S173" t="s">
        <v>478</v>
      </c>
      <c r="T173" t="s">
        <v>450</v>
      </c>
    </row>
    <row r="174" spans="1:20" hidden="1" x14ac:dyDescent="0.2">
      <c r="A174">
        <v>173</v>
      </c>
      <c r="B174" t="s">
        <v>64</v>
      </c>
      <c r="C174" t="s">
        <v>446</v>
      </c>
      <c r="D174" t="s">
        <v>451</v>
      </c>
      <c r="E174">
        <v>28</v>
      </c>
      <c r="F174">
        <v>1</v>
      </c>
      <c r="G174">
        <v>2</v>
      </c>
      <c r="H174" t="s">
        <v>25</v>
      </c>
      <c r="I174" t="s">
        <v>479</v>
      </c>
      <c r="J174" t="s">
        <v>85</v>
      </c>
      <c r="K174" t="s">
        <v>85</v>
      </c>
      <c r="L174" t="s">
        <v>85</v>
      </c>
      <c r="M174" t="s">
        <v>27</v>
      </c>
      <c r="N174" t="s">
        <v>414</v>
      </c>
      <c r="O174" t="s">
        <v>28</v>
      </c>
      <c r="P174">
        <v>200</v>
      </c>
      <c r="Q174">
        <v>70</v>
      </c>
      <c r="R174">
        <v>18</v>
      </c>
      <c r="S174" t="s">
        <v>480</v>
      </c>
      <c r="T174" t="s">
        <v>454</v>
      </c>
    </row>
    <row r="175" spans="1:20" hidden="1" x14ac:dyDescent="0.2">
      <c r="A175">
        <v>174</v>
      </c>
      <c r="B175" t="s">
        <v>64</v>
      </c>
      <c r="C175" t="s">
        <v>446</v>
      </c>
      <c r="D175" t="s">
        <v>455</v>
      </c>
      <c r="E175">
        <v>28</v>
      </c>
      <c r="F175">
        <v>1</v>
      </c>
      <c r="G175">
        <v>2</v>
      </c>
      <c r="H175" t="s">
        <v>25</v>
      </c>
      <c r="I175" t="s">
        <v>89</v>
      </c>
      <c r="J175" t="s">
        <v>85</v>
      </c>
      <c r="K175" t="s">
        <v>85</v>
      </c>
      <c r="L175" t="s">
        <v>85</v>
      </c>
      <c r="M175" t="s">
        <v>27</v>
      </c>
      <c r="N175" t="s">
        <v>86</v>
      </c>
      <c r="O175" t="s">
        <v>28</v>
      </c>
      <c r="P175">
        <v>200</v>
      </c>
      <c r="Q175">
        <v>70</v>
      </c>
      <c r="R175">
        <v>18</v>
      </c>
      <c r="S175" t="s">
        <v>481</v>
      </c>
      <c r="T175" t="s">
        <v>458</v>
      </c>
    </row>
    <row r="176" spans="1:20" hidden="1" x14ac:dyDescent="0.2">
      <c r="A176">
        <v>175</v>
      </c>
      <c r="B176" t="s">
        <v>64</v>
      </c>
      <c r="C176" t="s">
        <v>446</v>
      </c>
      <c r="D176" t="s">
        <v>459</v>
      </c>
      <c r="E176">
        <v>28</v>
      </c>
      <c r="F176">
        <v>1</v>
      </c>
      <c r="G176">
        <v>5</v>
      </c>
      <c r="H176" t="s">
        <v>25</v>
      </c>
      <c r="I176" t="s">
        <v>482</v>
      </c>
      <c r="J176" t="s">
        <v>85</v>
      </c>
      <c r="K176" t="s">
        <v>85</v>
      </c>
      <c r="L176" t="s">
        <v>85</v>
      </c>
      <c r="M176" t="s">
        <v>27</v>
      </c>
      <c r="N176" t="s">
        <v>461</v>
      </c>
      <c r="O176" t="s">
        <v>28</v>
      </c>
      <c r="P176">
        <v>200</v>
      </c>
      <c r="Q176">
        <v>70</v>
      </c>
      <c r="R176">
        <v>18</v>
      </c>
      <c r="S176" t="s">
        <v>483</v>
      </c>
      <c r="T176" t="s">
        <v>463</v>
      </c>
    </row>
    <row r="177" spans="1:20" hidden="1" x14ac:dyDescent="0.2">
      <c r="A177">
        <v>176</v>
      </c>
      <c r="B177" t="s">
        <v>64</v>
      </c>
      <c r="C177" t="s">
        <v>446</v>
      </c>
      <c r="D177" t="s">
        <v>484</v>
      </c>
      <c r="E177">
        <v>28</v>
      </c>
      <c r="F177">
        <v>1</v>
      </c>
      <c r="G177">
        <v>7</v>
      </c>
      <c r="H177" t="s">
        <v>25</v>
      </c>
      <c r="I177" t="s">
        <v>485</v>
      </c>
      <c r="J177" t="s">
        <v>85</v>
      </c>
      <c r="K177" t="s">
        <v>85</v>
      </c>
      <c r="L177" t="s">
        <v>85</v>
      </c>
      <c r="M177" t="s">
        <v>27</v>
      </c>
      <c r="N177" t="s">
        <v>486</v>
      </c>
      <c r="O177" t="s">
        <v>28</v>
      </c>
      <c r="P177">
        <v>200</v>
      </c>
      <c r="Q177">
        <v>70</v>
      </c>
      <c r="R177">
        <v>18</v>
      </c>
      <c r="S177" t="s">
        <v>487</v>
      </c>
      <c r="T177" t="s">
        <v>468</v>
      </c>
    </row>
    <row r="178" spans="1:20" hidden="1" x14ac:dyDescent="0.2">
      <c r="A178">
        <v>177</v>
      </c>
      <c r="B178" t="s">
        <v>64</v>
      </c>
      <c r="C178" t="s">
        <v>446</v>
      </c>
      <c r="D178" t="s">
        <v>447</v>
      </c>
      <c r="E178">
        <v>42</v>
      </c>
      <c r="F178">
        <v>1</v>
      </c>
      <c r="G178">
        <v>1</v>
      </c>
      <c r="H178" t="s">
        <v>25</v>
      </c>
      <c r="I178" t="s">
        <v>488</v>
      </c>
      <c r="J178" t="s">
        <v>85</v>
      </c>
      <c r="K178" t="s">
        <v>85</v>
      </c>
      <c r="L178" t="s">
        <v>85</v>
      </c>
      <c r="M178" t="s">
        <v>12</v>
      </c>
      <c r="N178" t="s">
        <v>86</v>
      </c>
      <c r="O178" t="s">
        <v>28</v>
      </c>
      <c r="P178">
        <v>200</v>
      </c>
      <c r="Q178">
        <v>70</v>
      </c>
      <c r="R178">
        <v>18</v>
      </c>
      <c r="S178" t="s">
        <v>489</v>
      </c>
      <c r="T178" t="s">
        <v>450</v>
      </c>
    </row>
    <row r="179" spans="1:20" hidden="1" x14ac:dyDescent="0.2">
      <c r="A179">
        <v>178</v>
      </c>
      <c r="B179" t="s">
        <v>64</v>
      </c>
      <c r="C179" t="s">
        <v>446</v>
      </c>
      <c r="D179" t="s">
        <v>451</v>
      </c>
      <c r="E179">
        <v>42</v>
      </c>
      <c r="F179">
        <v>1</v>
      </c>
      <c r="G179">
        <v>2</v>
      </c>
      <c r="H179" t="s">
        <v>25</v>
      </c>
      <c r="I179" t="s">
        <v>490</v>
      </c>
      <c r="J179" t="s">
        <v>85</v>
      </c>
      <c r="K179" t="s">
        <v>85</v>
      </c>
      <c r="L179" t="s">
        <v>85</v>
      </c>
      <c r="M179" t="s">
        <v>12</v>
      </c>
      <c r="N179" t="s">
        <v>414</v>
      </c>
      <c r="O179" t="s">
        <v>28</v>
      </c>
      <c r="P179">
        <v>200</v>
      </c>
      <c r="Q179">
        <v>70</v>
      </c>
      <c r="R179">
        <v>18</v>
      </c>
      <c r="S179" t="s">
        <v>491</v>
      </c>
      <c r="T179" t="s">
        <v>454</v>
      </c>
    </row>
    <row r="180" spans="1:20" hidden="1" x14ac:dyDescent="0.2">
      <c r="A180">
        <v>179</v>
      </c>
      <c r="B180" t="s">
        <v>64</v>
      </c>
      <c r="C180" t="s">
        <v>446</v>
      </c>
      <c r="D180" t="s">
        <v>455</v>
      </c>
      <c r="E180">
        <v>42</v>
      </c>
      <c r="F180">
        <v>1</v>
      </c>
      <c r="G180">
        <v>2</v>
      </c>
      <c r="H180" t="s">
        <v>66</v>
      </c>
      <c r="I180" t="s">
        <v>89</v>
      </c>
      <c r="J180" t="s">
        <v>85</v>
      </c>
      <c r="K180" t="s">
        <v>85</v>
      </c>
      <c r="L180" t="s">
        <v>85</v>
      </c>
      <c r="M180" t="s">
        <v>12</v>
      </c>
      <c r="N180" t="s">
        <v>86</v>
      </c>
      <c r="O180" t="s">
        <v>28</v>
      </c>
      <c r="P180">
        <v>200</v>
      </c>
      <c r="Q180">
        <v>70</v>
      </c>
      <c r="R180">
        <v>18</v>
      </c>
      <c r="S180" t="s">
        <v>492</v>
      </c>
      <c r="T180" t="s">
        <v>458</v>
      </c>
    </row>
    <row r="181" spans="1:20" hidden="1" x14ac:dyDescent="0.2">
      <c r="A181">
        <v>180</v>
      </c>
      <c r="B181" t="s">
        <v>64</v>
      </c>
      <c r="C181" t="s">
        <v>446</v>
      </c>
      <c r="D181" t="s">
        <v>459</v>
      </c>
      <c r="E181">
        <v>42</v>
      </c>
      <c r="F181">
        <v>1</v>
      </c>
      <c r="G181">
        <v>5</v>
      </c>
      <c r="H181" t="s">
        <v>25</v>
      </c>
      <c r="I181" t="s">
        <v>493</v>
      </c>
      <c r="J181" t="s">
        <v>85</v>
      </c>
      <c r="K181" t="s">
        <v>85</v>
      </c>
      <c r="L181" t="s">
        <v>85</v>
      </c>
      <c r="M181" t="s">
        <v>12</v>
      </c>
      <c r="N181" t="s">
        <v>461</v>
      </c>
      <c r="O181" t="s">
        <v>28</v>
      </c>
      <c r="P181">
        <v>200</v>
      </c>
      <c r="Q181">
        <v>70</v>
      </c>
      <c r="R181">
        <v>18</v>
      </c>
      <c r="S181" t="s">
        <v>494</v>
      </c>
      <c r="T181" t="s">
        <v>463</v>
      </c>
    </row>
    <row r="182" spans="1:20" hidden="1" x14ac:dyDescent="0.2">
      <c r="A182">
        <v>181</v>
      </c>
      <c r="B182" t="s">
        <v>64</v>
      </c>
      <c r="C182" t="s">
        <v>446</v>
      </c>
      <c r="D182" t="s">
        <v>484</v>
      </c>
      <c r="E182">
        <v>42</v>
      </c>
      <c r="F182">
        <v>1</v>
      </c>
      <c r="G182">
        <v>7</v>
      </c>
      <c r="H182" t="s">
        <v>25</v>
      </c>
      <c r="I182" t="s">
        <v>495</v>
      </c>
      <c r="J182" t="s">
        <v>85</v>
      </c>
      <c r="K182" t="s">
        <v>85</v>
      </c>
      <c r="L182" t="s">
        <v>85</v>
      </c>
      <c r="M182" t="s">
        <v>12</v>
      </c>
      <c r="N182" t="s">
        <v>486</v>
      </c>
      <c r="O182" t="s">
        <v>28</v>
      </c>
      <c r="P182">
        <v>200</v>
      </c>
      <c r="Q182">
        <v>70</v>
      </c>
      <c r="R182">
        <v>18</v>
      </c>
      <c r="S182" t="s">
        <v>496</v>
      </c>
      <c r="T182" t="s">
        <v>468</v>
      </c>
    </row>
    <row r="183" spans="1:20" hidden="1" x14ac:dyDescent="0.2">
      <c r="A183">
        <v>182</v>
      </c>
      <c r="B183" t="s">
        <v>64</v>
      </c>
      <c r="C183" t="s">
        <v>446</v>
      </c>
      <c r="D183" t="s">
        <v>447</v>
      </c>
      <c r="E183">
        <v>56</v>
      </c>
      <c r="F183">
        <v>1</v>
      </c>
      <c r="G183">
        <v>1</v>
      </c>
      <c r="H183" t="s">
        <v>25</v>
      </c>
      <c r="I183" t="s">
        <v>497</v>
      </c>
      <c r="J183" t="s">
        <v>85</v>
      </c>
      <c r="K183" t="s">
        <v>85</v>
      </c>
      <c r="L183" t="s">
        <v>85</v>
      </c>
      <c r="M183" t="s">
        <v>27</v>
      </c>
      <c r="N183" t="s">
        <v>86</v>
      </c>
      <c r="O183" t="s">
        <v>28</v>
      </c>
      <c r="P183">
        <v>200</v>
      </c>
      <c r="Q183">
        <v>70</v>
      </c>
      <c r="R183">
        <v>18</v>
      </c>
      <c r="S183" t="s">
        <v>498</v>
      </c>
      <c r="T183" t="s">
        <v>450</v>
      </c>
    </row>
    <row r="184" spans="1:20" hidden="1" x14ac:dyDescent="0.2">
      <c r="A184">
        <v>183</v>
      </c>
      <c r="B184" t="s">
        <v>64</v>
      </c>
      <c r="C184" t="s">
        <v>446</v>
      </c>
      <c r="D184" t="s">
        <v>451</v>
      </c>
      <c r="E184">
        <v>56</v>
      </c>
      <c r="F184">
        <v>1</v>
      </c>
      <c r="G184">
        <v>2</v>
      </c>
      <c r="H184" t="s">
        <v>25</v>
      </c>
      <c r="I184" t="s">
        <v>499</v>
      </c>
      <c r="J184" t="s">
        <v>85</v>
      </c>
      <c r="K184" t="s">
        <v>85</v>
      </c>
      <c r="L184" t="s">
        <v>85</v>
      </c>
      <c r="M184" t="s">
        <v>27</v>
      </c>
      <c r="N184" t="s">
        <v>414</v>
      </c>
      <c r="O184" t="s">
        <v>28</v>
      </c>
      <c r="P184">
        <v>200</v>
      </c>
      <c r="Q184">
        <v>70</v>
      </c>
      <c r="R184">
        <v>18</v>
      </c>
      <c r="S184" t="s">
        <v>500</v>
      </c>
      <c r="T184" t="s">
        <v>454</v>
      </c>
    </row>
    <row r="185" spans="1:20" hidden="1" x14ac:dyDescent="0.2">
      <c r="A185">
        <v>184</v>
      </c>
      <c r="B185" t="s">
        <v>64</v>
      </c>
      <c r="C185" t="s">
        <v>446</v>
      </c>
      <c r="D185" t="s">
        <v>501</v>
      </c>
      <c r="E185">
        <v>56</v>
      </c>
      <c r="F185">
        <v>1</v>
      </c>
      <c r="G185">
        <v>2</v>
      </c>
      <c r="H185" t="s">
        <v>25</v>
      </c>
      <c r="I185" t="s">
        <v>502</v>
      </c>
      <c r="J185" t="s">
        <v>85</v>
      </c>
      <c r="K185" t="s">
        <v>85</v>
      </c>
      <c r="L185" t="s">
        <v>85</v>
      </c>
      <c r="M185" t="s">
        <v>27</v>
      </c>
      <c r="N185" t="s">
        <v>86</v>
      </c>
      <c r="O185" t="s">
        <v>28</v>
      </c>
      <c r="P185">
        <v>200</v>
      </c>
      <c r="Q185">
        <v>70</v>
      </c>
      <c r="R185">
        <v>18</v>
      </c>
      <c r="S185" t="s">
        <v>503</v>
      </c>
      <c r="T185" t="s">
        <v>458</v>
      </c>
    </row>
    <row r="186" spans="1:20" hidden="1" x14ac:dyDescent="0.2">
      <c r="A186">
        <v>185</v>
      </c>
      <c r="B186" t="s">
        <v>64</v>
      </c>
      <c r="C186" t="s">
        <v>446</v>
      </c>
      <c r="D186" t="s">
        <v>459</v>
      </c>
      <c r="E186">
        <v>56</v>
      </c>
      <c r="F186">
        <v>1</v>
      </c>
      <c r="G186">
        <v>5</v>
      </c>
      <c r="H186" t="s">
        <v>25</v>
      </c>
      <c r="I186" t="s">
        <v>504</v>
      </c>
      <c r="J186" t="s">
        <v>85</v>
      </c>
      <c r="K186" t="s">
        <v>85</v>
      </c>
      <c r="L186" t="s">
        <v>85</v>
      </c>
      <c r="M186" t="s">
        <v>27</v>
      </c>
      <c r="N186" t="s">
        <v>461</v>
      </c>
      <c r="O186" t="s">
        <v>28</v>
      </c>
      <c r="P186">
        <v>200</v>
      </c>
      <c r="Q186">
        <v>70</v>
      </c>
      <c r="R186">
        <v>18</v>
      </c>
      <c r="S186" t="s">
        <v>505</v>
      </c>
      <c r="T186" t="s">
        <v>463</v>
      </c>
    </row>
    <row r="187" spans="1:20" hidden="1" x14ac:dyDescent="0.2">
      <c r="A187">
        <v>186</v>
      </c>
      <c r="B187" t="s">
        <v>64</v>
      </c>
      <c r="C187" t="s">
        <v>446</v>
      </c>
      <c r="D187" t="s">
        <v>484</v>
      </c>
      <c r="E187">
        <v>56</v>
      </c>
      <c r="F187">
        <v>1</v>
      </c>
      <c r="G187">
        <v>7</v>
      </c>
      <c r="H187" t="s">
        <v>25</v>
      </c>
      <c r="I187" t="s">
        <v>506</v>
      </c>
      <c r="J187" t="s">
        <v>85</v>
      </c>
      <c r="K187" t="s">
        <v>85</v>
      </c>
      <c r="L187" t="s">
        <v>85</v>
      </c>
      <c r="M187" t="s">
        <v>27</v>
      </c>
      <c r="N187" t="s">
        <v>486</v>
      </c>
      <c r="O187" t="s">
        <v>28</v>
      </c>
      <c r="P187">
        <v>200</v>
      </c>
      <c r="Q187">
        <v>70</v>
      </c>
      <c r="R187">
        <v>18</v>
      </c>
      <c r="S187" t="s">
        <v>507</v>
      </c>
      <c r="T187" t="s">
        <v>468</v>
      </c>
    </row>
    <row r="188" spans="1:20" hidden="1" x14ac:dyDescent="0.2">
      <c r="A188">
        <v>187</v>
      </c>
      <c r="B188" t="s">
        <v>64</v>
      </c>
      <c r="C188" t="s">
        <v>446</v>
      </c>
      <c r="D188" t="s">
        <v>447</v>
      </c>
      <c r="E188">
        <v>70</v>
      </c>
      <c r="F188">
        <v>1</v>
      </c>
      <c r="G188">
        <v>1</v>
      </c>
      <c r="H188" t="s">
        <v>25</v>
      </c>
      <c r="I188" t="s">
        <v>508</v>
      </c>
      <c r="J188" t="s">
        <v>85</v>
      </c>
      <c r="K188" t="s">
        <v>85</v>
      </c>
      <c r="L188" t="s">
        <v>85</v>
      </c>
      <c r="M188" t="s">
        <v>12</v>
      </c>
      <c r="N188" t="s">
        <v>86</v>
      </c>
      <c r="O188" t="s">
        <v>28</v>
      </c>
      <c r="P188">
        <v>200</v>
      </c>
      <c r="Q188">
        <v>70</v>
      </c>
      <c r="R188">
        <v>18</v>
      </c>
      <c r="S188" t="s">
        <v>509</v>
      </c>
      <c r="T188" t="s">
        <v>450</v>
      </c>
    </row>
    <row r="189" spans="1:20" hidden="1" x14ac:dyDescent="0.2">
      <c r="A189">
        <v>188</v>
      </c>
      <c r="B189" t="s">
        <v>64</v>
      </c>
      <c r="C189" t="s">
        <v>446</v>
      </c>
      <c r="D189" t="s">
        <v>451</v>
      </c>
      <c r="E189">
        <v>70</v>
      </c>
      <c r="F189">
        <v>1</v>
      </c>
      <c r="G189">
        <v>2</v>
      </c>
      <c r="H189" t="s">
        <v>25</v>
      </c>
      <c r="I189" t="s">
        <v>510</v>
      </c>
      <c r="J189" t="s">
        <v>85</v>
      </c>
      <c r="K189" t="s">
        <v>85</v>
      </c>
      <c r="L189" t="s">
        <v>85</v>
      </c>
      <c r="M189" t="s">
        <v>12</v>
      </c>
      <c r="N189" t="s">
        <v>414</v>
      </c>
      <c r="O189" t="s">
        <v>28</v>
      </c>
      <c r="P189">
        <v>200</v>
      </c>
      <c r="Q189">
        <v>70</v>
      </c>
      <c r="R189">
        <v>18</v>
      </c>
      <c r="S189" t="s">
        <v>511</v>
      </c>
      <c r="T189" t="s">
        <v>454</v>
      </c>
    </row>
    <row r="190" spans="1:20" hidden="1" x14ac:dyDescent="0.2">
      <c r="A190">
        <v>189</v>
      </c>
      <c r="B190" t="s">
        <v>64</v>
      </c>
      <c r="C190" t="s">
        <v>446</v>
      </c>
      <c r="D190" t="s">
        <v>501</v>
      </c>
      <c r="E190">
        <v>70</v>
      </c>
      <c r="F190">
        <v>1</v>
      </c>
      <c r="G190">
        <v>2</v>
      </c>
      <c r="H190" t="s">
        <v>25</v>
      </c>
      <c r="I190" t="s">
        <v>512</v>
      </c>
      <c r="J190" t="s">
        <v>85</v>
      </c>
      <c r="K190" t="s">
        <v>85</v>
      </c>
      <c r="L190" t="s">
        <v>85</v>
      </c>
      <c r="M190" t="s">
        <v>12</v>
      </c>
      <c r="N190" t="s">
        <v>86</v>
      </c>
      <c r="O190" t="s">
        <v>28</v>
      </c>
      <c r="P190">
        <v>200</v>
      </c>
      <c r="Q190">
        <v>70</v>
      </c>
      <c r="R190">
        <v>18</v>
      </c>
      <c r="S190" t="s">
        <v>513</v>
      </c>
      <c r="T190" t="s">
        <v>458</v>
      </c>
    </row>
    <row r="191" spans="1:20" hidden="1" x14ac:dyDescent="0.2">
      <c r="A191">
        <v>190</v>
      </c>
      <c r="B191" t="s">
        <v>64</v>
      </c>
      <c r="C191" t="s">
        <v>446</v>
      </c>
      <c r="D191" t="s">
        <v>459</v>
      </c>
      <c r="E191">
        <v>70</v>
      </c>
      <c r="F191">
        <v>1</v>
      </c>
      <c r="G191">
        <v>5</v>
      </c>
      <c r="H191" t="s">
        <v>25</v>
      </c>
      <c r="I191" t="s">
        <v>514</v>
      </c>
      <c r="J191" t="s">
        <v>85</v>
      </c>
      <c r="K191" t="s">
        <v>85</v>
      </c>
      <c r="L191" t="s">
        <v>85</v>
      </c>
      <c r="M191" t="s">
        <v>12</v>
      </c>
      <c r="N191" t="s">
        <v>461</v>
      </c>
      <c r="O191" t="s">
        <v>28</v>
      </c>
      <c r="P191">
        <v>200</v>
      </c>
      <c r="Q191">
        <v>70</v>
      </c>
      <c r="R191">
        <v>18</v>
      </c>
      <c r="S191" t="s">
        <v>515</v>
      </c>
      <c r="T191" t="s">
        <v>463</v>
      </c>
    </row>
    <row r="192" spans="1:20" hidden="1" x14ac:dyDescent="0.2">
      <c r="A192">
        <v>191</v>
      </c>
      <c r="B192" t="s">
        <v>64</v>
      </c>
      <c r="C192" t="s">
        <v>446</v>
      </c>
      <c r="D192" t="s">
        <v>484</v>
      </c>
      <c r="E192">
        <v>70</v>
      </c>
      <c r="F192">
        <v>1</v>
      </c>
      <c r="G192">
        <v>7</v>
      </c>
      <c r="H192" t="s">
        <v>25</v>
      </c>
      <c r="I192" t="s">
        <v>89</v>
      </c>
      <c r="J192" t="s">
        <v>85</v>
      </c>
      <c r="K192" t="s">
        <v>85</v>
      </c>
      <c r="L192" t="s">
        <v>85</v>
      </c>
      <c r="M192" t="s">
        <v>12</v>
      </c>
      <c r="N192" t="s">
        <v>486</v>
      </c>
      <c r="O192" t="s">
        <v>28</v>
      </c>
      <c r="P192">
        <v>200</v>
      </c>
      <c r="Q192">
        <v>70</v>
      </c>
      <c r="R192">
        <v>18</v>
      </c>
      <c r="S192" t="s">
        <v>516</v>
      </c>
      <c r="T192" t="s">
        <v>468</v>
      </c>
    </row>
    <row r="193" spans="1:20" hidden="1" x14ac:dyDescent="0.2">
      <c r="A193">
        <v>192</v>
      </c>
      <c r="B193" t="s">
        <v>64</v>
      </c>
      <c r="C193" t="s">
        <v>446</v>
      </c>
      <c r="D193" t="s">
        <v>447</v>
      </c>
      <c r="E193">
        <v>84</v>
      </c>
      <c r="F193">
        <v>1</v>
      </c>
      <c r="G193">
        <v>1</v>
      </c>
      <c r="H193" t="s">
        <v>26</v>
      </c>
      <c r="I193" t="s">
        <v>517</v>
      </c>
      <c r="J193" t="s">
        <v>85</v>
      </c>
      <c r="K193" t="s">
        <v>85</v>
      </c>
      <c r="L193" t="s">
        <v>85</v>
      </c>
      <c r="M193" t="s">
        <v>27</v>
      </c>
      <c r="N193" t="s">
        <v>86</v>
      </c>
      <c r="O193" t="s">
        <v>28</v>
      </c>
      <c r="P193">
        <v>200</v>
      </c>
      <c r="Q193">
        <v>70</v>
      </c>
      <c r="R193">
        <v>18</v>
      </c>
      <c r="S193" t="s">
        <v>518</v>
      </c>
      <c r="T193" t="s">
        <v>450</v>
      </c>
    </row>
    <row r="194" spans="1:20" hidden="1" x14ac:dyDescent="0.2">
      <c r="A194">
        <v>193</v>
      </c>
      <c r="B194" t="s">
        <v>64</v>
      </c>
      <c r="C194" t="s">
        <v>446</v>
      </c>
      <c r="D194" t="s">
        <v>451</v>
      </c>
      <c r="E194">
        <v>84</v>
      </c>
      <c r="F194">
        <v>1</v>
      </c>
      <c r="G194">
        <v>2</v>
      </c>
      <c r="H194" t="s">
        <v>26</v>
      </c>
      <c r="I194" t="s">
        <v>519</v>
      </c>
      <c r="J194" t="s">
        <v>270</v>
      </c>
      <c r="K194" t="s">
        <v>520</v>
      </c>
      <c r="L194" t="s">
        <v>270</v>
      </c>
      <c r="M194" t="s">
        <v>27</v>
      </c>
      <c r="N194" t="s">
        <v>414</v>
      </c>
      <c r="O194" t="s">
        <v>28</v>
      </c>
      <c r="P194">
        <v>200</v>
      </c>
      <c r="Q194">
        <v>70</v>
      </c>
      <c r="R194">
        <v>18</v>
      </c>
      <c r="S194" t="s">
        <v>521</v>
      </c>
      <c r="T194" t="s">
        <v>454</v>
      </c>
    </row>
    <row r="195" spans="1:20" hidden="1" x14ac:dyDescent="0.2">
      <c r="A195">
        <v>194</v>
      </c>
      <c r="B195" t="s">
        <v>64</v>
      </c>
      <c r="C195" t="s">
        <v>446</v>
      </c>
      <c r="D195" t="s">
        <v>501</v>
      </c>
      <c r="E195">
        <v>84</v>
      </c>
      <c r="F195">
        <v>1</v>
      </c>
      <c r="G195">
        <v>2</v>
      </c>
      <c r="H195" t="s">
        <v>26</v>
      </c>
      <c r="I195" t="s">
        <v>522</v>
      </c>
      <c r="J195" t="s">
        <v>85</v>
      </c>
      <c r="K195" t="s">
        <v>85</v>
      </c>
      <c r="L195" t="s">
        <v>414</v>
      </c>
      <c r="M195" t="s">
        <v>27</v>
      </c>
      <c r="N195" t="s">
        <v>86</v>
      </c>
      <c r="O195" t="s">
        <v>28</v>
      </c>
      <c r="P195">
        <v>200</v>
      </c>
      <c r="Q195">
        <v>70</v>
      </c>
      <c r="R195">
        <v>18</v>
      </c>
      <c r="S195" t="s">
        <v>523</v>
      </c>
      <c r="T195" t="s">
        <v>458</v>
      </c>
    </row>
    <row r="196" spans="1:20" hidden="1" x14ac:dyDescent="0.2">
      <c r="A196">
        <v>195</v>
      </c>
      <c r="B196" t="s">
        <v>64</v>
      </c>
      <c r="C196" t="s">
        <v>446</v>
      </c>
      <c r="D196" t="s">
        <v>459</v>
      </c>
      <c r="E196">
        <v>84</v>
      </c>
      <c r="F196">
        <v>1</v>
      </c>
      <c r="G196">
        <v>5</v>
      </c>
      <c r="H196" t="s">
        <v>26</v>
      </c>
      <c r="I196" t="s">
        <v>524</v>
      </c>
      <c r="J196" t="s">
        <v>525</v>
      </c>
      <c r="K196" t="s">
        <v>526</v>
      </c>
      <c r="L196" t="s">
        <v>527</v>
      </c>
      <c r="M196" t="s">
        <v>27</v>
      </c>
      <c r="N196" t="s">
        <v>461</v>
      </c>
      <c r="O196" t="s">
        <v>28</v>
      </c>
      <c r="P196">
        <v>200</v>
      </c>
      <c r="Q196">
        <v>70</v>
      </c>
      <c r="R196">
        <v>18</v>
      </c>
      <c r="S196" t="s">
        <v>528</v>
      </c>
      <c r="T196" t="s">
        <v>463</v>
      </c>
    </row>
    <row r="197" spans="1:20" hidden="1" x14ac:dyDescent="0.2">
      <c r="A197">
        <v>196</v>
      </c>
      <c r="B197" t="s">
        <v>64</v>
      </c>
      <c r="C197" t="s">
        <v>446</v>
      </c>
      <c r="D197" t="s">
        <v>484</v>
      </c>
      <c r="E197">
        <v>84</v>
      </c>
      <c r="F197">
        <v>1</v>
      </c>
      <c r="G197">
        <v>7</v>
      </c>
      <c r="H197" t="s">
        <v>26</v>
      </c>
      <c r="I197" t="s">
        <v>89</v>
      </c>
      <c r="J197" t="s">
        <v>89</v>
      </c>
      <c r="K197" t="s">
        <v>89</v>
      </c>
      <c r="L197" t="s">
        <v>89</v>
      </c>
      <c r="M197" t="s">
        <v>27</v>
      </c>
      <c r="N197" t="s">
        <v>486</v>
      </c>
      <c r="O197" t="s">
        <v>28</v>
      </c>
      <c r="P197">
        <v>200</v>
      </c>
      <c r="Q197">
        <v>70</v>
      </c>
      <c r="R197">
        <v>18</v>
      </c>
      <c r="S197" t="s">
        <v>89</v>
      </c>
      <c r="T197" t="s">
        <v>468</v>
      </c>
    </row>
    <row r="198" spans="1:20" hidden="1" x14ac:dyDescent="0.2">
      <c r="A198">
        <v>197</v>
      </c>
      <c r="B198" t="s">
        <v>64</v>
      </c>
      <c r="C198" t="s">
        <v>446</v>
      </c>
      <c r="D198" t="s">
        <v>447</v>
      </c>
      <c r="E198">
        <v>98</v>
      </c>
      <c r="F198">
        <v>1</v>
      </c>
      <c r="G198">
        <v>1</v>
      </c>
      <c r="H198" t="s">
        <v>26</v>
      </c>
      <c r="I198" t="s">
        <v>529</v>
      </c>
      <c r="J198" t="s">
        <v>89</v>
      </c>
      <c r="K198" t="s">
        <v>89</v>
      </c>
      <c r="L198" t="s">
        <v>89</v>
      </c>
      <c r="M198" t="s">
        <v>12</v>
      </c>
      <c r="N198" t="s">
        <v>86</v>
      </c>
      <c r="O198" t="s">
        <v>28</v>
      </c>
      <c r="P198">
        <v>200</v>
      </c>
      <c r="Q198">
        <v>70</v>
      </c>
      <c r="R198">
        <v>18</v>
      </c>
      <c r="S198" t="s">
        <v>530</v>
      </c>
      <c r="T198" t="s">
        <v>450</v>
      </c>
    </row>
    <row r="199" spans="1:20" hidden="1" x14ac:dyDescent="0.2">
      <c r="A199">
        <v>198</v>
      </c>
      <c r="B199" t="s">
        <v>64</v>
      </c>
      <c r="C199" t="s">
        <v>446</v>
      </c>
      <c r="D199" t="s">
        <v>451</v>
      </c>
      <c r="E199">
        <v>98</v>
      </c>
      <c r="F199">
        <v>1</v>
      </c>
      <c r="G199">
        <v>2</v>
      </c>
      <c r="H199" t="s">
        <v>26</v>
      </c>
      <c r="I199" t="s">
        <v>531</v>
      </c>
      <c r="J199" t="s">
        <v>89</v>
      </c>
      <c r="K199" t="s">
        <v>89</v>
      </c>
      <c r="L199" t="s">
        <v>89</v>
      </c>
      <c r="M199" t="s">
        <v>12</v>
      </c>
      <c r="N199" t="s">
        <v>414</v>
      </c>
      <c r="O199" t="s">
        <v>28</v>
      </c>
      <c r="P199">
        <v>200</v>
      </c>
      <c r="Q199">
        <v>70</v>
      </c>
      <c r="R199">
        <v>18</v>
      </c>
      <c r="S199" t="s">
        <v>532</v>
      </c>
      <c r="T199" t="s">
        <v>454</v>
      </c>
    </row>
    <row r="200" spans="1:20" hidden="1" x14ac:dyDescent="0.2">
      <c r="A200">
        <v>199</v>
      </c>
      <c r="B200" t="s">
        <v>64</v>
      </c>
      <c r="C200" t="s">
        <v>446</v>
      </c>
      <c r="D200" t="s">
        <v>501</v>
      </c>
      <c r="E200">
        <v>98</v>
      </c>
      <c r="F200">
        <v>1</v>
      </c>
      <c r="G200">
        <v>2</v>
      </c>
      <c r="H200" t="s">
        <v>26</v>
      </c>
      <c r="I200" t="s">
        <v>533</v>
      </c>
      <c r="J200" t="s">
        <v>89</v>
      </c>
      <c r="K200" t="s">
        <v>89</v>
      </c>
      <c r="L200" t="s">
        <v>89</v>
      </c>
      <c r="M200" t="s">
        <v>12</v>
      </c>
      <c r="N200" t="s">
        <v>86</v>
      </c>
      <c r="O200" t="s">
        <v>28</v>
      </c>
      <c r="P200">
        <v>200</v>
      </c>
      <c r="Q200">
        <v>70</v>
      </c>
      <c r="R200">
        <v>18</v>
      </c>
      <c r="S200" t="s">
        <v>533</v>
      </c>
      <c r="T200" t="s">
        <v>458</v>
      </c>
    </row>
    <row r="201" spans="1:20" hidden="1" x14ac:dyDescent="0.2">
      <c r="A201">
        <v>200</v>
      </c>
      <c r="B201" t="s">
        <v>64</v>
      </c>
      <c r="C201" t="s">
        <v>446</v>
      </c>
      <c r="D201" t="s">
        <v>459</v>
      </c>
      <c r="E201">
        <v>98</v>
      </c>
      <c r="F201">
        <v>1</v>
      </c>
      <c r="G201">
        <v>5</v>
      </c>
      <c r="H201" t="s">
        <v>26</v>
      </c>
      <c r="I201" t="s">
        <v>534</v>
      </c>
      <c r="J201" t="s">
        <v>89</v>
      </c>
      <c r="K201" t="s">
        <v>89</v>
      </c>
      <c r="L201" t="s">
        <v>89</v>
      </c>
      <c r="M201" t="s">
        <v>12</v>
      </c>
      <c r="N201" t="s">
        <v>461</v>
      </c>
      <c r="O201" t="s">
        <v>28</v>
      </c>
      <c r="P201">
        <v>200</v>
      </c>
      <c r="Q201">
        <v>70</v>
      </c>
      <c r="R201">
        <v>18</v>
      </c>
      <c r="S201" t="s">
        <v>535</v>
      </c>
      <c r="T201" t="s">
        <v>463</v>
      </c>
    </row>
    <row r="202" spans="1:20" hidden="1" x14ac:dyDescent="0.2">
      <c r="A202">
        <v>201</v>
      </c>
      <c r="B202" t="s">
        <v>64</v>
      </c>
      <c r="C202" t="s">
        <v>446</v>
      </c>
      <c r="D202" t="s">
        <v>484</v>
      </c>
      <c r="E202">
        <v>98</v>
      </c>
      <c r="F202">
        <v>1</v>
      </c>
      <c r="G202">
        <v>7</v>
      </c>
      <c r="H202" t="s">
        <v>26</v>
      </c>
      <c r="I202" t="s">
        <v>89</v>
      </c>
      <c r="J202" t="s">
        <v>89</v>
      </c>
      <c r="K202" t="s">
        <v>89</v>
      </c>
      <c r="L202" t="s">
        <v>89</v>
      </c>
      <c r="M202" t="s">
        <v>12</v>
      </c>
      <c r="N202" t="s">
        <v>486</v>
      </c>
      <c r="O202" t="s">
        <v>28</v>
      </c>
      <c r="P202">
        <v>200</v>
      </c>
      <c r="Q202">
        <v>70</v>
      </c>
      <c r="R202">
        <v>18</v>
      </c>
      <c r="S202" t="s">
        <v>89</v>
      </c>
      <c r="T202" t="s">
        <v>468</v>
      </c>
    </row>
    <row r="203" spans="1:20" hidden="1" x14ac:dyDescent="0.2">
      <c r="A203">
        <v>202</v>
      </c>
      <c r="B203" t="s">
        <v>64</v>
      </c>
      <c r="C203" t="s">
        <v>446</v>
      </c>
      <c r="D203" t="s">
        <v>447</v>
      </c>
      <c r="E203">
        <v>112</v>
      </c>
      <c r="F203">
        <v>1</v>
      </c>
      <c r="G203">
        <v>1</v>
      </c>
      <c r="H203" t="s">
        <v>26</v>
      </c>
      <c r="I203" t="s">
        <v>536</v>
      </c>
      <c r="J203" t="s">
        <v>85</v>
      </c>
      <c r="K203" t="s">
        <v>85</v>
      </c>
      <c r="L203" t="s">
        <v>85</v>
      </c>
      <c r="M203" t="s">
        <v>27</v>
      </c>
      <c r="N203" t="s">
        <v>86</v>
      </c>
      <c r="O203" t="s">
        <v>28</v>
      </c>
      <c r="P203">
        <v>200</v>
      </c>
      <c r="Q203">
        <v>70</v>
      </c>
      <c r="R203">
        <v>18</v>
      </c>
      <c r="S203" t="s">
        <v>537</v>
      </c>
      <c r="T203" t="s">
        <v>450</v>
      </c>
    </row>
    <row r="204" spans="1:20" hidden="1" x14ac:dyDescent="0.2">
      <c r="A204">
        <v>203</v>
      </c>
      <c r="B204" t="s">
        <v>64</v>
      </c>
      <c r="C204" t="s">
        <v>446</v>
      </c>
      <c r="D204" t="s">
        <v>451</v>
      </c>
      <c r="E204">
        <v>112</v>
      </c>
      <c r="F204">
        <v>1</v>
      </c>
      <c r="G204">
        <v>2</v>
      </c>
      <c r="H204" t="s">
        <v>26</v>
      </c>
      <c r="I204" t="s">
        <v>538</v>
      </c>
      <c r="J204" t="s">
        <v>238</v>
      </c>
      <c r="K204" t="s">
        <v>269</v>
      </c>
      <c r="L204" t="s">
        <v>452</v>
      </c>
      <c r="M204" t="s">
        <v>27</v>
      </c>
      <c r="N204" t="s">
        <v>414</v>
      </c>
      <c r="O204" t="s">
        <v>28</v>
      </c>
      <c r="P204">
        <v>200</v>
      </c>
      <c r="Q204">
        <v>70</v>
      </c>
      <c r="R204">
        <v>18</v>
      </c>
      <c r="S204" t="s">
        <v>539</v>
      </c>
      <c r="T204" t="s">
        <v>454</v>
      </c>
    </row>
    <row r="205" spans="1:20" hidden="1" x14ac:dyDescent="0.2">
      <c r="A205">
        <v>204</v>
      </c>
      <c r="B205" t="s">
        <v>64</v>
      </c>
      <c r="C205" t="s">
        <v>446</v>
      </c>
      <c r="D205" t="s">
        <v>501</v>
      </c>
      <c r="E205">
        <v>112</v>
      </c>
      <c r="F205">
        <v>1</v>
      </c>
      <c r="G205">
        <v>2</v>
      </c>
      <c r="H205" t="s">
        <v>26</v>
      </c>
      <c r="I205" t="s">
        <v>540</v>
      </c>
      <c r="J205" t="s">
        <v>525</v>
      </c>
      <c r="K205" t="s">
        <v>86</v>
      </c>
      <c r="L205" t="s">
        <v>86</v>
      </c>
      <c r="M205" t="s">
        <v>27</v>
      </c>
      <c r="N205" t="s">
        <v>86</v>
      </c>
      <c r="O205" t="s">
        <v>28</v>
      </c>
      <c r="P205">
        <v>200</v>
      </c>
      <c r="Q205">
        <v>70</v>
      </c>
      <c r="R205">
        <v>18</v>
      </c>
      <c r="S205" t="s">
        <v>541</v>
      </c>
      <c r="T205" t="s">
        <v>458</v>
      </c>
    </row>
    <row r="206" spans="1:20" hidden="1" x14ac:dyDescent="0.2">
      <c r="A206">
        <v>205</v>
      </c>
      <c r="B206" t="s">
        <v>64</v>
      </c>
      <c r="C206" t="s">
        <v>446</v>
      </c>
      <c r="D206" t="s">
        <v>459</v>
      </c>
      <c r="E206">
        <v>112</v>
      </c>
      <c r="F206">
        <v>1</v>
      </c>
      <c r="G206">
        <v>5</v>
      </c>
      <c r="H206" t="s">
        <v>26</v>
      </c>
      <c r="I206" t="s">
        <v>542</v>
      </c>
      <c r="J206" t="s">
        <v>543</v>
      </c>
      <c r="K206" t="s">
        <v>544</v>
      </c>
      <c r="L206" t="s">
        <v>545</v>
      </c>
      <c r="M206" t="s">
        <v>27</v>
      </c>
      <c r="N206" t="s">
        <v>461</v>
      </c>
      <c r="O206" t="s">
        <v>28</v>
      </c>
      <c r="P206">
        <v>200</v>
      </c>
      <c r="Q206">
        <v>70</v>
      </c>
      <c r="R206">
        <v>18</v>
      </c>
      <c r="S206" t="s">
        <v>546</v>
      </c>
      <c r="T206" t="s">
        <v>463</v>
      </c>
    </row>
    <row r="207" spans="1:20" hidden="1" x14ac:dyDescent="0.2">
      <c r="A207">
        <v>206</v>
      </c>
      <c r="B207" t="s">
        <v>64</v>
      </c>
      <c r="C207" t="s">
        <v>446</v>
      </c>
      <c r="D207" t="s">
        <v>447</v>
      </c>
      <c r="E207">
        <v>126</v>
      </c>
      <c r="F207">
        <v>1</v>
      </c>
      <c r="G207">
        <v>1</v>
      </c>
      <c r="H207" t="s">
        <v>26</v>
      </c>
      <c r="I207" t="s">
        <v>547</v>
      </c>
      <c r="J207" t="s">
        <v>89</v>
      </c>
      <c r="K207" t="s">
        <v>89</v>
      </c>
      <c r="L207" t="s">
        <v>89</v>
      </c>
      <c r="M207" t="s">
        <v>12</v>
      </c>
      <c r="N207" t="s">
        <v>86</v>
      </c>
      <c r="O207" t="s">
        <v>28</v>
      </c>
      <c r="P207">
        <v>200</v>
      </c>
      <c r="Q207">
        <v>70</v>
      </c>
      <c r="R207">
        <v>18</v>
      </c>
      <c r="S207" t="s">
        <v>548</v>
      </c>
      <c r="T207" t="s">
        <v>450</v>
      </c>
    </row>
    <row r="208" spans="1:20" hidden="1" x14ac:dyDescent="0.2">
      <c r="A208">
        <v>207</v>
      </c>
      <c r="B208" t="s">
        <v>64</v>
      </c>
      <c r="C208" t="s">
        <v>446</v>
      </c>
      <c r="D208" t="s">
        <v>451</v>
      </c>
      <c r="E208">
        <v>126</v>
      </c>
      <c r="F208">
        <v>1</v>
      </c>
      <c r="G208">
        <v>2</v>
      </c>
      <c r="H208" t="s">
        <v>26</v>
      </c>
      <c r="I208" t="s">
        <v>549</v>
      </c>
      <c r="J208" t="s">
        <v>89</v>
      </c>
      <c r="K208" t="s">
        <v>89</v>
      </c>
      <c r="L208" t="s">
        <v>89</v>
      </c>
      <c r="M208" t="s">
        <v>12</v>
      </c>
      <c r="N208" t="s">
        <v>414</v>
      </c>
      <c r="O208" t="s">
        <v>28</v>
      </c>
      <c r="P208">
        <v>200</v>
      </c>
      <c r="Q208">
        <v>70</v>
      </c>
      <c r="R208">
        <v>18</v>
      </c>
      <c r="S208" t="s">
        <v>550</v>
      </c>
      <c r="T208" t="s">
        <v>454</v>
      </c>
    </row>
    <row r="209" spans="1:20" hidden="1" x14ac:dyDescent="0.2">
      <c r="A209">
        <v>208</v>
      </c>
      <c r="B209" t="s">
        <v>64</v>
      </c>
      <c r="C209" t="s">
        <v>446</v>
      </c>
      <c r="D209" t="s">
        <v>501</v>
      </c>
      <c r="E209">
        <v>126</v>
      </c>
      <c r="F209">
        <v>1</v>
      </c>
      <c r="G209">
        <v>2</v>
      </c>
      <c r="H209" t="s">
        <v>26</v>
      </c>
      <c r="I209" t="s">
        <v>551</v>
      </c>
      <c r="J209" t="s">
        <v>89</v>
      </c>
      <c r="K209" t="s">
        <v>89</v>
      </c>
      <c r="L209" t="s">
        <v>552</v>
      </c>
      <c r="M209" t="s">
        <v>12</v>
      </c>
      <c r="N209" t="s">
        <v>86</v>
      </c>
      <c r="O209" t="s">
        <v>28</v>
      </c>
      <c r="P209">
        <v>200</v>
      </c>
      <c r="Q209">
        <v>70</v>
      </c>
      <c r="R209">
        <v>18</v>
      </c>
      <c r="S209" t="s">
        <v>553</v>
      </c>
      <c r="T209" t="s">
        <v>458</v>
      </c>
    </row>
    <row r="210" spans="1:20" hidden="1" x14ac:dyDescent="0.2">
      <c r="A210">
        <v>209</v>
      </c>
      <c r="B210" t="s">
        <v>64</v>
      </c>
      <c r="C210" t="s">
        <v>446</v>
      </c>
      <c r="D210" t="s">
        <v>459</v>
      </c>
      <c r="E210">
        <v>126</v>
      </c>
      <c r="F210">
        <v>1</v>
      </c>
      <c r="G210">
        <v>5</v>
      </c>
      <c r="H210" t="s">
        <v>26</v>
      </c>
      <c r="I210" t="s">
        <v>554</v>
      </c>
      <c r="J210" t="s">
        <v>89</v>
      </c>
      <c r="K210" t="s">
        <v>89</v>
      </c>
      <c r="L210" t="s">
        <v>89</v>
      </c>
      <c r="M210" t="s">
        <v>12</v>
      </c>
      <c r="N210" t="s">
        <v>461</v>
      </c>
      <c r="O210" t="s">
        <v>28</v>
      </c>
      <c r="P210">
        <v>200</v>
      </c>
      <c r="Q210">
        <v>70</v>
      </c>
      <c r="R210">
        <v>18</v>
      </c>
      <c r="S210" t="s">
        <v>555</v>
      </c>
      <c r="T210" t="s">
        <v>463</v>
      </c>
    </row>
    <row r="211" spans="1:20" hidden="1" x14ac:dyDescent="0.2">
      <c r="A211">
        <v>210</v>
      </c>
      <c r="B211" t="s">
        <v>64</v>
      </c>
      <c r="C211" t="s">
        <v>446</v>
      </c>
      <c r="D211" t="s">
        <v>447</v>
      </c>
      <c r="E211">
        <v>140</v>
      </c>
      <c r="F211">
        <v>1</v>
      </c>
      <c r="G211">
        <v>1</v>
      </c>
      <c r="H211" t="s">
        <v>26</v>
      </c>
      <c r="I211" t="s">
        <v>556</v>
      </c>
      <c r="J211" t="s">
        <v>85</v>
      </c>
      <c r="K211" t="s">
        <v>85</v>
      </c>
      <c r="L211" t="s">
        <v>85</v>
      </c>
      <c r="M211" t="s">
        <v>27</v>
      </c>
      <c r="N211" t="s">
        <v>86</v>
      </c>
      <c r="O211" t="s">
        <v>28</v>
      </c>
      <c r="P211">
        <v>200</v>
      </c>
      <c r="Q211">
        <v>70</v>
      </c>
      <c r="R211">
        <v>18</v>
      </c>
      <c r="S211" t="s">
        <v>557</v>
      </c>
      <c r="T211" t="s">
        <v>450</v>
      </c>
    </row>
    <row r="212" spans="1:20" hidden="1" x14ac:dyDescent="0.2">
      <c r="A212">
        <v>211</v>
      </c>
      <c r="B212" t="s">
        <v>64</v>
      </c>
      <c r="C212" t="s">
        <v>446</v>
      </c>
      <c r="D212" t="s">
        <v>451</v>
      </c>
      <c r="E212">
        <v>140</v>
      </c>
      <c r="F212">
        <v>1</v>
      </c>
      <c r="G212">
        <v>2</v>
      </c>
      <c r="H212" t="s">
        <v>26</v>
      </c>
      <c r="I212" t="s">
        <v>558</v>
      </c>
      <c r="J212" t="s">
        <v>559</v>
      </c>
      <c r="K212" t="s">
        <v>560</v>
      </c>
      <c r="L212" t="s">
        <v>561</v>
      </c>
      <c r="M212" t="s">
        <v>27</v>
      </c>
      <c r="N212" t="s">
        <v>414</v>
      </c>
      <c r="O212" t="s">
        <v>28</v>
      </c>
      <c r="P212">
        <v>200</v>
      </c>
      <c r="Q212">
        <v>70</v>
      </c>
      <c r="R212">
        <v>18</v>
      </c>
      <c r="S212" t="s">
        <v>562</v>
      </c>
      <c r="T212" t="s">
        <v>454</v>
      </c>
    </row>
    <row r="213" spans="1:20" hidden="1" x14ac:dyDescent="0.2">
      <c r="A213">
        <v>212</v>
      </c>
      <c r="B213" t="s">
        <v>64</v>
      </c>
      <c r="C213" t="s">
        <v>446</v>
      </c>
      <c r="D213" t="s">
        <v>501</v>
      </c>
      <c r="E213">
        <v>140</v>
      </c>
      <c r="F213">
        <v>1</v>
      </c>
      <c r="G213">
        <v>2</v>
      </c>
      <c r="H213" t="s">
        <v>26</v>
      </c>
      <c r="I213" t="s">
        <v>563</v>
      </c>
      <c r="J213" t="s">
        <v>564</v>
      </c>
      <c r="K213" t="s">
        <v>565</v>
      </c>
      <c r="L213" t="s">
        <v>566</v>
      </c>
      <c r="M213" t="s">
        <v>27</v>
      </c>
      <c r="N213" t="s">
        <v>86</v>
      </c>
      <c r="O213" t="s">
        <v>28</v>
      </c>
      <c r="P213">
        <v>200</v>
      </c>
      <c r="Q213">
        <v>70</v>
      </c>
      <c r="R213">
        <v>18</v>
      </c>
      <c r="S213" t="s">
        <v>563</v>
      </c>
      <c r="T213" t="s">
        <v>458</v>
      </c>
    </row>
    <row r="214" spans="1:20" hidden="1" x14ac:dyDescent="0.2">
      <c r="A214">
        <v>213</v>
      </c>
      <c r="B214" t="s">
        <v>64</v>
      </c>
      <c r="C214" t="s">
        <v>446</v>
      </c>
      <c r="D214" t="s">
        <v>459</v>
      </c>
      <c r="E214">
        <v>140</v>
      </c>
      <c r="F214">
        <v>1</v>
      </c>
      <c r="G214">
        <v>5</v>
      </c>
      <c r="H214" t="s">
        <v>26</v>
      </c>
      <c r="I214" t="s">
        <v>567</v>
      </c>
      <c r="J214" t="s">
        <v>568</v>
      </c>
      <c r="K214" t="s">
        <v>569</v>
      </c>
      <c r="L214" t="s">
        <v>570</v>
      </c>
      <c r="M214" t="s">
        <v>27</v>
      </c>
      <c r="N214" t="s">
        <v>461</v>
      </c>
      <c r="O214" t="s">
        <v>28</v>
      </c>
      <c r="P214">
        <v>200</v>
      </c>
      <c r="Q214">
        <v>70</v>
      </c>
      <c r="R214">
        <v>18</v>
      </c>
      <c r="S214" t="s">
        <v>571</v>
      </c>
      <c r="T214" t="s">
        <v>463</v>
      </c>
    </row>
    <row r="215" spans="1:20" hidden="1" x14ac:dyDescent="0.2">
      <c r="A215">
        <v>214</v>
      </c>
      <c r="B215" t="s">
        <v>64</v>
      </c>
      <c r="C215" t="s">
        <v>446</v>
      </c>
      <c r="D215" t="s">
        <v>447</v>
      </c>
      <c r="E215">
        <v>154</v>
      </c>
      <c r="F215">
        <v>1</v>
      </c>
      <c r="G215">
        <v>1</v>
      </c>
      <c r="H215" t="s">
        <v>26</v>
      </c>
      <c r="I215" t="s">
        <v>572</v>
      </c>
      <c r="J215" t="s">
        <v>85</v>
      </c>
      <c r="K215" t="s">
        <v>85</v>
      </c>
      <c r="L215" t="s">
        <v>85</v>
      </c>
      <c r="M215" t="s">
        <v>27</v>
      </c>
      <c r="N215" t="s">
        <v>86</v>
      </c>
      <c r="O215" t="s">
        <v>28</v>
      </c>
      <c r="P215">
        <v>200</v>
      </c>
      <c r="Q215">
        <v>70</v>
      </c>
      <c r="R215">
        <v>18</v>
      </c>
      <c r="S215" t="s">
        <v>573</v>
      </c>
      <c r="T215" t="s">
        <v>450</v>
      </c>
    </row>
    <row r="216" spans="1:20" hidden="1" x14ac:dyDescent="0.2">
      <c r="A216">
        <v>215</v>
      </c>
      <c r="B216" t="s">
        <v>64</v>
      </c>
      <c r="C216" t="s">
        <v>446</v>
      </c>
      <c r="D216" t="s">
        <v>451</v>
      </c>
      <c r="E216">
        <v>154</v>
      </c>
      <c r="F216">
        <v>1</v>
      </c>
      <c r="G216">
        <v>2</v>
      </c>
      <c r="H216" t="s">
        <v>26</v>
      </c>
      <c r="I216" t="s">
        <v>574</v>
      </c>
      <c r="J216" t="s">
        <v>575</v>
      </c>
      <c r="K216" t="s">
        <v>576</v>
      </c>
      <c r="L216" t="s">
        <v>577</v>
      </c>
      <c r="M216" t="s">
        <v>27</v>
      </c>
      <c r="N216" t="s">
        <v>414</v>
      </c>
      <c r="O216" t="s">
        <v>28</v>
      </c>
      <c r="P216">
        <v>200</v>
      </c>
      <c r="Q216">
        <v>70</v>
      </c>
      <c r="R216">
        <v>18</v>
      </c>
      <c r="S216" t="s">
        <v>578</v>
      </c>
      <c r="T216" t="s">
        <v>454</v>
      </c>
    </row>
    <row r="217" spans="1:20" hidden="1" x14ac:dyDescent="0.2">
      <c r="A217">
        <v>216</v>
      </c>
      <c r="B217" t="s">
        <v>64</v>
      </c>
      <c r="C217" t="s">
        <v>446</v>
      </c>
      <c r="D217" t="s">
        <v>501</v>
      </c>
      <c r="E217">
        <v>154</v>
      </c>
      <c r="F217">
        <v>1</v>
      </c>
      <c r="G217">
        <v>2</v>
      </c>
      <c r="H217" t="s">
        <v>26</v>
      </c>
      <c r="I217" t="s">
        <v>579</v>
      </c>
      <c r="J217" t="s">
        <v>575</v>
      </c>
      <c r="K217" t="s">
        <v>576</v>
      </c>
      <c r="L217" t="s">
        <v>560</v>
      </c>
      <c r="M217" t="s">
        <v>27</v>
      </c>
      <c r="N217" t="s">
        <v>86</v>
      </c>
      <c r="O217" t="s">
        <v>28</v>
      </c>
      <c r="P217">
        <v>200</v>
      </c>
      <c r="Q217">
        <v>70</v>
      </c>
      <c r="R217">
        <v>18</v>
      </c>
      <c r="S217" t="s">
        <v>579</v>
      </c>
      <c r="T217" t="s">
        <v>458</v>
      </c>
    </row>
    <row r="218" spans="1:20" hidden="1" x14ac:dyDescent="0.2">
      <c r="A218">
        <v>217</v>
      </c>
      <c r="B218" t="s">
        <v>64</v>
      </c>
      <c r="C218" t="s">
        <v>446</v>
      </c>
      <c r="D218" t="s">
        <v>459</v>
      </c>
      <c r="E218">
        <v>154</v>
      </c>
      <c r="F218">
        <v>1</v>
      </c>
      <c r="G218">
        <v>5</v>
      </c>
      <c r="H218" t="s">
        <v>26</v>
      </c>
      <c r="I218" t="s">
        <v>580</v>
      </c>
      <c r="J218" t="s">
        <v>178</v>
      </c>
      <c r="K218" t="s">
        <v>576</v>
      </c>
      <c r="L218" t="s">
        <v>581</v>
      </c>
      <c r="M218" t="s">
        <v>27</v>
      </c>
      <c r="N218" t="s">
        <v>461</v>
      </c>
      <c r="O218" t="s">
        <v>28</v>
      </c>
      <c r="P218">
        <v>200</v>
      </c>
      <c r="Q218">
        <v>70</v>
      </c>
      <c r="R218">
        <v>18</v>
      </c>
      <c r="S218" t="s">
        <v>582</v>
      </c>
      <c r="T218" t="s">
        <v>463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4287-67BF-6740-89A3-E64DC66C1E0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390C59-2ADA-7A43-987A-21BDFE05C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Bart2019_XP1</vt:lpstr>
      <vt:lpstr>Bart2019_XP2</vt:lpstr>
      <vt:lpstr>Bart2019_XP3</vt:lpstr>
      <vt:lpstr>Bart2019_XP4</vt:lpstr>
      <vt:lpstr>Bart2019_XP5</vt:lpstr>
      <vt:lpstr>Bart2020_Ctrl</vt:lpstr>
      <vt:lpstr>Gollot2026_lufa</vt:lpstr>
      <vt:lpstr>Gollot2026_dens</vt:lpstr>
      <vt:lpstr>Data_DEB_mean</vt:lpstr>
      <vt:lpstr>Data_DEB_mean (2)</vt:lpstr>
      <vt:lpstr>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2025-07-23T11:35:28Z</dcterms:created>
  <dcterms:modified xsi:type="dcterms:W3CDTF">2026-05-06T11:44:42Z</dcterms:modified>
</cp:coreProperties>
</file>