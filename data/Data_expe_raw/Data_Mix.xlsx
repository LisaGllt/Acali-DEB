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D/data/"/>
    </mc:Choice>
  </mc:AlternateContent>
  <xr:revisionPtr revIDLastSave="0" documentId="13_ncr:1_{C4A7F6F1-26F0-BA40-8EAB-0492BAD37B35}" xr6:coauthVersionLast="47" xr6:coauthVersionMax="47" xr10:uidLastSave="{00000000-0000-0000-0000-000000000000}"/>
  <bookViews>
    <workbookView xWindow="-33640" yWindow="-1380" windowWidth="29400" windowHeight="18380" firstSheet="1" activeTab="8" xr2:uid="{151B9EC8-58A5-074E-9B57-F0DD5BB2A4DA}"/>
  </bookViews>
  <sheets>
    <sheet name="ReproAutumn2024" sheetId="1" r:id="rId1"/>
    <sheet name="ReproSpring2025weight" sheetId="10" r:id="rId2"/>
    <sheet name="ReproSpring2025weightfasting" sheetId="13" r:id="rId3"/>
    <sheet name="ReproSpring2025hatchlingsLotD" sheetId="11" r:id="rId4"/>
    <sheet name="ReproSpring2025hatchlingsLotE" sheetId="12" r:id="rId5"/>
    <sheet name="ReproSpring2025coc" sheetId="8" r:id="rId6"/>
    <sheet name="ReproSpring2025cocsize" sheetId="7" r:id="rId7"/>
    <sheet name="T0" sheetId="4" r:id="rId8"/>
    <sheet name="README" sheetId="2" r:id="rId9"/>
  </sheets>
  <definedNames>
    <definedName name="_xlnm._FilterDatabase" localSheetId="0" hidden="1">ReproAutumn2024!$A$1:$O$451</definedName>
    <definedName name="_xlnm._FilterDatabase" localSheetId="5" hidden="1">ReproSpring2025coc!$A$1:$L$253</definedName>
    <definedName name="_xlnm._FilterDatabase" localSheetId="1" hidden="1">ReproSpring2025weight!$A$1:$P$577</definedName>
    <definedName name="_xlnm._FilterDatabase" localSheetId="2" hidden="1">ReproSpring2025weightfasting!$A$1:$P$145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2" l="1"/>
  <c r="AH36" i="12"/>
  <c r="AH35" i="12"/>
  <c r="AH34" i="12"/>
  <c r="AH33" i="12"/>
  <c r="AH32" i="12"/>
  <c r="AH31" i="12"/>
  <c r="AH30" i="12"/>
  <c r="AH29" i="12"/>
  <c r="AH28" i="12"/>
  <c r="AH27" i="12"/>
  <c r="AH26" i="12"/>
  <c r="AH25" i="12"/>
  <c r="AH24" i="12"/>
  <c r="AH23" i="12"/>
  <c r="AH22" i="12"/>
  <c r="AH21" i="12"/>
  <c r="AH20" i="12"/>
  <c r="AH19" i="12"/>
  <c r="AH18" i="12"/>
  <c r="AH17" i="12"/>
  <c r="AH16" i="12"/>
  <c r="AH15" i="12"/>
  <c r="AH14" i="12"/>
  <c r="AH13" i="12"/>
  <c r="AH12" i="12"/>
  <c r="AH11" i="12"/>
  <c r="AH10" i="12"/>
  <c r="AH9" i="12"/>
  <c r="AH8" i="12"/>
  <c r="AH7" i="12"/>
  <c r="AH6" i="12"/>
  <c r="AH5" i="12"/>
  <c r="AH4" i="12"/>
  <c r="AH3" i="12"/>
  <c r="AH2" i="12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  <c r="A531" i="7" l="1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2" i="7"/>
</calcChain>
</file>

<file path=xl/sharedStrings.xml><?xml version="1.0" encoding="utf-8"?>
<sst xmlns="http://schemas.openxmlformats.org/spreadsheetml/2006/main" count="6916" uniqueCount="118">
  <si>
    <t>Date</t>
  </si>
  <si>
    <t>t</t>
  </si>
  <si>
    <t>ID_camp</t>
  </si>
  <si>
    <t>ID_cosm</t>
  </si>
  <si>
    <t>Line</t>
  </si>
  <si>
    <t>Ratio</t>
  </si>
  <si>
    <t>Nb_rep</t>
  </si>
  <si>
    <t>w_tot</t>
  </si>
  <si>
    <t>Nb_ind</t>
  </si>
  <si>
    <t>Status</t>
  </si>
  <si>
    <t>Nb_cocoons</t>
  </si>
  <si>
    <t>E</t>
  </si>
  <si>
    <t>F</t>
  </si>
  <si>
    <t>G</t>
  </si>
  <si>
    <t>H</t>
  </si>
  <si>
    <t>I</t>
  </si>
  <si>
    <t>N</t>
  </si>
  <si>
    <t>Lot</t>
  </si>
  <si>
    <t>A</t>
  </si>
  <si>
    <t>3.1</t>
  </si>
  <si>
    <t>4.1</t>
  </si>
  <si>
    <t>5.1</t>
  </si>
  <si>
    <t>6.1</t>
  </si>
  <si>
    <t>1.1</t>
  </si>
  <si>
    <t>1.2</t>
  </si>
  <si>
    <t>2.1</t>
  </si>
  <si>
    <t>4.1 &amp; 6.1</t>
  </si>
  <si>
    <t>5.1 &amp; 3.1</t>
  </si>
  <si>
    <t>Dose_EPX</t>
  </si>
  <si>
    <t>Dose_IMD</t>
  </si>
  <si>
    <t>B</t>
  </si>
  <si>
    <t>C</t>
  </si>
  <si>
    <t>7.1</t>
  </si>
  <si>
    <t>one lost cocoon</t>
  </si>
  <si>
    <t>2 crunched cocoons</t>
  </si>
  <si>
    <t>T</t>
  </si>
  <si>
    <t>1.1&amp;1.2</t>
  </si>
  <si>
    <t>D</t>
  </si>
  <si>
    <t>ID</t>
  </si>
  <si>
    <t>Color</t>
  </si>
  <si>
    <t>Box</t>
  </si>
  <si>
    <t>w</t>
  </si>
  <si>
    <t>No_vdt</t>
  </si>
  <si>
    <t>Pink</t>
  </si>
  <si>
    <t>Orange</t>
  </si>
  <si>
    <t>Green</t>
  </si>
  <si>
    <t>Yellow</t>
  </si>
  <si>
    <t>10.1</t>
  </si>
  <si>
    <t>2.2</t>
  </si>
  <si>
    <t>8.1</t>
  </si>
  <si>
    <t>6.2</t>
  </si>
  <si>
    <t>w0</t>
  </si>
  <si>
    <t>wFrozen</t>
  </si>
  <si>
    <t>Fasted</t>
  </si>
  <si>
    <t>Yes</t>
  </si>
  <si>
    <t>No</t>
  </si>
  <si>
    <t>Coc_height</t>
  </si>
  <si>
    <t>Coc_width</t>
  </si>
  <si>
    <t>w_coc_tot</t>
  </si>
  <si>
    <t>Nb_cocoons_crushed</t>
  </si>
  <si>
    <t>861.3</t>
  </si>
  <si>
    <t>Length of the given cocoon</t>
  </si>
  <si>
    <t>Width of the given cocoon</t>
  </si>
  <si>
    <t>Level of effect</t>
  </si>
  <si>
    <t>Ratio between IMD and EPX (E = 0:1 ; F = 1:3 ; G = 1:1 ; H = 3:1 ; I = 1:0)</t>
  </si>
  <si>
    <t>Identification number</t>
  </si>
  <si>
    <t>Batch of experiment</t>
  </si>
  <si>
    <t>Date of the given measurements</t>
  </si>
  <si>
    <t>Dose of IMD (mg/kg)</t>
  </si>
  <si>
    <t>Dose of EPX (mg/kg)</t>
  </si>
  <si>
    <t>Identification number of cosms</t>
  </si>
  <si>
    <t>Number of cocoons produced by the given cosm</t>
  </si>
  <si>
    <t>Weight of almost all cocoons in the given cosm (Nb_cocoons - Nb_cocoons_crushed)</t>
  </si>
  <si>
    <t>Number of cocoons crushed and not weighted</t>
  </si>
  <si>
    <t>Time since the begining of the experiment</t>
  </si>
  <si>
    <t>Number of the eartworm in the cosm (1 or 2)</t>
  </si>
  <si>
    <t>Replicate number (1 to 6)</t>
  </si>
  <si>
    <t>Culture box in which the earthworm was taken</t>
  </si>
  <si>
    <t>Color of the earthworm tag</t>
  </si>
  <si>
    <t>ID of the batch and generation of the earthworm in the culture</t>
  </si>
  <si>
    <t>Weight of the given earthworm</t>
  </si>
  <si>
    <t>Development stage of the earthworm (J = Juvenile, A = Adult, D = Dead)</t>
  </si>
  <si>
    <t>Total weight of the earthworms in one cosm</t>
  </si>
  <si>
    <t>Number of earthworms in one cosm</t>
  </si>
  <si>
    <t>Reste</t>
  </si>
  <si>
    <t>Tot_coc</t>
  </si>
  <si>
    <t>09/05/2025</t>
  </si>
  <si>
    <t>06/05/2025</t>
  </si>
  <si>
    <t>07/05/2025</t>
  </si>
  <si>
    <t>12/05/2025</t>
  </si>
  <si>
    <t>13/05/2025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</si>
  <si>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</si>
  <si>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</si>
  <si>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</si>
  <si>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</si>
  <si>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</si>
  <si>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</si>
  <si>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</si>
  <si>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</si>
  <si>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</si>
  <si>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</si>
  <si>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02/06/2025</t>
  </si>
  <si>
    <t>03/06/2025</t>
  </si>
  <si>
    <t>04/06/2025</t>
  </si>
  <si>
    <t>05/06/2025</t>
  </si>
  <si>
    <t>06/06/2025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</si>
  <si>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</si>
  <si>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</si>
  <si>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</si>
  <si>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</si>
  <si>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</si>
  <si>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</si>
  <si>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</si>
  <si>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</si>
  <si>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</si>
  <si>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05/05/2025</t>
  </si>
  <si>
    <t>23/04/2025</t>
  </si>
  <si>
    <t>29/04/2025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</si>
</sst>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8" xfId="0" applyNumberFormat="1" applyBorder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2" fillId="0" borderId="3" xfId="0" applyFont="1" applyBorder="1"/>
    <xf numFmtId="0" fontId="0" fillId="0" borderId="15" xfId="0" applyBorder="1"/>
    <xf numFmtId="14" fontId="0" fillId="0" borderId="0" xfId="0" applyNumberFormat="1"/>
    <xf numFmtId="0" fontId="2" fillId="0" borderId="13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/>
    </xf>
    <xf numFmtId="0" fontId="0" fillId="0" borderId="17" xfId="0" applyBorder="1"/>
    <xf numFmtId="14" fontId="0" fillId="0" borderId="17" xfId="0" applyNumberFormat="1" applyBorder="1"/>
    <xf numFmtId="1" fontId="0" fillId="0" borderId="17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2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0" fillId="0" borderId="11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9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8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5" fillId="0" borderId="25" xfId="0" applyNumberFormat="1" applyFont="1" applyBorder="1" applyAlignment="1">
      <alignment horizontal="center"/>
    </xf>
    <xf numFmtId="1" fontId="0" fillId="0" borderId="1" xfId="0" applyNumberFormat="1" applyBorder="1"/>
    <xf numFmtId="1" fontId="0" fillId="0" borderId="25" xfId="0" applyNumberFormat="1" applyBorder="1"/>
    <xf numFmtId="1" fontId="5" fillId="0" borderId="18" xfId="0" applyNumberFormat="1" applyFont="1" applyBorder="1" applyAlignment="1">
      <alignment horizontal="center"/>
    </xf>
    <xf numFmtId="1" fontId="0" fillId="0" borderId="11" xfId="0" applyNumberFormat="1" applyBorder="1"/>
    <xf numFmtId="1" fontId="0" fillId="0" borderId="18" xfId="0" applyNumberFormat="1" applyBorder="1"/>
    <xf numFmtId="1" fontId="0" fillId="0" borderId="2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28" xfId="0" applyBorder="1"/>
  </cellXfs>
  <cellStyles count="1">
    <cellStyle name="Normal" xfId="0" builtinId="0"/>
  </cellStyles>
  <dxfs count="21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EFF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D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7816-8F4C-A24D-9013-D6CCB511673A}">
  <dimension ref="A1:O453"/>
  <sheetViews>
    <sheetView zoomScale="75" workbookViewId="0">
      <pane ySplit="1" topLeftCell="A2" activePane="bottomLeft" state="frozen"/>
      <selection pane="bottomLeft" activeCell="D183" sqref="D183"/>
    </sheetView>
  </sheetViews>
  <sheetFormatPr baseColWidth="10" defaultRowHeight="16" x14ac:dyDescent="0.2"/>
  <cols>
    <col min="2" max="2" width="13.33203125" customWidth="1"/>
  </cols>
  <sheetData>
    <row r="1" spans="1:14" s="1" customFormat="1" ht="17" thickBot="1" x14ac:dyDescent="0.25">
      <c r="A1" s="1" t="s">
        <v>17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28</v>
      </c>
      <c r="I1" s="1" t="s">
        <v>29</v>
      </c>
      <c r="J1" s="1" t="s">
        <v>2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">
      <c r="A2" s="5" t="s">
        <v>18</v>
      </c>
      <c r="B2" s="6">
        <v>45581</v>
      </c>
      <c r="C2" s="7">
        <v>0</v>
      </c>
      <c r="D2" s="7">
        <v>1</v>
      </c>
      <c r="E2" s="7" t="s">
        <v>16</v>
      </c>
      <c r="F2" s="7">
        <v>0</v>
      </c>
      <c r="G2" s="7">
        <v>1</v>
      </c>
      <c r="H2" s="7">
        <v>0</v>
      </c>
      <c r="I2" s="7">
        <v>0</v>
      </c>
      <c r="J2" s="7" t="s">
        <v>27</v>
      </c>
      <c r="K2" s="7">
        <v>997.8</v>
      </c>
      <c r="L2" s="7">
        <v>2</v>
      </c>
      <c r="M2" s="7" t="s">
        <v>18</v>
      </c>
      <c r="N2" s="8"/>
    </row>
    <row r="3" spans="1:14" x14ac:dyDescent="0.2">
      <c r="A3" s="9" t="s">
        <v>18</v>
      </c>
      <c r="B3" s="3">
        <v>45581</v>
      </c>
      <c r="C3" s="2">
        <v>0</v>
      </c>
      <c r="D3" s="2">
        <v>2</v>
      </c>
      <c r="E3" s="2" t="s">
        <v>16</v>
      </c>
      <c r="F3" s="2">
        <v>0</v>
      </c>
      <c r="G3" s="2">
        <v>2</v>
      </c>
      <c r="H3" s="2">
        <v>0</v>
      </c>
      <c r="I3" s="2">
        <v>0</v>
      </c>
      <c r="J3" s="2" t="s">
        <v>26</v>
      </c>
      <c r="K3" s="2">
        <v>1134.7</v>
      </c>
      <c r="L3" s="2">
        <v>2</v>
      </c>
      <c r="M3" s="2" t="s">
        <v>18</v>
      </c>
      <c r="N3" s="10"/>
    </row>
    <row r="4" spans="1:14" x14ac:dyDescent="0.2">
      <c r="A4" s="9" t="s">
        <v>18</v>
      </c>
      <c r="B4" s="3">
        <v>45581</v>
      </c>
      <c r="C4" s="2">
        <v>0</v>
      </c>
      <c r="D4" s="2">
        <v>3</v>
      </c>
      <c r="E4" s="2" t="s">
        <v>11</v>
      </c>
      <c r="F4" s="2">
        <v>1</v>
      </c>
      <c r="G4" s="2">
        <v>1</v>
      </c>
      <c r="H4" s="2">
        <v>0.94179999999999997</v>
      </c>
      <c r="I4" s="2">
        <v>0</v>
      </c>
      <c r="J4" s="2" t="s">
        <v>19</v>
      </c>
      <c r="K4" s="2">
        <v>800.9</v>
      </c>
      <c r="L4" s="2">
        <v>2</v>
      </c>
      <c r="M4" s="2" t="s">
        <v>18</v>
      </c>
      <c r="N4" s="10"/>
    </row>
    <row r="5" spans="1:14" x14ac:dyDescent="0.2">
      <c r="A5" s="9" t="s">
        <v>18</v>
      </c>
      <c r="B5" s="3">
        <v>45581</v>
      </c>
      <c r="C5" s="2">
        <v>0</v>
      </c>
      <c r="D5" s="2">
        <v>4</v>
      </c>
      <c r="E5" s="2" t="s">
        <v>11</v>
      </c>
      <c r="F5" s="2">
        <v>1</v>
      </c>
      <c r="G5" s="2">
        <v>2</v>
      </c>
      <c r="H5" s="2">
        <v>0.94179999999999997</v>
      </c>
      <c r="I5" s="2">
        <v>0</v>
      </c>
      <c r="J5" s="2" t="s">
        <v>20</v>
      </c>
      <c r="K5" s="2">
        <v>841.5</v>
      </c>
      <c r="L5" s="2">
        <v>2</v>
      </c>
      <c r="M5" s="2" t="s">
        <v>18</v>
      </c>
      <c r="N5" s="10"/>
    </row>
    <row r="6" spans="1:14" x14ac:dyDescent="0.2">
      <c r="A6" s="9" t="s">
        <v>18</v>
      </c>
      <c r="B6" s="3">
        <v>45581</v>
      </c>
      <c r="C6" s="2">
        <v>0</v>
      </c>
      <c r="D6" s="2">
        <v>5</v>
      </c>
      <c r="E6" s="2" t="s">
        <v>11</v>
      </c>
      <c r="F6" s="2">
        <v>2</v>
      </c>
      <c r="G6" s="2">
        <v>1</v>
      </c>
      <c r="H6" s="2">
        <v>9.4181000000000008</v>
      </c>
      <c r="I6" s="2">
        <v>0</v>
      </c>
      <c r="J6" s="2" t="s">
        <v>20</v>
      </c>
      <c r="K6" s="2">
        <v>821.7</v>
      </c>
      <c r="L6" s="2">
        <v>2</v>
      </c>
      <c r="M6" s="2" t="s">
        <v>18</v>
      </c>
      <c r="N6" s="10"/>
    </row>
    <row r="7" spans="1:14" x14ac:dyDescent="0.2">
      <c r="A7" s="9" t="s">
        <v>18</v>
      </c>
      <c r="B7" s="3">
        <v>45581</v>
      </c>
      <c r="C7" s="2">
        <v>0</v>
      </c>
      <c r="D7" s="2">
        <v>6</v>
      </c>
      <c r="E7" s="2" t="s">
        <v>11</v>
      </c>
      <c r="F7" s="2">
        <v>2</v>
      </c>
      <c r="G7" s="2">
        <v>2</v>
      </c>
      <c r="H7" s="2">
        <v>9.4181000000000008</v>
      </c>
      <c r="I7" s="2">
        <v>0</v>
      </c>
      <c r="J7" s="2" t="s">
        <v>21</v>
      </c>
      <c r="K7" s="2">
        <v>991.5</v>
      </c>
      <c r="L7" s="2">
        <v>2</v>
      </c>
      <c r="M7" s="2" t="s">
        <v>18</v>
      </c>
      <c r="N7" s="10"/>
    </row>
    <row r="8" spans="1:14" x14ac:dyDescent="0.2">
      <c r="A8" s="9" t="s">
        <v>18</v>
      </c>
      <c r="B8" s="3">
        <v>45581</v>
      </c>
      <c r="C8" s="2">
        <v>0</v>
      </c>
      <c r="D8" s="2">
        <v>7</v>
      </c>
      <c r="E8" s="2" t="s">
        <v>11</v>
      </c>
      <c r="F8" s="2">
        <v>3</v>
      </c>
      <c r="G8" s="2">
        <v>1</v>
      </c>
      <c r="H8" s="2">
        <v>52.9619</v>
      </c>
      <c r="I8" s="2">
        <v>0</v>
      </c>
      <c r="J8" s="2" t="s">
        <v>22</v>
      </c>
      <c r="K8" s="2">
        <v>1065.4000000000001</v>
      </c>
      <c r="L8" s="2">
        <v>2</v>
      </c>
      <c r="M8" s="2" t="s">
        <v>18</v>
      </c>
      <c r="N8" s="10"/>
    </row>
    <row r="9" spans="1:14" x14ac:dyDescent="0.2">
      <c r="A9" s="9" t="s">
        <v>18</v>
      </c>
      <c r="B9" s="3">
        <v>45581</v>
      </c>
      <c r="C9" s="2">
        <v>0</v>
      </c>
      <c r="D9" s="2">
        <v>8</v>
      </c>
      <c r="E9" s="2" t="s">
        <v>11</v>
      </c>
      <c r="F9" s="2">
        <v>3</v>
      </c>
      <c r="G9" s="2">
        <v>2</v>
      </c>
      <c r="H9" s="2">
        <v>52.9619</v>
      </c>
      <c r="I9" s="2">
        <v>0</v>
      </c>
      <c r="J9" s="2" t="s">
        <v>19</v>
      </c>
      <c r="K9" s="2">
        <v>896.8</v>
      </c>
      <c r="L9" s="2">
        <v>2</v>
      </c>
      <c r="M9" s="2" t="s">
        <v>18</v>
      </c>
      <c r="N9" s="10"/>
    </row>
    <row r="10" spans="1:14" x14ac:dyDescent="0.2">
      <c r="A10" s="9" t="s">
        <v>18</v>
      </c>
      <c r="B10" s="3">
        <v>45581</v>
      </c>
      <c r="C10" s="2">
        <v>0</v>
      </c>
      <c r="D10" s="2">
        <v>9</v>
      </c>
      <c r="E10" s="2" t="s">
        <v>11</v>
      </c>
      <c r="F10" s="2">
        <v>4</v>
      </c>
      <c r="G10" s="2">
        <v>1</v>
      </c>
      <c r="H10" s="2">
        <v>94.180999999999997</v>
      </c>
      <c r="I10" s="2">
        <v>0</v>
      </c>
      <c r="J10" s="2" t="s">
        <v>19</v>
      </c>
      <c r="K10" s="2">
        <v>1173.8</v>
      </c>
      <c r="L10" s="2">
        <v>2</v>
      </c>
      <c r="M10" s="2" t="s">
        <v>18</v>
      </c>
      <c r="N10" s="10"/>
    </row>
    <row r="11" spans="1:14" x14ac:dyDescent="0.2">
      <c r="A11" s="9" t="s">
        <v>18</v>
      </c>
      <c r="B11" s="3">
        <v>45581</v>
      </c>
      <c r="C11" s="2">
        <v>0</v>
      </c>
      <c r="D11" s="2">
        <v>10</v>
      </c>
      <c r="E11" s="2" t="s">
        <v>11</v>
      </c>
      <c r="F11" s="2">
        <v>4</v>
      </c>
      <c r="G11" s="2">
        <v>2</v>
      </c>
      <c r="H11" s="2">
        <v>94.180999999999997</v>
      </c>
      <c r="I11" s="2">
        <v>0</v>
      </c>
      <c r="J11" s="2" t="s">
        <v>20</v>
      </c>
      <c r="K11" s="2">
        <v>836.7</v>
      </c>
      <c r="L11" s="2">
        <v>2</v>
      </c>
      <c r="M11" s="2" t="s">
        <v>18</v>
      </c>
      <c r="N11" s="10"/>
    </row>
    <row r="12" spans="1:14" x14ac:dyDescent="0.2">
      <c r="A12" s="9" t="s">
        <v>18</v>
      </c>
      <c r="B12" s="3">
        <v>45581</v>
      </c>
      <c r="C12" s="2">
        <v>0</v>
      </c>
      <c r="D12" s="2">
        <v>11</v>
      </c>
      <c r="E12" s="2" t="s">
        <v>11</v>
      </c>
      <c r="F12" s="2">
        <v>5</v>
      </c>
      <c r="G12" s="2">
        <v>1</v>
      </c>
      <c r="H12" s="2">
        <v>167.48009999999999</v>
      </c>
      <c r="I12" s="2">
        <v>0</v>
      </c>
      <c r="J12" s="2" t="s">
        <v>20</v>
      </c>
      <c r="K12" s="2">
        <v>965.5</v>
      </c>
      <c r="L12" s="2">
        <v>2</v>
      </c>
      <c r="M12" s="2" t="s">
        <v>18</v>
      </c>
      <c r="N12" s="10"/>
    </row>
    <row r="13" spans="1:14" x14ac:dyDescent="0.2">
      <c r="A13" s="9" t="s">
        <v>18</v>
      </c>
      <c r="B13" s="3">
        <v>45581</v>
      </c>
      <c r="C13" s="2">
        <v>0</v>
      </c>
      <c r="D13" s="2">
        <v>12</v>
      </c>
      <c r="E13" s="2" t="s">
        <v>11</v>
      </c>
      <c r="F13" s="2">
        <v>5</v>
      </c>
      <c r="G13" s="2">
        <v>2</v>
      </c>
      <c r="H13" s="2">
        <v>167.48009999999999</v>
      </c>
      <c r="I13" s="2">
        <v>0</v>
      </c>
      <c r="J13" s="2" t="s">
        <v>22</v>
      </c>
      <c r="K13" s="2">
        <v>1141.5</v>
      </c>
      <c r="L13" s="2">
        <v>2</v>
      </c>
      <c r="M13" s="2" t="s">
        <v>18</v>
      </c>
      <c r="N13" s="10"/>
    </row>
    <row r="14" spans="1:14" x14ac:dyDescent="0.2">
      <c r="A14" s="9" t="s">
        <v>18</v>
      </c>
      <c r="B14" s="3">
        <v>45581</v>
      </c>
      <c r="C14" s="2">
        <v>0</v>
      </c>
      <c r="D14" s="2">
        <v>13</v>
      </c>
      <c r="E14" s="2" t="s">
        <v>11</v>
      </c>
      <c r="F14" s="2">
        <v>6</v>
      </c>
      <c r="G14" s="2">
        <v>1</v>
      </c>
      <c r="H14" s="2">
        <v>297.82639999999998</v>
      </c>
      <c r="I14" s="2">
        <v>0</v>
      </c>
      <c r="J14" s="2" t="s">
        <v>22</v>
      </c>
      <c r="K14" s="2">
        <v>1095.5999999999999</v>
      </c>
      <c r="L14" s="2">
        <v>2</v>
      </c>
      <c r="M14" s="2" t="s">
        <v>18</v>
      </c>
      <c r="N14" s="10"/>
    </row>
    <row r="15" spans="1:14" x14ac:dyDescent="0.2">
      <c r="A15" s="9" t="s">
        <v>18</v>
      </c>
      <c r="B15" s="3">
        <v>45581</v>
      </c>
      <c r="C15" s="2">
        <v>0</v>
      </c>
      <c r="D15" s="2">
        <v>14</v>
      </c>
      <c r="E15" s="2" t="s">
        <v>11</v>
      </c>
      <c r="F15" s="2">
        <v>6</v>
      </c>
      <c r="G15" s="2">
        <v>2</v>
      </c>
      <c r="H15" s="2">
        <v>297.82639999999998</v>
      </c>
      <c r="I15" s="2">
        <v>0</v>
      </c>
      <c r="J15" s="2" t="s">
        <v>19</v>
      </c>
      <c r="K15" s="2">
        <v>1157.2</v>
      </c>
      <c r="L15" s="2">
        <v>2</v>
      </c>
      <c r="M15" s="2" t="s">
        <v>18</v>
      </c>
      <c r="N15" s="10"/>
    </row>
    <row r="16" spans="1:14" x14ac:dyDescent="0.2">
      <c r="A16" s="9" t="s">
        <v>18</v>
      </c>
      <c r="B16" s="3">
        <v>45581</v>
      </c>
      <c r="C16" s="2">
        <v>0</v>
      </c>
      <c r="D16" s="2">
        <v>15</v>
      </c>
      <c r="E16" s="2" t="s">
        <v>11</v>
      </c>
      <c r="F16" s="2">
        <v>7</v>
      </c>
      <c r="G16" s="2">
        <v>1</v>
      </c>
      <c r="H16" s="2">
        <v>529.61860000000001</v>
      </c>
      <c r="I16" s="2">
        <v>0</v>
      </c>
      <c r="J16" s="2" t="s">
        <v>19</v>
      </c>
      <c r="K16" s="2">
        <v>990.3</v>
      </c>
      <c r="L16" s="2">
        <v>2</v>
      </c>
      <c r="M16" s="2" t="s">
        <v>18</v>
      </c>
      <c r="N16" s="10"/>
    </row>
    <row r="17" spans="1:14" x14ac:dyDescent="0.2">
      <c r="A17" s="9" t="s">
        <v>18</v>
      </c>
      <c r="B17" s="3">
        <v>45581</v>
      </c>
      <c r="C17" s="2">
        <v>0</v>
      </c>
      <c r="D17" s="2">
        <v>16</v>
      </c>
      <c r="E17" s="2" t="s">
        <v>11</v>
      </c>
      <c r="F17" s="2">
        <v>7</v>
      </c>
      <c r="G17" s="2">
        <v>2</v>
      </c>
      <c r="H17" s="2">
        <v>529.61860000000001</v>
      </c>
      <c r="I17" s="2">
        <v>0</v>
      </c>
      <c r="J17" s="2" t="s">
        <v>23</v>
      </c>
      <c r="K17" s="2">
        <v>884.4</v>
      </c>
      <c r="L17" s="2">
        <v>2</v>
      </c>
      <c r="M17" s="2" t="s">
        <v>18</v>
      </c>
      <c r="N17" s="10"/>
    </row>
    <row r="18" spans="1:14" x14ac:dyDescent="0.2">
      <c r="A18" s="9" t="s">
        <v>18</v>
      </c>
      <c r="B18" s="3">
        <v>45581</v>
      </c>
      <c r="C18" s="2">
        <v>0</v>
      </c>
      <c r="D18" s="2">
        <v>17</v>
      </c>
      <c r="E18" s="2" t="s">
        <v>12</v>
      </c>
      <c r="F18" s="2">
        <v>1</v>
      </c>
      <c r="G18" s="2">
        <v>1</v>
      </c>
      <c r="H18" s="2">
        <v>0.70640000000000003</v>
      </c>
      <c r="I18" s="2">
        <v>6.9999999999999999E-4</v>
      </c>
      <c r="J18" s="2" t="s">
        <v>19</v>
      </c>
      <c r="K18" s="2">
        <v>1061</v>
      </c>
      <c r="L18" s="2">
        <v>2</v>
      </c>
      <c r="M18" s="2" t="s">
        <v>18</v>
      </c>
      <c r="N18" s="10"/>
    </row>
    <row r="19" spans="1:14" x14ac:dyDescent="0.2">
      <c r="A19" s="9" t="s">
        <v>18</v>
      </c>
      <c r="B19" s="3">
        <v>45581</v>
      </c>
      <c r="C19" s="2">
        <v>0</v>
      </c>
      <c r="D19" s="2">
        <v>18</v>
      </c>
      <c r="E19" s="2" t="s">
        <v>12</v>
      </c>
      <c r="F19" s="2">
        <v>1</v>
      </c>
      <c r="G19" s="2">
        <v>2</v>
      </c>
      <c r="H19" s="2">
        <v>0.70640000000000003</v>
      </c>
      <c r="I19" s="2">
        <v>6.9999999999999999E-4</v>
      </c>
      <c r="J19" s="2" t="s">
        <v>24</v>
      </c>
      <c r="K19" s="2">
        <v>1054.7</v>
      </c>
      <c r="L19" s="2">
        <v>2</v>
      </c>
      <c r="M19" s="2" t="s">
        <v>18</v>
      </c>
      <c r="N19" s="10"/>
    </row>
    <row r="20" spans="1:14" x14ac:dyDescent="0.2">
      <c r="A20" s="9" t="s">
        <v>18</v>
      </c>
      <c r="B20" s="3">
        <v>45581</v>
      </c>
      <c r="C20" s="2">
        <v>0</v>
      </c>
      <c r="D20" s="2">
        <v>19</v>
      </c>
      <c r="E20" s="2" t="s">
        <v>12</v>
      </c>
      <c r="F20" s="2">
        <v>2</v>
      </c>
      <c r="G20" s="2">
        <v>1</v>
      </c>
      <c r="H20" s="2">
        <v>7.0636000000000001</v>
      </c>
      <c r="I20" s="2">
        <v>6.4999999999999997E-3</v>
      </c>
      <c r="J20" s="2" t="s">
        <v>24</v>
      </c>
      <c r="K20" s="2">
        <v>1194.5</v>
      </c>
      <c r="L20" s="2">
        <v>2</v>
      </c>
      <c r="M20" s="2" t="s">
        <v>18</v>
      </c>
      <c r="N20" s="10"/>
    </row>
    <row r="21" spans="1:14" x14ac:dyDescent="0.2">
      <c r="A21" s="9" t="s">
        <v>18</v>
      </c>
      <c r="B21" s="3">
        <v>45581</v>
      </c>
      <c r="C21" s="2">
        <v>0</v>
      </c>
      <c r="D21" s="2">
        <v>20</v>
      </c>
      <c r="E21" s="2" t="s">
        <v>12</v>
      </c>
      <c r="F21" s="2">
        <v>2</v>
      </c>
      <c r="G21" s="2">
        <v>2</v>
      </c>
      <c r="H21" s="2">
        <v>7.0636000000000001</v>
      </c>
      <c r="I21" s="2">
        <v>6.4999999999999997E-3</v>
      </c>
      <c r="J21" s="2" t="s">
        <v>19</v>
      </c>
      <c r="K21" s="2">
        <v>983.6</v>
      </c>
      <c r="L21" s="2">
        <v>2</v>
      </c>
      <c r="M21" s="2" t="s">
        <v>18</v>
      </c>
      <c r="N21" s="10"/>
    </row>
    <row r="22" spans="1:14" x14ac:dyDescent="0.2">
      <c r="A22" s="9" t="s">
        <v>18</v>
      </c>
      <c r="B22" s="3">
        <v>45581</v>
      </c>
      <c r="C22" s="2">
        <v>0</v>
      </c>
      <c r="D22" s="2">
        <v>21</v>
      </c>
      <c r="E22" s="2" t="s">
        <v>12</v>
      </c>
      <c r="F22" s="2">
        <v>3</v>
      </c>
      <c r="G22" s="2">
        <v>1</v>
      </c>
      <c r="H22" s="2">
        <v>39.721400000000003</v>
      </c>
      <c r="I22" s="2">
        <v>3.6700000000000003E-2</v>
      </c>
      <c r="J22" s="2" t="s">
        <v>19</v>
      </c>
      <c r="K22" s="2">
        <v>806.3</v>
      </c>
      <c r="L22" s="2">
        <v>2</v>
      </c>
      <c r="M22" s="2" t="s">
        <v>18</v>
      </c>
      <c r="N22" s="10"/>
    </row>
    <row r="23" spans="1:14" x14ac:dyDescent="0.2">
      <c r="A23" s="9" t="s">
        <v>18</v>
      </c>
      <c r="B23" s="3">
        <v>45581</v>
      </c>
      <c r="C23" s="2">
        <v>0</v>
      </c>
      <c r="D23" s="2">
        <v>22</v>
      </c>
      <c r="E23" s="2" t="s">
        <v>12</v>
      </c>
      <c r="F23" s="2">
        <v>3</v>
      </c>
      <c r="G23" s="2">
        <v>2</v>
      </c>
      <c r="H23" s="2">
        <v>39.721400000000003</v>
      </c>
      <c r="I23" s="2">
        <v>3.6700000000000003E-2</v>
      </c>
      <c r="J23" s="2" t="s">
        <v>24</v>
      </c>
      <c r="K23" s="2">
        <v>1250</v>
      </c>
      <c r="L23" s="2">
        <v>2</v>
      </c>
      <c r="M23" s="2" t="s">
        <v>18</v>
      </c>
      <c r="N23" s="10"/>
    </row>
    <row r="24" spans="1:14" x14ac:dyDescent="0.2">
      <c r="A24" s="9" t="s">
        <v>18</v>
      </c>
      <c r="B24" s="3">
        <v>45581</v>
      </c>
      <c r="C24" s="2">
        <v>0</v>
      </c>
      <c r="D24" s="2">
        <v>23</v>
      </c>
      <c r="E24" s="2" t="s">
        <v>12</v>
      </c>
      <c r="F24" s="2">
        <v>4</v>
      </c>
      <c r="G24" s="2">
        <v>1</v>
      </c>
      <c r="H24" s="2">
        <v>70.6357</v>
      </c>
      <c r="I24" s="2">
        <v>6.5299999999999997E-2</v>
      </c>
      <c r="J24" s="2" t="s">
        <v>19</v>
      </c>
      <c r="K24" s="2">
        <v>874.7</v>
      </c>
      <c r="L24" s="2">
        <v>2</v>
      </c>
      <c r="M24" s="2" t="s">
        <v>18</v>
      </c>
      <c r="N24" s="10"/>
    </row>
    <row r="25" spans="1:14" x14ac:dyDescent="0.2">
      <c r="A25" s="9" t="s">
        <v>18</v>
      </c>
      <c r="B25" s="3">
        <v>45581</v>
      </c>
      <c r="C25" s="2">
        <v>0</v>
      </c>
      <c r="D25" s="2">
        <v>24</v>
      </c>
      <c r="E25" s="2" t="s">
        <v>12</v>
      </c>
      <c r="F25" s="2">
        <v>4</v>
      </c>
      <c r="G25" s="2">
        <v>2</v>
      </c>
      <c r="H25" s="2">
        <v>70.6357</v>
      </c>
      <c r="I25" s="2">
        <v>6.5299999999999997E-2</v>
      </c>
      <c r="J25" s="2" t="s">
        <v>24</v>
      </c>
      <c r="K25" s="2">
        <v>1135</v>
      </c>
      <c r="L25" s="2">
        <v>2</v>
      </c>
      <c r="M25" s="2" t="s">
        <v>18</v>
      </c>
      <c r="N25" s="10"/>
    </row>
    <row r="26" spans="1:14" x14ac:dyDescent="0.2">
      <c r="A26" s="9" t="s">
        <v>18</v>
      </c>
      <c r="B26" s="3">
        <v>45581</v>
      </c>
      <c r="C26" s="2">
        <v>0</v>
      </c>
      <c r="D26" s="2">
        <v>25</v>
      </c>
      <c r="E26" s="2" t="s">
        <v>12</v>
      </c>
      <c r="F26" s="2">
        <v>5</v>
      </c>
      <c r="G26" s="2">
        <v>1</v>
      </c>
      <c r="H26" s="2">
        <v>125.6101</v>
      </c>
      <c r="I26" s="2">
        <v>0.11609999999999999</v>
      </c>
      <c r="J26" s="2" t="s">
        <v>24</v>
      </c>
      <c r="K26" s="2">
        <v>1141.3</v>
      </c>
      <c r="L26" s="2">
        <v>2</v>
      </c>
      <c r="M26" s="2" t="s">
        <v>18</v>
      </c>
      <c r="N26" s="10"/>
    </row>
    <row r="27" spans="1:14" x14ac:dyDescent="0.2">
      <c r="A27" s="9" t="s">
        <v>18</v>
      </c>
      <c r="B27" s="3">
        <v>45581</v>
      </c>
      <c r="C27" s="2">
        <v>0</v>
      </c>
      <c r="D27" s="2">
        <v>26</v>
      </c>
      <c r="E27" s="2" t="s">
        <v>12</v>
      </c>
      <c r="F27" s="2">
        <v>5</v>
      </c>
      <c r="G27" s="2">
        <v>2</v>
      </c>
      <c r="H27" s="2">
        <v>125.6101</v>
      </c>
      <c r="I27" s="2">
        <v>0.11609999999999999</v>
      </c>
      <c r="J27" s="2" t="s">
        <v>25</v>
      </c>
      <c r="K27" s="2">
        <v>891.2</v>
      </c>
      <c r="L27" s="2">
        <v>2</v>
      </c>
      <c r="M27" s="2" t="s">
        <v>18</v>
      </c>
      <c r="N27" s="10"/>
    </row>
    <row r="28" spans="1:14" x14ac:dyDescent="0.2">
      <c r="A28" s="9" t="s">
        <v>18</v>
      </c>
      <c r="B28" s="3">
        <v>45581</v>
      </c>
      <c r="C28" s="2">
        <v>0</v>
      </c>
      <c r="D28" s="2">
        <v>27</v>
      </c>
      <c r="E28" s="2" t="s">
        <v>12</v>
      </c>
      <c r="F28" s="2">
        <v>6</v>
      </c>
      <c r="G28" s="2">
        <v>1</v>
      </c>
      <c r="H28" s="2">
        <v>223.3698</v>
      </c>
      <c r="I28" s="2">
        <v>0.2064</v>
      </c>
      <c r="J28" s="2" t="s">
        <v>23</v>
      </c>
      <c r="K28" s="2">
        <v>1080.2</v>
      </c>
      <c r="L28" s="2">
        <v>2</v>
      </c>
      <c r="M28" s="2" t="s">
        <v>18</v>
      </c>
      <c r="N28" s="10"/>
    </row>
    <row r="29" spans="1:14" x14ac:dyDescent="0.2">
      <c r="A29" s="9" t="s">
        <v>18</v>
      </c>
      <c r="B29" s="3">
        <v>45581</v>
      </c>
      <c r="C29" s="2">
        <v>0</v>
      </c>
      <c r="D29" s="2">
        <v>28</v>
      </c>
      <c r="E29" s="2" t="s">
        <v>12</v>
      </c>
      <c r="F29" s="2">
        <v>6</v>
      </c>
      <c r="G29" s="2">
        <v>2</v>
      </c>
      <c r="H29" s="2">
        <v>223.3698</v>
      </c>
      <c r="I29" s="2">
        <v>0.2064</v>
      </c>
      <c r="J29" s="2" t="s">
        <v>20</v>
      </c>
      <c r="K29" s="2">
        <v>1150.0999999999999</v>
      </c>
      <c r="L29" s="2">
        <v>2</v>
      </c>
      <c r="M29" s="2" t="s">
        <v>18</v>
      </c>
      <c r="N29" s="10"/>
    </row>
    <row r="30" spans="1:14" x14ac:dyDescent="0.2">
      <c r="A30" s="9" t="s">
        <v>18</v>
      </c>
      <c r="B30" s="3">
        <v>45581</v>
      </c>
      <c r="C30" s="2">
        <v>0</v>
      </c>
      <c r="D30" s="2">
        <v>29</v>
      </c>
      <c r="E30" s="2" t="s">
        <v>12</v>
      </c>
      <c r="F30" s="2">
        <v>7</v>
      </c>
      <c r="G30" s="2">
        <v>1</v>
      </c>
      <c r="H30" s="2">
        <v>397.214</v>
      </c>
      <c r="I30" s="2">
        <v>0.36709999999999998</v>
      </c>
      <c r="J30" s="2" t="s">
        <v>19</v>
      </c>
      <c r="K30" s="2">
        <v>874.9</v>
      </c>
      <c r="L30" s="2">
        <v>2</v>
      </c>
      <c r="M30" s="2" t="s">
        <v>18</v>
      </c>
      <c r="N30" s="10"/>
    </row>
    <row r="31" spans="1:14" x14ac:dyDescent="0.2">
      <c r="A31" s="9" t="s">
        <v>18</v>
      </c>
      <c r="B31" s="3">
        <v>45581</v>
      </c>
      <c r="C31" s="2">
        <v>0</v>
      </c>
      <c r="D31" s="2">
        <v>30</v>
      </c>
      <c r="E31" s="2" t="s">
        <v>12</v>
      </c>
      <c r="F31" s="2">
        <v>7</v>
      </c>
      <c r="G31" s="2">
        <v>2</v>
      </c>
      <c r="H31" s="2">
        <v>397.214</v>
      </c>
      <c r="I31" s="2">
        <v>0.36709999999999998</v>
      </c>
      <c r="J31" s="2" t="s">
        <v>20</v>
      </c>
      <c r="K31" s="2">
        <v>948.2</v>
      </c>
      <c r="L31" s="2">
        <v>2</v>
      </c>
      <c r="M31" s="2" t="s">
        <v>18</v>
      </c>
      <c r="N31" s="10"/>
    </row>
    <row r="32" spans="1:14" x14ac:dyDescent="0.2">
      <c r="A32" s="9" t="s">
        <v>18</v>
      </c>
      <c r="B32" s="3">
        <v>45581</v>
      </c>
      <c r="C32" s="2">
        <v>0</v>
      </c>
      <c r="D32" s="2">
        <v>31</v>
      </c>
      <c r="E32" s="2" t="s">
        <v>13</v>
      </c>
      <c r="F32" s="2">
        <v>1</v>
      </c>
      <c r="G32" s="2">
        <v>1</v>
      </c>
      <c r="H32" s="2">
        <v>0.47089999999999999</v>
      </c>
      <c r="I32" s="2">
        <v>1.2999999999999999E-3</v>
      </c>
      <c r="J32" s="2" t="s">
        <v>24</v>
      </c>
      <c r="K32" s="2">
        <v>913.8</v>
      </c>
      <c r="L32" s="2">
        <v>2</v>
      </c>
      <c r="M32" s="2" t="s">
        <v>18</v>
      </c>
      <c r="N32" s="10"/>
    </row>
    <row r="33" spans="1:14" x14ac:dyDescent="0.2">
      <c r="A33" s="9" t="s">
        <v>18</v>
      </c>
      <c r="B33" s="3">
        <v>45581</v>
      </c>
      <c r="C33" s="2">
        <v>0</v>
      </c>
      <c r="D33" s="2">
        <v>32</v>
      </c>
      <c r="E33" s="2" t="s">
        <v>13</v>
      </c>
      <c r="F33" s="2">
        <v>1</v>
      </c>
      <c r="G33" s="2">
        <v>2</v>
      </c>
      <c r="H33" s="2">
        <v>0.47089999999999999</v>
      </c>
      <c r="I33" s="2">
        <v>1.2999999999999999E-3</v>
      </c>
      <c r="J33" s="2" t="s">
        <v>19</v>
      </c>
      <c r="K33" s="2">
        <v>1063.5</v>
      </c>
      <c r="L33" s="2">
        <v>2</v>
      </c>
      <c r="M33" s="2" t="s">
        <v>18</v>
      </c>
      <c r="N33" s="10"/>
    </row>
    <row r="34" spans="1:14" x14ac:dyDescent="0.2">
      <c r="A34" s="9" t="s">
        <v>18</v>
      </c>
      <c r="B34" s="3">
        <v>45581</v>
      </c>
      <c r="C34" s="2">
        <v>0</v>
      </c>
      <c r="D34" s="2">
        <v>33</v>
      </c>
      <c r="E34" s="2" t="s">
        <v>13</v>
      </c>
      <c r="F34" s="2">
        <v>2</v>
      </c>
      <c r="G34" s="2">
        <v>1</v>
      </c>
      <c r="H34" s="2">
        <v>4.7089999999999996</v>
      </c>
      <c r="I34" s="2">
        <v>1.3100000000000001E-2</v>
      </c>
      <c r="J34" s="2" t="s">
        <v>19</v>
      </c>
      <c r="K34" s="2">
        <v>959.8</v>
      </c>
      <c r="L34" s="2">
        <v>2</v>
      </c>
      <c r="M34" s="2" t="s">
        <v>18</v>
      </c>
      <c r="N34" s="10"/>
    </row>
    <row r="35" spans="1:14" x14ac:dyDescent="0.2">
      <c r="A35" s="9" t="s">
        <v>18</v>
      </c>
      <c r="B35" s="3">
        <v>45581</v>
      </c>
      <c r="C35" s="2">
        <v>0</v>
      </c>
      <c r="D35" s="2">
        <v>34</v>
      </c>
      <c r="E35" s="2" t="s">
        <v>13</v>
      </c>
      <c r="F35" s="2">
        <v>2</v>
      </c>
      <c r="G35" s="2">
        <v>2</v>
      </c>
      <c r="H35" s="2">
        <v>4.7089999999999996</v>
      </c>
      <c r="I35" s="2">
        <v>1.3100000000000001E-2</v>
      </c>
      <c r="J35" s="2" t="s">
        <v>20</v>
      </c>
      <c r="K35" s="2">
        <v>816.3</v>
      </c>
      <c r="L35" s="2">
        <v>2</v>
      </c>
      <c r="M35" s="2" t="s">
        <v>18</v>
      </c>
      <c r="N35" s="10"/>
    </row>
    <row r="36" spans="1:14" x14ac:dyDescent="0.2">
      <c r="A36" s="9" t="s">
        <v>18</v>
      </c>
      <c r="B36" s="3">
        <v>45581</v>
      </c>
      <c r="C36" s="2">
        <v>0</v>
      </c>
      <c r="D36" s="2">
        <v>35</v>
      </c>
      <c r="E36" s="2" t="s">
        <v>13</v>
      </c>
      <c r="F36" s="2">
        <v>3</v>
      </c>
      <c r="G36" s="2">
        <v>1</v>
      </c>
      <c r="H36" s="2">
        <v>26.480899999999998</v>
      </c>
      <c r="I36" s="2">
        <v>7.3400000000000007E-2</v>
      </c>
      <c r="J36" s="2" t="s">
        <v>20</v>
      </c>
      <c r="K36" s="2">
        <v>990.4</v>
      </c>
      <c r="L36" s="2">
        <v>2</v>
      </c>
      <c r="M36" s="2" t="s">
        <v>18</v>
      </c>
      <c r="N36" s="10"/>
    </row>
    <row r="37" spans="1:14" x14ac:dyDescent="0.2">
      <c r="A37" s="9" t="s">
        <v>18</v>
      </c>
      <c r="B37" s="3">
        <v>45581</v>
      </c>
      <c r="C37" s="2">
        <v>0</v>
      </c>
      <c r="D37" s="2">
        <v>36</v>
      </c>
      <c r="E37" s="2" t="s">
        <v>13</v>
      </c>
      <c r="F37" s="2">
        <v>3</v>
      </c>
      <c r="G37" s="2">
        <v>2</v>
      </c>
      <c r="H37" s="2">
        <v>26.480899999999998</v>
      </c>
      <c r="I37" s="2">
        <v>7.3400000000000007E-2</v>
      </c>
      <c r="J37" s="2" t="s">
        <v>24</v>
      </c>
      <c r="K37" s="2">
        <v>1083.0999999999999</v>
      </c>
      <c r="L37" s="2">
        <v>2</v>
      </c>
      <c r="M37" s="2" t="s">
        <v>18</v>
      </c>
      <c r="N37" s="10"/>
    </row>
    <row r="38" spans="1:14" x14ac:dyDescent="0.2">
      <c r="A38" s="9" t="s">
        <v>18</v>
      </c>
      <c r="B38" s="3">
        <v>45581</v>
      </c>
      <c r="C38" s="2">
        <v>0</v>
      </c>
      <c r="D38" s="2">
        <v>37</v>
      </c>
      <c r="E38" s="2" t="s">
        <v>13</v>
      </c>
      <c r="F38" s="2">
        <v>4</v>
      </c>
      <c r="G38" s="2">
        <v>1</v>
      </c>
      <c r="H38" s="2">
        <v>47.090499999999999</v>
      </c>
      <c r="I38" s="2">
        <v>0.1305</v>
      </c>
      <c r="J38" s="2" t="s">
        <v>24</v>
      </c>
      <c r="K38" s="2">
        <v>1191.5</v>
      </c>
      <c r="L38" s="2">
        <v>2</v>
      </c>
      <c r="M38" s="2" t="s">
        <v>18</v>
      </c>
      <c r="N38" s="10"/>
    </row>
    <row r="39" spans="1:14" x14ac:dyDescent="0.2">
      <c r="A39" s="9" t="s">
        <v>18</v>
      </c>
      <c r="B39" s="3">
        <v>45581</v>
      </c>
      <c r="C39" s="2">
        <v>0</v>
      </c>
      <c r="D39" s="2">
        <v>38</v>
      </c>
      <c r="E39" s="2" t="s">
        <v>13</v>
      </c>
      <c r="F39" s="2">
        <v>4</v>
      </c>
      <c r="G39" s="2">
        <v>2</v>
      </c>
      <c r="H39" s="2">
        <v>47.090499999999999</v>
      </c>
      <c r="I39" s="2">
        <v>0.1305</v>
      </c>
      <c r="J39" s="2" t="s">
        <v>19</v>
      </c>
      <c r="K39" s="2">
        <v>907.6</v>
      </c>
      <c r="L39" s="2">
        <v>2</v>
      </c>
      <c r="M39" s="2" t="s">
        <v>18</v>
      </c>
      <c r="N39" s="10"/>
    </row>
    <row r="40" spans="1:14" x14ac:dyDescent="0.2">
      <c r="A40" s="9" t="s">
        <v>18</v>
      </c>
      <c r="B40" s="3">
        <v>45581</v>
      </c>
      <c r="C40" s="2">
        <v>0</v>
      </c>
      <c r="D40" s="2">
        <v>39</v>
      </c>
      <c r="E40" s="2" t="s">
        <v>13</v>
      </c>
      <c r="F40" s="2">
        <v>5</v>
      </c>
      <c r="G40" s="2">
        <v>1</v>
      </c>
      <c r="H40" s="2">
        <v>83.740099999999998</v>
      </c>
      <c r="I40" s="2">
        <v>0.2321</v>
      </c>
      <c r="J40" s="2" t="s">
        <v>19</v>
      </c>
      <c r="K40" s="2">
        <v>945.8</v>
      </c>
      <c r="L40" s="2">
        <v>2</v>
      </c>
      <c r="M40" s="2" t="s">
        <v>18</v>
      </c>
      <c r="N40" s="10"/>
    </row>
    <row r="41" spans="1:14" x14ac:dyDescent="0.2">
      <c r="A41" s="9" t="s">
        <v>18</v>
      </c>
      <c r="B41" s="3">
        <v>45581</v>
      </c>
      <c r="C41" s="2">
        <v>0</v>
      </c>
      <c r="D41" s="2">
        <v>40</v>
      </c>
      <c r="E41" s="2" t="s">
        <v>13</v>
      </c>
      <c r="F41" s="2">
        <v>5</v>
      </c>
      <c r="G41" s="2">
        <v>2</v>
      </c>
      <c r="H41" s="2">
        <v>83.740099999999998</v>
      </c>
      <c r="I41" s="2">
        <v>0.2321</v>
      </c>
      <c r="J41" s="2" t="s">
        <v>20</v>
      </c>
      <c r="K41" s="2">
        <v>885.2</v>
      </c>
      <c r="L41" s="2">
        <v>2</v>
      </c>
      <c r="M41" s="2" t="s">
        <v>18</v>
      </c>
      <c r="N41" s="10"/>
    </row>
    <row r="42" spans="1:14" x14ac:dyDescent="0.2">
      <c r="A42" s="9" t="s">
        <v>18</v>
      </c>
      <c r="B42" s="3">
        <v>45581</v>
      </c>
      <c r="C42" s="2">
        <v>0</v>
      </c>
      <c r="D42" s="2">
        <v>41</v>
      </c>
      <c r="E42" s="2" t="s">
        <v>13</v>
      </c>
      <c r="F42" s="2">
        <v>6</v>
      </c>
      <c r="G42" s="2">
        <v>1</v>
      </c>
      <c r="H42" s="2">
        <v>148.91319999999999</v>
      </c>
      <c r="I42" s="2">
        <v>0.4128</v>
      </c>
      <c r="J42" s="2" t="s">
        <v>20</v>
      </c>
      <c r="K42" s="2">
        <v>842.3</v>
      </c>
      <c r="L42" s="2">
        <v>2</v>
      </c>
      <c r="M42" s="2" t="s">
        <v>18</v>
      </c>
      <c r="N42" s="10"/>
    </row>
    <row r="43" spans="1:14" x14ac:dyDescent="0.2">
      <c r="A43" s="9" t="s">
        <v>18</v>
      </c>
      <c r="B43" s="3">
        <v>45581</v>
      </c>
      <c r="C43" s="2">
        <v>0</v>
      </c>
      <c r="D43" s="2">
        <v>42</v>
      </c>
      <c r="E43" s="2" t="s">
        <v>13</v>
      </c>
      <c r="F43" s="2">
        <v>6</v>
      </c>
      <c r="G43" s="2">
        <v>2</v>
      </c>
      <c r="H43" s="2">
        <v>148.91319999999999</v>
      </c>
      <c r="I43" s="2">
        <v>0.4128</v>
      </c>
      <c r="J43" s="2" t="s">
        <v>19</v>
      </c>
      <c r="K43" s="2">
        <v>939.1</v>
      </c>
      <c r="L43" s="2">
        <v>2</v>
      </c>
      <c r="M43" s="2" t="s">
        <v>18</v>
      </c>
      <c r="N43" s="10"/>
    </row>
    <row r="44" spans="1:14" x14ac:dyDescent="0.2">
      <c r="A44" s="9" t="s">
        <v>18</v>
      </c>
      <c r="B44" s="3">
        <v>45581</v>
      </c>
      <c r="C44" s="2">
        <v>0</v>
      </c>
      <c r="D44" s="2">
        <v>43</v>
      </c>
      <c r="E44" s="2" t="s">
        <v>13</v>
      </c>
      <c r="F44" s="2">
        <v>7</v>
      </c>
      <c r="G44" s="2">
        <v>1</v>
      </c>
      <c r="H44" s="2">
        <v>264.80930000000001</v>
      </c>
      <c r="I44" s="2">
        <v>0.73409999999999997</v>
      </c>
      <c r="J44" s="2" t="s">
        <v>19</v>
      </c>
      <c r="K44" s="2">
        <v>1013.2</v>
      </c>
      <c r="L44" s="2">
        <v>2</v>
      </c>
      <c r="M44" s="2" t="s">
        <v>18</v>
      </c>
      <c r="N44" s="10"/>
    </row>
    <row r="45" spans="1:14" x14ac:dyDescent="0.2">
      <c r="A45" s="9" t="s">
        <v>18</v>
      </c>
      <c r="B45" s="3">
        <v>45581</v>
      </c>
      <c r="C45" s="2">
        <v>0</v>
      </c>
      <c r="D45" s="2">
        <v>44</v>
      </c>
      <c r="E45" s="2" t="s">
        <v>13</v>
      </c>
      <c r="F45" s="2">
        <v>7</v>
      </c>
      <c r="G45" s="2">
        <v>2</v>
      </c>
      <c r="H45" s="2">
        <v>264.80930000000001</v>
      </c>
      <c r="I45" s="2">
        <v>0.73409999999999997</v>
      </c>
      <c r="J45" s="2" t="s">
        <v>20</v>
      </c>
      <c r="K45" s="2">
        <v>814.1</v>
      </c>
      <c r="L45" s="2">
        <v>2</v>
      </c>
      <c r="M45" s="2" t="s">
        <v>18</v>
      </c>
      <c r="N45" s="10"/>
    </row>
    <row r="46" spans="1:14" x14ac:dyDescent="0.2">
      <c r="A46" s="9" t="s">
        <v>18</v>
      </c>
      <c r="B46" s="3">
        <v>45581</v>
      </c>
      <c r="C46" s="2">
        <v>0</v>
      </c>
      <c r="D46" s="2">
        <v>45</v>
      </c>
      <c r="E46" s="2" t="s">
        <v>14</v>
      </c>
      <c r="F46" s="2">
        <v>1</v>
      </c>
      <c r="G46" s="2">
        <v>1</v>
      </c>
      <c r="H46" s="2">
        <v>0.23549999999999999</v>
      </c>
      <c r="I46" s="2">
        <v>2E-3</v>
      </c>
      <c r="J46" s="2" t="s">
        <v>19</v>
      </c>
      <c r="K46" s="2">
        <v>1012.6</v>
      </c>
      <c r="L46" s="2">
        <v>2</v>
      </c>
      <c r="M46" s="2" t="s">
        <v>18</v>
      </c>
      <c r="N46" s="10"/>
    </row>
    <row r="47" spans="1:14" x14ac:dyDescent="0.2">
      <c r="A47" s="9" t="s">
        <v>18</v>
      </c>
      <c r="B47" s="3">
        <v>45581</v>
      </c>
      <c r="C47" s="2">
        <v>0</v>
      </c>
      <c r="D47" s="2">
        <v>46</v>
      </c>
      <c r="E47" s="2" t="s">
        <v>14</v>
      </c>
      <c r="F47" s="2">
        <v>1</v>
      </c>
      <c r="G47" s="2">
        <v>2</v>
      </c>
      <c r="H47" s="2">
        <v>0.23549999999999999</v>
      </c>
      <c r="I47" s="2">
        <v>2E-3</v>
      </c>
      <c r="J47" s="2" t="s">
        <v>20</v>
      </c>
      <c r="K47" s="2">
        <v>1056.3</v>
      </c>
      <c r="L47" s="2">
        <v>2</v>
      </c>
      <c r="M47" s="2" t="s">
        <v>18</v>
      </c>
      <c r="N47" s="10"/>
    </row>
    <row r="48" spans="1:14" x14ac:dyDescent="0.2">
      <c r="A48" s="9" t="s">
        <v>18</v>
      </c>
      <c r="B48" s="3">
        <v>45581</v>
      </c>
      <c r="C48" s="2">
        <v>0</v>
      </c>
      <c r="D48" s="2">
        <v>47</v>
      </c>
      <c r="E48" s="2" t="s">
        <v>14</v>
      </c>
      <c r="F48" s="2">
        <v>2</v>
      </c>
      <c r="G48" s="2">
        <v>1</v>
      </c>
      <c r="H48" s="2">
        <v>2.3544999999999998</v>
      </c>
      <c r="I48" s="2">
        <v>1.9599999999999999E-2</v>
      </c>
      <c r="J48" s="2" t="s">
        <v>20</v>
      </c>
      <c r="K48" s="2">
        <v>882.2</v>
      </c>
      <c r="L48" s="2">
        <v>2</v>
      </c>
      <c r="M48" s="2" t="s">
        <v>18</v>
      </c>
      <c r="N48" s="10"/>
    </row>
    <row r="49" spans="1:14" x14ac:dyDescent="0.2">
      <c r="A49" s="9" t="s">
        <v>18</v>
      </c>
      <c r="B49" s="3">
        <v>45581</v>
      </c>
      <c r="C49" s="2">
        <v>0</v>
      </c>
      <c r="D49" s="2">
        <v>48</v>
      </c>
      <c r="E49" s="2" t="s">
        <v>14</v>
      </c>
      <c r="F49" s="2">
        <v>2</v>
      </c>
      <c r="G49" s="2">
        <v>2</v>
      </c>
      <c r="H49" s="2">
        <v>2.3544999999999998</v>
      </c>
      <c r="I49" s="2">
        <v>1.9599999999999999E-2</v>
      </c>
      <c r="J49" s="2" t="s">
        <v>22</v>
      </c>
      <c r="K49" s="2">
        <v>1335.8</v>
      </c>
      <c r="L49" s="2">
        <v>2</v>
      </c>
      <c r="M49" s="2" t="s">
        <v>18</v>
      </c>
      <c r="N49" s="10"/>
    </row>
    <row r="50" spans="1:14" x14ac:dyDescent="0.2">
      <c r="A50" s="9" t="s">
        <v>18</v>
      </c>
      <c r="B50" s="3">
        <v>45581</v>
      </c>
      <c r="C50" s="2">
        <v>0</v>
      </c>
      <c r="D50" s="2">
        <v>49</v>
      </c>
      <c r="E50" s="2" t="s">
        <v>14</v>
      </c>
      <c r="F50" s="2">
        <v>3</v>
      </c>
      <c r="G50" s="2">
        <v>1</v>
      </c>
      <c r="H50" s="2">
        <v>13.240500000000001</v>
      </c>
      <c r="I50" s="2">
        <v>0.1101</v>
      </c>
      <c r="J50" s="2" t="s">
        <v>19</v>
      </c>
      <c r="K50" s="2">
        <v>988.8</v>
      </c>
      <c r="L50" s="2">
        <v>2</v>
      </c>
      <c r="M50" s="2" t="s">
        <v>18</v>
      </c>
      <c r="N50" s="10"/>
    </row>
    <row r="51" spans="1:14" x14ac:dyDescent="0.2">
      <c r="A51" s="9" t="s">
        <v>18</v>
      </c>
      <c r="B51" s="3">
        <v>45581</v>
      </c>
      <c r="C51" s="2">
        <v>0</v>
      </c>
      <c r="D51" s="2">
        <v>50</v>
      </c>
      <c r="E51" s="2" t="s">
        <v>14</v>
      </c>
      <c r="F51" s="2">
        <v>3</v>
      </c>
      <c r="G51" s="2">
        <v>2</v>
      </c>
      <c r="H51" s="2">
        <v>13.240500000000001</v>
      </c>
      <c r="I51" s="2">
        <v>0.1101</v>
      </c>
      <c r="J51" s="2" t="s">
        <v>24</v>
      </c>
      <c r="K51" s="2">
        <v>1103.3</v>
      </c>
      <c r="L51" s="2">
        <v>2</v>
      </c>
      <c r="M51" s="2" t="s">
        <v>18</v>
      </c>
      <c r="N51" s="10"/>
    </row>
    <row r="52" spans="1:14" x14ac:dyDescent="0.2">
      <c r="A52" s="9" t="s">
        <v>18</v>
      </c>
      <c r="B52" s="3">
        <v>45581</v>
      </c>
      <c r="C52" s="2">
        <v>0</v>
      </c>
      <c r="D52" s="2">
        <v>51</v>
      </c>
      <c r="E52" s="2" t="s">
        <v>14</v>
      </c>
      <c r="F52" s="2">
        <v>4</v>
      </c>
      <c r="G52" s="2">
        <v>1</v>
      </c>
      <c r="H52" s="2">
        <v>23.545200000000001</v>
      </c>
      <c r="I52" s="2">
        <v>0.1958</v>
      </c>
      <c r="J52" s="2" t="s">
        <v>19</v>
      </c>
      <c r="K52" s="2">
        <v>1043.3</v>
      </c>
      <c r="L52" s="2">
        <v>2</v>
      </c>
      <c r="M52" s="2" t="s">
        <v>18</v>
      </c>
      <c r="N52" s="10"/>
    </row>
    <row r="53" spans="1:14" x14ac:dyDescent="0.2">
      <c r="A53" s="9" t="s">
        <v>18</v>
      </c>
      <c r="B53" s="3">
        <v>45581</v>
      </c>
      <c r="C53" s="2">
        <v>0</v>
      </c>
      <c r="D53" s="2">
        <v>52</v>
      </c>
      <c r="E53" s="2" t="s">
        <v>14</v>
      </c>
      <c r="F53" s="2">
        <v>4</v>
      </c>
      <c r="G53" s="2">
        <v>2</v>
      </c>
      <c r="H53" s="2">
        <v>23.545200000000001</v>
      </c>
      <c r="I53" s="2">
        <v>0.1958</v>
      </c>
      <c r="J53" s="2" t="s">
        <v>24</v>
      </c>
      <c r="K53" s="2">
        <v>1232.5999999999999</v>
      </c>
      <c r="L53" s="2">
        <v>2</v>
      </c>
      <c r="M53" s="2" t="s">
        <v>18</v>
      </c>
      <c r="N53" s="10"/>
    </row>
    <row r="54" spans="1:14" x14ac:dyDescent="0.2">
      <c r="A54" s="9" t="s">
        <v>18</v>
      </c>
      <c r="B54" s="3">
        <v>45581</v>
      </c>
      <c r="C54" s="2">
        <v>0</v>
      </c>
      <c r="D54" s="2">
        <v>53</v>
      </c>
      <c r="E54" s="2" t="s">
        <v>14</v>
      </c>
      <c r="F54" s="2">
        <v>5</v>
      </c>
      <c r="G54" s="2">
        <v>1</v>
      </c>
      <c r="H54" s="2">
        <v>41.87</v>
      </c>
      <c r="I54" s="2">
        <v>0.34820000000000001</v>
      </c>
      <c r="J54" s="2" t="s">
        <v>20</v>
      </c>
      <c r="K54" s="2">
        <v>945.5</v>
      </c>
      <c r="L54" s="2">
        <v>2</v>
      </c>
      <c r="M54" s="2" t="s">
        <v>18</v>
      </c>
      <c r="N54" s="10"/>
    </row>
    <row r="55" spans="1:14" x14ac:dyDescent="0.2">
      <c r="A55" s="9" t="s">
        <v>18</v>
      </c>
      <c r="B55" s="3">
        <v>45581</v>
      </c>
      <c r="C55" s="2">
        <v>0</v>
      </c>
      <c r="D55" s="2">
        <v>54</v>
      </c>
      <c r="E55" s="2" t="s">
        <v>14</v>
      </c>
      <c r="F55" s="2">
        <v>5</v>
      </c>
      <c r="G55" s="2">
        <v>2</v>
      </c>
      <c r="H55" s="2">
        <v>41.87</v>
      </c>
      <c r="I55" s="2">
        <v>0.34820000000000001</v>
      </c>
      <c r="J55" s="2" t="s">
        <v>21</v>
      </c>
      <c r="K55" s="2">
        <v>1206</v>
      </c>
      <c r="L55" s="2">
        <v>2</v>
      </c>
      <c r="M55" s="2" t="s">
        <v>18</v>
      </c>
      <c r="N55" s="10"/>
    </row>
    <row r="56" spans="1:14" x14ac:dyDescent="0.2">
      <c r="A56" s="9" t="s">
        <v>18</v>
      </c>
      <c r="B56" s="3">
        <v>45581</v>
      </c>
      <c r="C56" s="2">
        <v>0</v>
      </c>
      <c r="D56" s="2">
        <v>55</v>
      </c>
      <c r="E56" s="2" t="s">
        <v>14</v>
      </c>
      <c r="F56" s="2">
        <v>6</v>
      </c>
      <c r="G56" s="2">
        <v>1</v>
      </c>
      <c r="H56" s="2">
        <v>74.456599999999995</v>
      </c>
      <c r="I56" s="2">
        <v>0.61919999999999997</v>
      </c>
      <c r="J56" s="2" t="s">
        <v>19</v>
      </c>
      <c r="K56" s="2">
        <v>982</v>
      </c>
      <c r="L56" s="2">
        <v>2</v>
      </c>
      <c r="M56" s="2" t="s">
        <v>18</v>
      </c>
      <c r="N56" s="10"/>
    </row>
    <row r="57" spans="1:14" x14ac:dyDescent="0.2">
      <c r="A57" s="9" t="s">
        <v>18</v>
      </c>
      <c r="B57" s="3">
        <v>45581</v>
      </c>
      <c r="C57" s="2">
        <v>0</v>
      </c>
      <c r="D57" s="2">
        <v>56</v>
      </c>
      <c r="E57" s="2" t="s">
        <v>14</v>
      </c>
      <c r="F57" s="2">
        <v>6</v>
      </c>
      <c r="G57" s="2">
        <v>2</v>
      </c>
      <c r="H57" s="2">
        <v>74.456599999999995</v>
      </c>
      <c r="I57" s="2">
        <v>0.61919999999999997</v>
      </c>
      <c r="J57" s="2" t="s">
        <v>24</v>
      </c>
      <c r="K57" s="2">
        <v>1153</v>
      </c>
      <c r="L57" s="2">
        <v>2</v>
      </c>
      <c r="M57" s="2" t="s">
        <v>18</v>
      </c>
      <c r="N57" s="10"/>
    </row>
    <row r="58" spans="1:14" x14ac:dyDescent="0.2">
      <c r="A58" s="9" t="s">
        <v>18</v>
      </c>
      <c r="B58" s="3">
        <v>45581</v>
      </c>
      <c r="C58" s="2">
        <v>0</v>
      </c>
      <c r="D58" s="2">
        <v>57</v>
      </c>
      <c r="E58" s="2" t="s">
        <v>14</v>
      </c>
      <c r="F58" s="2">
        <v>7</v>
      </c>
      <c r="G58" s="2">
        <v>1</v>
      </c>
      <c r="H58" s="2">
        <v>132.40469999999999</v>
      </c>
      <c r="I58" s="2">
        <v>1.1012</v>
      </c>
      <c r="J58" s="2" t="s">
        <v>24</v>
      </c>
      <c r="K58" s="2">
        <v>1233</v>
      </c>
      <c r="L58" s="2">
        <v>2</v>
      </c>
      <c r="M58" s="2" t="s">
        <v>18</v>
      </c>
      <c r="N58" s="10"/>
    </row>
    <row r="59" spans="1:14" x14ac:dyDescent="0.2">
      <c r="A59" s="9" t="s">
        <v>18</v>
      </c>
      <c r="B59" s="3">
        <v>45581</v>
      </c>
      <c r="C59" s="2">
        <v>0</v>
      </c>
      <c r="D59" s="2">
        <v>58</v>
      </c>
      <c r="E59" s="2" t="s">
        <v>14</v>
      </c>
      <c r="F59" s="2">
        <v>7</v>
      </c>
      <c r="G59" s="2">
        <v>2</v>
      </c>
      <c r="H59" s="2">
        <v>132.40469999999999</v>
      </c>
      <c r="I59" s="2">
        <v>1.1012</v>
      </c>
      <c r="J59" s="2" t="s">
        <v>20</v>
      </c>
      <c r="K59" s="2">
        <v>971.3</v>
      </c>
      <c r="L59" s="2">
        <v>2</v>
      </c>
      <c r="M59" s="2" t="s">
        <v>18</v>
      </c>
      <c r="N59" s="10"/>
    </row>
    <row r="60" spans="1:14" x14ac:dyDescent="0.2">
      <c r="A60" s="9" t="s">
        <v>18</v>
      </c>
      <c r="B60" s="3">
        <v>45581</v>
      </c>
      <c r="C60" s="2">
        <v>0</v>
      </c>
      <c r="D60" s="2">
        <v>59</v>
      </c>
      <c r="E60" s="4" t="s">
        <v>15</v>
      </c>
      <c r="F60" s="4">
        <v>1</v>
      </c>
      <c r="G60" s="4">
        <v>1</v>
      </c>
      <c r="H60" s="2">
        <v>0</v>
      </c>
      <c r="I60" s="2">
        <v>2.5999999999999999E-3</v>
      </c>
      <c r="J60" s="2" t="s">
        <v>19</v>
      </c>
      <c r="K60" s="2">
        <v>790.5</v>
      </c>
      <c r="L60" s="2">
        <v>2</v>
      </c>
      <c r="M60" s="2" t="s">
        <v>18</v>
      </c>
      <c r="N60" s="10"/>
    </row>
    <row r="61" spans="1:14" x14ac:dyDescent="0.2">
      <c r="A61" s="9" t="s">
        <v>18</v>
      </c>
      <c r="B61" s="3">
        <v>45581</v>
      </c>
      <c r="C61" s="2">
        <v>0</v>
      </c>
      <c r="D61" s="2">
        <v>60</v>
      </c>
      <c r="E61" s="4" t="s">
        <v>15</v>
      </c>
      <c r="F61" s="4">
        <v>1</v>
      </c>
      <c r="G61" s="4">
        <v>2</v>
      </c>
      <c r="H61" s="2">
        <v>0</v>
      </c>
      <c r="I61" s="2">
        <v>2.5999999999999999E-3</v>
      </c>
      <c r="J61" s="2" t="s">
        <v>20</v>
      </c>
      <c r="K61" s="2">
        <v>1022.2</v>
      </c>
      <c r="L61" s="2">
        <v>2</v>
      </c>
      <c r="M61" s="2" t="s">
        <v>18</v>
      </c>
      <c r="N61" s="10"/>
    </row>
    <row r="62" spans="1:14" x14ac:dyDescent="0.2">
      <c r="A62" s="9" t="s">
        <v>18</v>
      </c>
      <c r="B62" s="3">
        <v>45581</v>
      </c>
      <c r="C62" s="2">
        <v>0</v>
      </c>
      <c r="D62" s="2">
        <v>61</v>
      </c>
      <c r="E62" s="4" t="s">
        <v>15</v>
      </c>
      <c r="F62" s="4">
        <v>2</v>
      </c>
      <c r="G62" s="4">
        <v>1</v>
      </c>
      <c r="H62" s="2">
        <v>0</v>
      </c>
      <c r="I62" s="2">
        <v>2.6100000000000002E-2</v>
      </c>
      <c r="J62" s="2" t="s">
        <v>23</v>
      </c>
      <c r="K62" s="2">
        <v>1147.2</v>
      </c>
      <c r="L62" s="2">
        <v>2</v>
      </c>
      <c r="M62" s="2" t="s">
        <v>18</v>
      </c>
      <c r="N62" s="10"/>
    </row>
    <row r="63" spans="1:14" x14ac:dyDescent="0.2">
      <c r="A63" s="9" t="s">
        <v>18</v>
      </c>
      <c r="B63" s="3">
        <v>45581</v>
      </c>
      <c r="C63" s="2">
        <v>0</v>
      </c>
      <c r="D63" s="2">
        <v>62</v>
      </c>
      <c r="E63" s="4" t="s">
        <v>15</v>
      </c>
      <c r="F63" s="4">
        <v>2</v>
      </c>
      <c r="G63" s="4">
        <v>2</v>
      </c>
      <c r="H63" s="2">
        <v>0</v>
      </c>
      <c r="I63" s="2">
        <v>2.6100000000000002E-2</v>
      </c>
      <c r="J63" s="2" t="s">
        <v>19</v>
      </c>
      <c r="K63" s="2">
        <v>1003.1</v>
      </c>
      <c r="L63" s="2">
        <v>2</v>
      </c>
      <c r="M63" s="2" t="s">
        <v>18</v>
      </c>
      <c r="N63" s="10"/>
    </row>
    <row r="64" spans="1:14" x14ac:dyDescent="0.2">
      <c r="A64" s="9" t="s">
        <v>18</v>
      </c>
      <c r="B64" s="3">
        <v>45581</v>
      </c>
      <c r="C64" s="2">
        <v>0</v>
      </c>
      <c r="D64" s="2">
        <v>63</v>
      </c>
      <c r="E64" s="4" t="s">
        <v>15</v>
      </c>
      <c r="F64" s="4">
        <v>3</v>
      </c>
      <c r="G64" s="4">
        <v>1</v>
      </c>
      <c r="H64" s="2">
        <v>0</v>
      </c>
      <c r="I64" s="2">
        <v>0.14680000000000001</v>
      </c>
      <c r="J64" s="2" t="s">
        <v>23</v>
      </c>
      <c r="K64" s="2">
        <v>934.7</v>
      </c>
      <c r="L64" s="2">
        <v>2</v>
      </c>
      <c r="M64" s="2" t="s">
        <v>18</v>
      </c>
      <c r="N64" s="10"/>
    </row>
    <row r="65" spans="1:14" x14ac:dyDescent="0.2">
      <c r="A65" s="9" t="s">
        <v>18</v>
      </c>
      <c r="B65" s="3">
        <v>45581</v>
      </c>
      <c r="C65" s="2">
        <v>0</v>
      </c>
      <c r="D65" s="2">
        <v>64</v>
      </c>
      <c r="E65" s="4" t="s">
        <v>15</v>
      </c>
      <c r="F65" s="4">
        <v>3</v>
      </c>
      <c r="G65" s="4">
        <v>2</v>
      </c>
      <c r="H65" s="2">
        <v>0</v>
      </c>
      <c r="I65" s="2">
        <v>0.14680000000000001</v>
      </c>
      <c r="J65" s="2" t="s">
        <v>19</v>
      </c>
      <c r="K65" s="2">
        <v>1188.5</v>
      </c>
      <c r="L65" s="2">
        <v>2</v>
      </c>
      <c r="M65" s="2" t="s">
        <v>18</v>
      </c>
      <c r="N65" s="10"/>
    </row>
    <row r="66" spans="1:14" x14ac:dyDescent="0.2">
      <c r="A66" s="9" t="s">
        <v>18</v>
      </c>
      <c r="B66" s="3">
        <v>45581</v>
      </c>
      <c r="C66" s="2">
        <v>0</v>
      </c>
      <c r="D66" s="2">
        <v>65</v>
      </c>
      <c r="E66" s="4" t="s">
        <v>15</v>
      </c>
      <c r="F66" s="4">
        <v>4</v>
      </c>
      <c r="G66" s="4">
        <v>1</v>
      </c>
      <c r="H66" s="2">
        <v>0</v>
      </c>
      <c r="I66" s="2">
        <v>0.2611</v>
      </c>
      <c r="J66" s="2" t="s">
        <v>25</v>
      </c>
      <c r="K66" s="2">
        <v>808.6</v>
      </c>
      <c r="L66" s="2">
        <v>2</v>
      </c>
      <c r="M66" s="2" t="s">
        <v>18</v>
      </c>
      <c r="N66" s="10"/>
    </row>
    <row r="67" spans="1:14" x14ac:dyDescent="0.2">
      <c r="A67" s="9" t="s">
        <v>18</v>
      </c>
      <c r="B67" s="3">
        <v>45581</v>
      </c>
      <c r="C67" s="2">
        <v>0</v>
      </c>
      <c r="D67" s="2">
        <v>66</v>
      </c>
      <c r="E67" s="4" t="s">
        <v>15</v>
      </c>
      <c r="F67" s="4">
        <v>4</v>
      </c>
      <c r="G67" s="4">
        <v>2</v>
      </c>
      <c r="H67" s="2">
        <v>0</v>
      </c>
      <c r="I67" s="2">
        <v>0.2611</v>
      </c>
      <c r="J67" s="2" t="s">
        <v>20</v>
      </c>
      <c r="K67" s="2">
        <v>747.9</v>
      </c>
      <c r="L67" s="2">
        <v>2</v>
      </c>
      <c r="M67" s="2" t="s">
        <v>18</v>
      </c>
      <c r="N67" s="10"/>
    </row>
    <row r="68" spans="1:14" x14ac:dyDescent="0.2">
      <c r="A68" s="9" t="s">
        <v>18</v>
      </c>
      <c r="B68" s="3">
        <v>45581</v>
      </c>
      <c r="C68" s="2">
        <v>0</v>
      </c>
      <c r="D68" s="2">
        <v>67</v>
      </c>
      <c r="E68" s="4" t="s">
        <v>15</v>
      </c>
      <c r="F68" s="4">
        <v>5</v>
      </c>
      <c r="G68" s="4">
        <v>1</v>
      </c>
      <c r="H68" s="2">
        <v>0</v>
      </c>
      <c r="I68" s="2">
        <v>0.46429999999999999</v>
      </c>
      <c r="J68" s="2" t="s">
        <v>19</v>
      </c>
      <c r="K68" s="2">
        <v>1044.0999999999999</v>
      </c>
      <c r="L68" s="2">
        <v>2</v>
      </c>
      <c r="M68" s="2" t="s">
        <v>18</v>
      </c>
      <c r="N68" s="10"/>
    </row>
    <row r="69" spans="1:14" x14ac:dyDescent="0.2">
      <c r="A69" s="9" t="s">
        <v>18</v>
      </c>
      <c r="B69" s="3">
        <v>45581</v>
      </c>
      <c r="C69" s="2">
        <v>0</v>
      </c>
      <c r="D69" s="2">
        <v>68</v>
      </c>
      <c r="E69" s="4" t="s">
        <v>15</v>
      </c>
      <c r="F69" s="4">
        <v>5</v>
      </c>
      <c r="G69" s="4">
        <v>2</v>
      </c>
      <c r="H69" s="2">
        <v>0</v>
      </c>
      <c r="I69" s="2">
        <v>0.46429999999999999</v>
      </c>
      <c r="J69" s="2" t="s">
        <v>24</v>
      </c>
      <c r="K69" s="2">
        <v>1068.4000000000001</v>
      </c>
      <c r="L69" s="2">
        <v>2</v>
      </c>
      <c r="M69" s="2" t="s">
        <v>18</v>
      </c>
      <c r="N69" s="10"/>
    </row>
    <row r="70" spans="1:14" x14ac:dyDescent="0.2">
      <c r="A70" s="9" t="s">
        <v>18</v>
      </c>
      <c r="B70" s="3">
        <v>45581</v>
      </c>
      <c r="C70" s="2">
        <v>0</v>
      </c>
      <c r="D70" s="2">
        <v>69</v>
      </c>
      <c r="E70" s="4" t="s">
        <v>15</v>
      </c>
      <c r="F70" s="4">
        <v>6</v>
      </c>
      <c r="G70" s="4">
        <v>1</v>
      </c>
      <c r="H70" s="2">
        <v>0</v>
      </c>
      <c r="I70" s="2">
        <v>0.8256</v>
      </c>
      <c r="J70" s="2" t="s">
        <v>24</v>
      </c>
      <c r="K70" s="2">
        <v>1254</v>
      </c>
      <c r="L70" s="2">
        <v>2</v>
      </c>
      <c r="M70" s="2" t="s">
        <v>18</v>
      </c>
      <c r="N70" s="10"/>
    </row>
    <row r="71" spans="1:14" x14ac:dyDescent="0.2">
      <c r="A71" s="9" t="s">
        <v>18</v>
      </c>
      <c r="B71" s="3">
        <v>45581</v>
      </c>
      <c r="C71" s="2">
        <v>0</v>
      </c>
      <c r="D71" s="2">
        <v>70</v>
      </c>
      <c r="E71" s="4" t="s">
        <v>15</v>
      </c>
      <c r="F71" s="4">
        <v>6</v>
      </c>
      <c r="G71" s="4">
        <v>2</v>
      </c>
      <c r="H71" s="2">
        <v>0</v>
      </c>
      <c r="I71" s="2">
        <v>0.8256</v>
      </c>
      <c r="J71" s="2" t="s">
        <v>19</v>
      </c>
      <c r="K71" s="2">
        <v>1078.5</v>
      </c>
      <c r="L71" s="2">
        <v>2</v>
      </c>
      <c r="M71" s="2" t="s">
        <v>18</v>
      </c>
      <c r="N71" s="10"/>
    </row>
    <row r="72" spans="1:14" x14ac:dyDescent="0.2">
      <c r="A72" s="9" t="s">
        <v>18</v>
      </c>
      <c r="B72" s="3">
        <v>45581</v>
      </c>
      <c r="C72" s="2">
        <v>0</v>
      </c>
      <c r="D72" s="2">
        <v>71</v>
      </c>
      <c r="E72" s="4" t="s">
        <v>15</v>
      </c>
      <c r="F72" s="4">
        <v>7</v>
      </c>
      <c r="G72" s="4">
        <v>1</v>
      </c>
      <c r="H72" s="2">
        <v>0</v>
      </c>
      <c r="I72" s="2">
        <v>1.4681999999999999</v>
      </c>
      <c r="J72" s="2" t="s">
        <v>19</v>
      </c>
      <c r="K72" s="2">
        <v>1142.5999999999999</v>
      </c>
      <c r="L72" s="2">
        <v>2</v>
      </c>
      <c r="M72" s="2" t="s">
        <v>18</v>
      </c>
      <c r="N72" s="10"/>
    </row>
    <row r="73" spans="1:14" ht="17" thickBot="1" x14ac:dyDescent="0.25">
      <c r="A73" s="15" t="s">
        <v>18</v>
      </c>
      <c r="B73" s="16">
        <v>45581</v>
      </c>
      <c r="C73" s="17">
        <v>0</v>
      </c>
      <c r="D73" s="17">
        <v>72</v>
      </c>
      <c r="E73" s="18" t="s">
        <v>15</v>
      </c>
      <c r="F73" s="18">
        <v>7</v>
      </c>
      <c r="G73" s="18">
        <v>2</v>
      </c>
      <c r="H73" s="17">
        <v>0</v>
      </c>
      <c r="I73" s="17">
        <v>1.4681999999999999</v>
      </c>
      <c r="J73" s="17" t="s">
        <v>26</v>
      </c>
      <c r="K73" s="17">
        <v>1167.2</v>
      </c>
      <c r="L73" s="17">
        <v>2</v>
      </c>
      <c r="M73" s="17" t="s">
        <v>18</v>
      </c>
      <c r="N73" s="19"/>
    </row>
    <row r="74" spans="1:14" x14ac:dyDescent="0.2">
      <c r="A74" s="5" t="s">
        <v>30</v>
      </c>
      <c r="B74" s="6">
        <v>45588</v>
      </c>
      <c r="C74" s="7">
        <v>0</v>
      </c>
      <c r="D74" s="7">
        <v>73</v>
      </c>
      <c r="E74" s="7" t="s">
        <v>16</v>
      </c>
      <c r="F74" s="7">
        <v>0</v>
      </c>
      <c r="G74" s="7">
        <v>3</v>
      </c>
      <c r="H74" s="7">
        <v>0</v>
      </c>
      <c r="I74" s="7">
        <v>0</v>
      </c>
      <c r="J74" s="7" t="s">
        <v>24</v>
      </c>
      <c r="K74" s="7">
        <v>1096</v>
      </c>
      <c r="L74" s="7">
        <v>2</v>
      </c>
      <c r="M74" s="7" t="s">
        <v>18</v>
      </c>
      <c r="N74" s="8"/>
    </row>
    <row r="75" spans="1:14" x14ac:dyDescent="0.2">
      <c r="A75" s="9" t="s">
        <v>30</v>
      </c>
      <c r="B75" s="3">
        <v>45588</v>
      </c>
      <c r="C75" s="2">
        <v>0</v>
      </c>
      <c r="D75" s="2">
        <v>74</v>
      </c>
      <c r="E75" s="2" t="s">
        <v>16</v>
      </c>
      <c r="F75" s="2">
        <v>0</v>
      </c>
      <c r="G75" s="2">
        <v>4</v>
      </c>
      <c r="H75" s="2">
        <v>0</v>
      </c>
      <c r="I75" s="2">
        <v>0</v>
      </c>
      <c r="J75" s="2" t="s">
        <v>19</v>
      </c>
      <c r="K75" s="2">
        <v>1201.5</v>
      </c>
      <c r="L75" s="2">
        <v>2</v>
      </c>
      <c r="M75" s="2" t="s">
        <v>18</v>
      </c>
      <c r="N75" s="10"/>
    </row>
    <row r="76" spans="1:14" x14ac:dyDescent="0.2">
      <c r="A76" s="9" t="s">
        <v>30</v>
      </c>
      <c r="B76" s="3">
        <v>45588</v>
      </c>
      <c r="C76" s="2">
        <v>0</v>
      </c>
      <c r="D76" s="2">
        <v>75</v>
      </c>
      <c r="E76" s="2" t="s">
        <v>11</v>
      </c>
      <c r="F76" s="2">
        <v>1</v>
      </c>
      <c r="G76" s="2">
        <v>3</v>
      </c>
      <c r="H76" s="2">
        <v>0.94179999999999997</v>
      </c>
      <c r="I76" s="2">
        <v>0</v>
      </c>
      <c r="J76" s="2" t="s">
        <v>21</v>
      </c>
      <c r="K76" s="2">
        <v>952.6</v>
      </c>
      <c r="L76" s="2">
        <v>2</v>
      </c>
      <c r="M76" s="2" t="s">
        <v>18</v>
      </c>
      <c r="N76" s="10"/>
    </row>
    <row r="77" spans="1:14" x14ac:dyDescent="0.2">
      <c r="A77" s="9" t="s">
        <v>30</v>
      </c>
      <c r="B77" s="3">
        <v>45588</v>
      </c>
      <c r="C77" s="2">
        <v>0</v>
      </c>
      <c r="D77" s="2">
        <v>76</v>
      </c>
      <c r="E77" s="2" t="s">
        <v>11</v>
      </c>
      <c r="F77" s="2">
        <v>1</v>
      </c>
      <c r="G77" s="2">
        <v>4</v>
      </c>
      <c r="H77" s="2">
        <v>0.94179999999999997</v>
      </c>
      <c r="I77" s="2">
        <v>0</v>
      </c>
      <c r="J77" s="2" t="s">
        <v>24</v>
      </c>
      <c r="K77" s="2">
        <v>1155.3</v>
      </c>
      <c r="L77" s="2">
        <v>2</v>
      </c>
      <c r="M77" s="2" t="s">
        <v>18</v>
      </c>
      <c r="N77" s="10"/>
    </row>
    <row r="78" spans="1:14" x14ac:dyDescent="0.2">
      <c r="A78" s="9" t="s">
        <v>30</v>
      </c>
      <c r="B78" s="3">
        <v>45588</v>
      </c>
      <c r="C78" s="2">
        <v>0</v>
      </c>
      <c r="D78" s="2">
        <v>77</v>
      </c>
      <c r="E78" s="2" t="s">
        <v>11</v>
      </c>
      <c r="F78" s="2">
        <v>2</v>
      </c>
      <c r="G78" s="2">
        <v>3</v>
      </c>
      <c r="H78" s="2">
        <v>9.4181000000000008</v>
      </c>
      <c r="I78" s="2">
        <v>0</v>
      </c>
      <c r="J78" s="2" t="s">
        <v>24</v>
      </c>
      <c r="K78" s="2">
        <v>999.4</v>
      </c>
      <c r="L78" s="2">
        <v>2</v>
      </c>
      <c r="M78" s="2" t="s">
        <v>18</v>
      </c>
      <c r="N78" s="10"/>
    </row>
    <row r="79" spans="1:14" x14ac:dyDescent="0.2">
      <c r="A79" s="9" t="s">
        <v>30</v>
      </c>
      <c r="B79" s="3">
        <v>45588</v>
      </c>
      <c r="C79" s="2">
        <v>0</v>
      </c>
      <c r="D79" s="2">
        <v>78</v>
      </c>
      <c r="E79" s="2" t="s">
        <v>11</v>
      </c>
      <c r="F79" s="2">
        <v>2</v>
      </c>
      <c r="G79" s="2">
        <v>4</v>
      </c>
      <c r="H79" s="2">
        <v>9.4181000000000008</v>
      </c>
      <c r="I79" s="2">
        <v>0</v>
      </c>
      <c r="J79" s="2" t="s">
        <v>19</v>
      </c>
      <c r="K79" s="2">
        <v>1126.9000000000001</v>
      </c>
      <c r="L79" s="2">
        <v>2</v>
      </c>
      <c r="M79" s="2" t="s">
        <v>18</v>
      </c>
      <c r="N79" s="10"/>
    </row>
    <row r="80" spans="1:14" x14ac:dyDescent="0.2">
      <c r="A80" s="9" t="s">
        <v>30</v>
      </c>
      <c r="B80" s="3">
        <v>45588</v>
      </c>
      <c r="C80" s="2">
        <v>0</v>
      </c>
      <c r="D80" s="2">
        <v>79</v>
      </c>
      <c r="E80" s="2" t="s">
        <v>11</v>
      </c>
      <c r="F80" s="2">
        <v>3</v>
      </c>
      <c r="G80" s="2">
        <v>3</v>
      </c>
      <c r="H80" s="2">
        <v>52.9619</v>
      </c>
      <c r="I80" s="2">
        <v>0</v>
      </c>
      <c r="J80" s="2" t="s">
        <v>19</v>
      </c>
      <c r="K80" s="2">
        <v>979.6</v>
      </c>
      <c r="L80" s="2">
        <v>2</v>
      </c>
      <c r="M80" s="2" t="s">
        <v>18</v>
      </c>
      <c r="N80" s="10"/>
    </row>
    <row r="81" spans="1:14" x14ac:dyDescent="0.2">
      <c r="A81" s="9" t="s">
        <v>30</v>
      </c>
      <c r="B81" s="3">
        <v>45588</v>
      </c>
      <c r="C81" s="2">
        <v>0</v>
      </c>
      <c r="D81" s="2">
        <v>80</v>
      </c>
      <c r="E81" s="2" t="s">
        <v>11</v>
      </c>
      <c r="F81" s="2">
        <v>3</v>
      </c>
      <c r="G81" s="2">
        <v>4</v>
      </c>
      <c r="H81" s="2">
        <v>52.9619</v>
      </c>
      <c r="I81" s="2">
        <v>0</v>
      </c>
      <c r="J81" s="2" t="s">
        <v>21</v>
      </c>
      <c r="K81" s="2">
        <v>1093.5999999999999</v>
      </c>
      <c r="L81" s="2">
        <v>2</v>
      </c>
      <c r="M81" s="2" t="s">
        <v>18</v>
      </c>
      <c r="N81" s="10"/>
    </row>
    <row r="82" spans="1:14" x14ac:dyDescent="0.2">
      <c r="A82" s="9" t="s">
        <v>30</v>
      </c>
      <c r="B82" s="3">
        <v>45588</v>
      </c>
      <c r="C82" s="2">
        <v>0</v>
      </c>
      <c r="D82" s="2">
        <v>81</v>
      </c>
      <c r="E82" s="2" t="s">
        <v>11</v>
      </c>
      <c r="F82" s="2">
        <v>4</v>
      </c>
      <c r="G82" s="2">
        <v>3</v>
      </c>
      <c r="H82" s="2">
        <v>94.180999999999997</v>
      </c>
      <c r="I82" s="2">
        <v>0</v>
      </c>
      <c r="J82" s="2" t="s">
        <v>20</v>
      </c>
      <c r="K82" s="2">
        <v>956.6</v>
      </c>
      <c r="L82" s="2">
        <v>2</v>
      </c>
      <c r="M82" s="2" t="s">
        <v>18</v>
      </c>
      <c r="N82" s="10"/>
    </row>
    <row r="83" spans="1:14" x14ac:dyDescent="0.2">
      <c r="A83" s="9" t="s">
        <v>30</v>
      </c>
      <c r="B83" s="3">
        <v>45588</v>
      </c>
      <c r="C83" s="2">
        <v>0</v>
      </c>
      <c r="D83" s="2">
        <v>82</v>
      </c>
      <c r="E83" s="2" t="s">
        <v>11</v>
      </c>
      <c r="F83" s="2">
        <v>4</v>
      </c>
      <c r="G83" s="2">
        <v>4</v>
      </c>
      <c r="H83" s="2">
        <v>94.180999999999997</v>
      </c>
      <c r="I83" s="2">
        <v>0</v>
      </c>
      <c r="J83" s="2" t="s">
        <v>22</v>
      </c>
      <c r="K83" s="2">
        <v>888.2</v>
      </c>
      <c r="L83" s="2">
        <v>2</v>
      </c>
      <c r="M83" s="2" t="s">
        <v>18</v>
      </c>
      <c r="N83" s="10"/>
    </row>
    <row r="84" spans="1:14" x14ac:dyDescent="0.2">
      <c r="A84" s="9" t="s">
        <v>30</v>
      </c>
      <c r="B84" s="3">
        <v>45588</v>
      </c>
      <c r="C84" s="2">
        <v>0</v>
      </c>
      <c r="D84" s="2">
        <v>83</v>
      </c>
      <c r="E84" s="2" t="s">
        <v>11</v>
      </c>
      <c r="F84" s="2">
        <v>5</v>
      </c>
      <c r="G84" s="2">
        <v>3</v>
      </c>
      <c r="H84" s="2">
        <v>167.48009999999999</v>
      </c>
      <c r="I84" s="2">
        <v>0</v>
      </c>
      <c r="J84" s="2" t="s">
        <v>22</v>
      </c>
      <c r="K84" s="2">
        <v>1018.4</v>
      </c>
      <c r="L84" s="2">
        <v>2</v>
      </c>
      <c r="M84" s="2" t="s">
        <v>18</v>
      </c>
      <c r="N84" s="10"/>
    </row>
    <row r="85" spans="1:14" x14ac:dyDescent="0.2">
      <c r="A85" s="9" t="s">
        <v>30</v>
      </c>
      <c r="B85" s="3">
        <v>45588</v>
      </c>
      <c r="C85" s="2">
        <v>0</v>
      </c>
      <c r="D85" s="2">
        <v>84</v>
      </c>
      <c r="E85" s="2" t="s">
        <v>11</v>
      </c>
      <c r="F85" s="2">
        <v>5</v>
      </c>
      <c r="G85" s="2">
        <v>4</v>
      </c>
      <c r="H85" s="2">
        <v>167.48009999999999</v>
      </c>
      <c r="I85" s="2">
        <v>0</v>
      </c>
      <c r="J85" s="2" t="s">
        <v>25</v>
      </c>
      <c r="K85" s="2">
        <v>896.9</v>
      </c>
      <c r="L85" s="2">
        <v>2</v>
      </c>
      <c r="M85" s="2" t="s">
        <v>18</v>
      </c>
      <c r="N85" s="10"/>
    </row>
    <row r="86" spans="1:14" x14ac:dyDescent="0.2">
      <c r="A86" s="9" t="s">
        <v>30</v>
      </c>
      <c r="B86" s="3">
        <v>45588</v>
      </c>
      <c r="C86" s="2">
        <v>0</v>
      </c>
      <c r="D86" s="2">
        <v>85</v>
      </c>
      <c r="E86" s="2" t="s">
        <v>11</v>
      </c>
      <c r="F86" s="2">
        <v>6</v>
      </c>
      <c r="G86" s="2">
        <v>3</v>
      </c>
      <c r="H86" s="2">
        <v>297.82639999999998</v>
      </c>
      <c r="I86" s="2">
        <v>0</v>
      </c>
      <c r="J86" s="2" t="s">
        <v>23</v>
      </c>
      <c r="K86" s="2">
        <v>905</v>
      </c>
      <c r="L86" s="2">
        <v>2</v>
      </c>
      <c r="M86" s="2" t="s">
        <v>18</v>
      </c>
      <c r="N86" s="10"/>
    </row>
    <row r="87" spans="1:14" x14ac:dyDescent="0.2">
      <c r="A87" s="9" t="s">
        <v>30</v>
      </c>
      <c r="B87" s="3">
        <v>45588</v>
      </c>
      <c r="C87" s="2">
        <v>0</v>
      </c>
      <c r="D87" s="2">
        <v>86</v>
      </c>
      <c r="E87" s="2" t="s">
        <v>11</v>
      </c>
      <c r="F87" s="2">
        <v>6</v>
      </c>
      <c r="G87" s="2">
        <v>4</v>
      </c>
      <c r="H87" s="2">
        <v>297.82639999999998</v>
      </c>
      <c r="I87" s="2">
        <v>0</v>
      </c>
      <c r="J87" s="2" t="s">
        <v>21</v>
      </c>
      <c r="K87" s="2">
        <v>1044.8</v>
      </c>
      <c r="L87" s="2">
        <v>2</v>
      </c>
      <c r="M87" s="2" t="s">
        <v>18</v>
      </c>
      <c r="N87" s="10"/>
    </row>
    <row r="88" spans="1:14" x14ac:dyDescent="0.2">
      <c r="A88" s="9" t="s">
        <v>30</v>
      </c>
      <c r="B88" s="3">
        <v>45588</v>
      </c>
      <c r="C88" s="2">
        <v>0</v>
      </c>
      <c r="D88" s="2">
        <v>87</v>
      </c>
      <c r="E88" s="2" t="s">
        <v>11</v>
      </c>
      <c r="F88" s="2">
        <v>7</v>
      </c>
      <c r="G88" s="2">
        <v>3</v>
      </c>
      <c r="H88" s="2">
        <v>529.61860000000001</v>
      </c>
      <c r="I88" s="2">
        <v>0</v>
      </c>
      <c r="J88" s="2" t="s">
        <v>21</v>
      </c>
      <c r="K88" s="2">
        <v>962.5</v>
      </c>
      <c r="L88" s="2">
        <v>2</v>
      </c>
      <c r="M88" s="2" t="s">
        <v>18</v>
      </c>
      <c r="N88" s="10"/>
    </row>
    <row r="89" spans="1:14" x14ac:dyDescent="0.2">
      <c r="A89" s="9" t="s">
        <v>30</v>
      </c>
      <c r="B89" s="3">
        <v>45588</v>
      </c>
      <c r="C89" s="2">
        <v>0</v>
      </c>
      <c r="D89" s="2">
        <v>88</v>
      </c>
      <c r="E89" s="2" t="s">
        <v>11</v>
      </c>
      <c r="F89" s="2">
        <v>7</v>
      </c>
      <c r="G89" s="2">
        <v>4</v>
      </c>
      <c r="H89" s="2">
        <v>529.61860000000001</v>
      </c>
      <c r="I89" s="2">
        <v>0</v>
      </c>
      <c r="J89" s="2" t="s">
        <v>19</v>
      </c>
      <c r="K89" s="2">
        <v>857.7</v>
      </c>
      <c r="L89" s="2">
        <v>2</v>
      </c>
      <c r="M89" s="2" t="s">
        <v>18</v>
      </c>
      <c r="N89" s="10"/>
    </row>
    <row r="90" spans="1:14" x14ac:dyDescent="0.2">
      <c r="A90" s="9" t="s">
        <v>30</v>
      </c>
      <c r="B90" s="3">
        <v>45588</v>
      </c>
      <c r="C90" s="2">
        <v>0</v>
      </c>
      <c r="D90" s="2">
        <v>89</v>
      </c>
      <c r="E90" s="2" t="s">
        <v>12</v>
      </c>
      <c r="F90" s="2">
        <v>1</v>
      </c>
      <c r="G90" s="2">
        <v>3</v>
      </c>
      <c r="H90" s="2">
        <v>0.70640000000000003</v>
      </c>
      <c r="I90" s="2">
        <v>6.9999999999999999E-4</v>
      </c>
      <c r="J90" s="2" t="s">
        <v>19</v>
      </c>
      <c r="K90" s="2">
        <v>1009.9</v>
      </c>
      <c r="L90" s="2">
        <v>2</v>
      </c>
      <c r="M90" s="2" t="s">
        <v>18</v>
      </c>
      <c r="N90" s="10"/>
    </row>
    <row r="91" spans="1:14" x14ac:dyDescent="0.2">
      <c r="A91" s="9" t="s">
        <v>30</v>
      </c>
      <c r="B91" s="3">
        <v>45588</v>
      </c>
      <c r="C91" s="2">
        <v>0</v>
      </c>
      <c r="D91" s="2">
        <v>90</v>
      </c>
      <c r="E91" s="2" t="s">
        <v>12</v>
      </c>
      <c r="F91" s="2">
        <v>1</v>
      </c>
      <c r="G91" s="2">
        <v>4</v>
      </c>
      <c r="H91" s="2">
        <v>0.70640000000000003</v>
      </c>
      <c r="I91" s="2">
        <v>6.9999999999999999E-4</v>
      </c>
      <c r="J91" s="2" t="s">
        <v>24</v>
      </c>
      <c r="K91" s="2">
        <v>889</v>
      </c>
      <c r="L91" s="2">
        <v>2</v>
      </c>
      <c r="M91" s="2" t="s">
        <v>18</v>
      </c>
      <c r="N91" s="10"/>
    </row>
    <row r="92" spans="1:14" x14ac:dyDescent="0.2">
      <c r="A92" s="9" t="s">
        <v>30</v>
      </c>
      <c r="B92" s="3">
        <v>45588</v>
      </c>
      <c r="C92" s="2">
        <v>0</v>
      </c>
      <c r="D92" s="2">
        <v>91</v>
      </c>
      <c r="E92" s="2" t="s">
        <v>12</v>
      </c>
      <c r="F92" s="2">
        <v>2</v>
      </c>
      <c r="G92" s="2">
        <v>3</v>
      </c>
      <c r="H92" s="2">
        <v>7.0636000000000001</v>
      </c>
      <c r="I92" s="2">
        <v>6.4999999999999997E-3</v>
      </c>
      <c r="J92" s="2" t="s">
        <v>24</v>
      </c>
      <c r="K92" s="2">
        <v>1148.2</v>
      </c>
      <c r="L92" s="2">
        <v>2</v>
      </c>
      <c r="M92" s="2" t="s">
        <v>18</v>
      </c>
      <c r="N92" s="10"/>
    </row>
    <row r="93" spans="1:14" x14ac:dyDescent="0.2">
      <c r="A93" s="9" t="s">
        <v>30</v>
      </c>
      <c r="B93" s="3">
        <v>45588</v>
      </c>
      <c r="C93" s="2">
        <v>0</v>
      </c>
      <c r="D93" s="2">
        <v>92</v>
      </c>
      <c r="E93" s="2" t="s">
        <v>12</v>
      </c>
      <c r="F93" s="2">
        <v>2</v>
      </c>
      <c r="G93" s="2">
        <v>4</v>
      </c>
      <c r="H93" s="2">
        <v>7.0636000000000001</v>
      </c>
      <c r="I93" s="2">
        <v>6.4999999999999997E-3</v>
      </c>
      <c r="J93" s="2" t="s">
        <v>21</v>
      </c>
      <c r="K93" s="2">
        <v>1024.5</v>
      </c>
      <c r="L93" s="2">
        <v>2</v>
      </c>
      <c r="M93" s="2" t="s">
        <v>18</v>
      </c>
      <c r="N93" s="10"/>
    </row>
    <row r="94" spans="1:14" x14ac:dyDescent="0.2">
      <c r="A94" s="9" t="s">
        <v>30</v>
      </c>
      <c r="B94" s="3">
        <v>45588</v>
      </c>
      <c r="C94" s="2">
        <v>0</v>
      </c>
      <c r="D94" s="2">
        <v>93</v>
      </c>
      <c r="E94" s="2" t="s">
        <v>12</v>
      </c>
      <c r="F94" s="2">
        <v>3</v>
      </c>
      <c r="G94" s="2">
        <v>3</v>
      </c>
      <c r="H94" s="2">
        <v>39.721400000000003</v>
      </c>
      <c r="I94" s="2">
        <v>3.6700000000000003E-2</v>
      </c>
      <c r="J94" s="2" t="s">
        <v>21</v>
      </c>
      <c r="K94" s="2">
        <v>988.6</v>
      </c>
      <c r="L94" s="2">
        <v>2</v>
      </c>
      <c r="M94" s="2" t="s">
        <v>18</v>
      </c>
      <c r="N94" s="10"/>
    </row>
    <row r="95" spans="1:14" x14ac:dyDescent="0.2">
      <c r="A95" s="9" t="s">
        <v>30</v>
      </c>
      <c r="B95" s="3">
        <v>45588</v>
      </c>
      <c r="C95" s="2">
        <v>0</v>
      </c>
      <c r="D95" s="2">
        <v>94</v>
      </c>
      <c r="E95" s="2" t="s">
        <v>12</v>
      </c>
      <c r="F95" s="2">
        <v>3</v>
      </c>
      <c r="G95" s="2">
        <v>4</v>
      </c>
      <c r="H95" s="2">
        <v>39.721400000000003</v>
      </c>
      <c r="I95" s="2">
        <v>3.6700000000000003E-2</v>
      </c>
      <c r="J95" s="2" t="s">
        <v>20</v>
      </c>
      <c r="K95" s="2">
        <v>917</v>
      </c>
      <c r="L95" s="2">
        <v>2</v>
      </c>
      <c r="M95" s="2" t="s">
        <v>18</v>
      </c>
      <c r="N95" s="10"/>
    </row>
    <row r="96" spans="1:14" x14ac:dyDescent="0.2">
      <c r="A96" s="9" t="s">
        <v>30</v>
      </c>
      <c r="B96" s="3">
        <v>45588</v>
      </c>
      <c r="C96" s="2">
        <v>0</v>
      </c>
      <c r="D96" s="2">
        <v>95</v>
      </c>
      <c r="E96" s="2" t="s">
        <v>12</v>
      </c>
      <c r="F96" s="2">
        <v>4</v>
      </c>
      <c r="G96" s="4">
        <v>3</v>
      </c>
      <c r="H96" s="2">
        <v>70.6357</v>
      </c>
      <c r="I96" s="2">
        <v>6.5299999999999997E-2</v>
      </c>
      <c r="J96" s="2" t="s">
        <v>20</v>
      </c>
      <c r="K96" s="2">
        <v>1095.2</v>
      </c>
      <c r="L96" s="2">
        <v>2</v>
      </c>
      <c r="M96" s="2" t="s">
        <v>18</v>
      </c>
      <c r="N96" s="10"/>
    </row>
    <row r="97" spans="1:14" x14ac:dyDescent="0.2">
      <c r="A97" s="9" t="s">
        <v>30</v>
      </c>
      <c r="B97" s="3">
        <v>45588</v>
      </c>
      <c r="C97" s="2">
        <v>0</v>
      </c>
      <c r="D97" s="2">
        <v>96</v>
      </c>
      <c r="E97" s="2" t="s">
        <v>12</v>
      </c>
      <c r="F97" s="2">
        <v>4</v>
      </c>
      <c r="G97" s="4">
        <v>4</v>
      </c>
      <c r="H97" s="2">
        <v>70.6357</v>
      </c>
      <c r="I97" s="2">
        <v>6.5299999999999997E-2</v>
      </c>
      <c r="J97" s="2" t="s">
        <v>22</v>
      </c>
      <c r="K97" s="2">
        <v>985.1</v>
      </c>
      <c r="L97" s="2">
        <v>2</v>
      </c>
      <c r="M97" s="2" t="s">
        <v>18</v>
      </c>
      <c r="N97" s="10"/>
    </row>
    <row r="98" spans="1:14" x14ac:dyDescent="0.2">
      <c r="A98" s="9" t="s">
        <v>30</v>
      </c>
      <c r="B98" s="3">
        <v>45588</v>
      </c>
      <c r="C98" s="2">
        <v>0</v>
      </c>
      <c r="D98" s="2">
        <v>97</v>
      </c>
      <c r="E98" s="2" t="s">
        <v>12</v>
      </c>
      <c r="F98" s="2">
        <v>5</v>
      </c>
      <c r="G98" s="4">
        <v>3</v>
      </c>
      <c r="H98" s="2">
        <v>125.6101</v>
      </c>
      <c r="I98" s="2">
        <v>0.11609999999999999</v>
      </c>
      <c r="J98" s="2" t="s">
        <v>22</v>
      </c>
      <c r="K98" s="2">
        <v>921.9</v>
      </c>
      <c r="L98" s="2">
        <v>2</v>
      </c>
      <c r="M98" s="2" t="s">
        <v>18</v>
      </c>
      <c r="N98" s="10"/>
    </row>
    <row r="99" spans="1:14" x14ac:dyDescent="0.2">
      <c r="A99" s="9" t="s">
        <v>30</v>
      </c>
      <c r="B99" s="3">
        <v>45588</v>
      </c>
      <c r="C99" s="2">
        <v>0</v>
      </c>
      <c r="D99" s="2">
        <v>98</v>
      </c>
      <c r="E99" s="2" t="s">
        <v>12</v>
      </c>
      <c r="F99" s="2">
        <v>5</v>
      </c>
      <c r="G99" s="4">
        <v>4</v>
      </c>
      <c r="H99" s="2">
        <v>125.6101</v>
      </c>
      <c r="I99" s="2">
        <v>0.11609999999999999</v>
      </c>
      <c r="J99" s="2" t="s">
        <v>23</v>
      </c>
      <c r="K99" s="2">
        <v>1032.5999999999999</v>
      </c>
      <c r="L99" s="2">
        <v>2</v>
      </c>
      <c r="M99" s="2" t="s">
        <v>18</v>
      </c>
      <c r="N99" s="10"/>
    </row>
    <row r="100" spans="1:14" x14ac:dyDescent="0.2">
      <c r="A100" s="9" t="s">
        <v>30</v>
      </c>
      <c r="B100" s="3">
        <v>45588</v>
      </c>
      <c r="C100" s="2">
        <v>0</v>
      </c>
      <c r="D100" s="2">
        <v>99</v>
      </c>
      <c r="E100" s="2" t="s">
        <v>12</v>
      </c>
      <c r="F100" s="2">
        <v>6</v>
      </c>
      <c r="G100" s="4">
        <v>3</v>
      </c>
      <c r="H100" s="2">
        <v>223.3698</v>
      </c>
      <c r="I100" s="2">
        <v>0.2064</v>
      </c>
      <c r="J100" s="2" t="s">
        <v>23</v>
      </c>
      <c r="K100" s="2">
        <v>1204.0999999999999</v>
      </c>
      <c r="L100" s="2">
        <v>2</v>
      </c>
      <c r="M100" s="2" t="s">
        <v>18</v>
      </c>
      <c r="N100" s="10"/>
    </row>
    <row r="101" spans="1:14" x14ac:dyDescent="0.2">
      <c r="A101" s="9" t="s">
        <v>30</v>
      </c>
      <c r="B101" s="3">
        <v>45588</v>
      </c>
      <c r="C101" s="2">
        <v>0</v>
      </c>
      <c r="D101" s="2">
        <v>100</v>
      </c>
      <c r="E101" s="2" t="s">
        <v>12</v>
      </c>
      <c r="F101" s="2">
        <v>6</v>
      </c>
      <c r="G101" s="4">
        <v>4</v>
      </c>
      <c r="H101" s="2">
        <v>223.3698</v>
      </c>
      <c r="I101" s="2">
        <v>0.2064</v>
      </c>
      <c r="J101" s="2" t="s">
        <v>19</v>
      </c>
      <c r="K101" s="2">
        <v>1113.0999999999999</v>
      </c>
      <c r="L101" s="2">
        <v>2</v>
      </c>
      <c r="M101" s="2" t="s">
        <v>18</v>
      </c>
      <c r="N101" s="10"/>
    </row>
    <row r="102" spans="1:14" x14ac:dyDescent="0.2">
      <c r="A102" s="9" t="s">
        <v>30</v>
      </c>
      <c r="B102" s="3">
        <v>45588</v>
      </c>
      <c r="C102" s="2">
        <v>0</v>
      </c>
      <c r="D102" s="2">
        <v>101</v>
      </c>
      <c r="E102" s="2" t="s">
        <v>12</v>
      </c>
      <c r="F102" s="2">
        <v>7</v>
      </c>
      <c r="G102" s="4">
        <v>3</v>
      </c>
      <c r="H102" s="2">
        <v>397.214</v>
      </c>
      <c r="I102" s="2">
        <v>0.36709999999999998</v>
      </c>
      <c r="J102" s="2"/>
      <c r="K102" s="2">
        <v>1074.5999999999999</v>
      </c>
      <c r="L102" s="2">
        <v>2</v>
      </c>
      <c r="M102" s="2" t="s">
        <v>18</v>
      </c>
      <c r="N102" s="10"/>
    </row>
    <row r="103" spans="1:14" x14ac:dyDescent="0.2">
      <c r="A103" s="9" t="s">
        <v>30</v>
      </c>
      <c r="B103" s="3">
        <v>45588</v>
      </c>
      <c r="C103" s="2">
        <v>0</v>
      </c>
      <c r="D103" s="2">
        <v>102</v>
      </c>
      <c r="E103" s="2" t="s">
        <v>12</v>
      </c>
      <c r="F103" s="2">
        <v>7</v>
      </c>
      <c r="G103" s="4">
        <v>4</v>
      </c>
      <c r="H103" s="2">
        <v>397.214</v>
      </c>
      <c r="I103" s="2">
        <v>0.36709999999999998</v>
      </c>
      <c r="J103" s="2" t="s">
        <v>24</v>
      </c>
      <c r="K103" s="2">
        <v>1053.8</v>
      </c>
      <c r="L103" s="2">
        <v>2</v>
      </c>
      <c r="M103" s="2" t="s">
        <v>18</v>
      </c>
      <c r="N103" s="10"/>
    </row>
    <row r="104" spans="1:14" x14ac:dyDescent="0.2">
      <c r="A104" s="9" t="s">
        <v>30</v>
      </c>
      <c r="B104" s="3">
        <v>45588</v>
      </c>
      <c r="C104" s="2">
        <v>0</v>
      </c>
      <c r="D104" s="2">
        <v>103</v>
      </c>
      <c r="E104" s="2" t="s">
        <v>13</v>
      </c>
      <c r="F104" s="2">
        <v>1</v>
      </c>
      <c r="G104" s="4">
        <v>3</v>
      </c>
      <c r="H104" s="2">
        <v>0.47089999999999999</v>
      </c>
      <c r="I104" s="2">
        <v>1.2999999999999999E-3</v>
      </c>
      <c r="J104" s="2" t="s">
        <v>19</v>
      </c>
      <c r="K104" s="2">
        <v>1113.2</v>
      </c>
      <c r="L104" s="2">
        <v>2</v>
      </c>
      <c r="M104" s="2" t="s">
        <v>18</v>
      </c>
      <c r="N104" s="10"/>
    </row>
    <row r="105" spans="1:14" x14ac:dyDescent="0.2">
      <c r="A105" s="9" t="s">
        <v>30</v>
      </c>
      <c r="B105" s="3">
        <v>45588</v>
      </c>
      <c r="C105" s="2">
        <v>0</v>
      </c>
      <c r="D105" s="2">
        <v>104</v>
      </c>
      <c r="E105" s="2" t="s">
        <v>13</v>
      </c>
      <c r="F105" s="2">
        <v>1</v>
      </c>
      <c r="G105" s="4">
        <v>4</v>
      </c>
      <c r="H105" s="2">
        <v>0.47089999999999999</v>
      </c>
      <c r="I105" s="2">
        <v>1.2999999999999999E-3</v>
      </c>
      <c r="J105" s="2" t="s">
        <v>21</v>
      </c>
      <c r="K105" s="2">
        <v>955.9</v>
      </c>
      <c r="L105" s="2">
        <v>2</v>
      </c>
      <c r="M105" s="2" t="s">
        <v>18</v>
      </c>
      <c r="N105" s="10"/>
    </row>
    <row r="106" spans="1:14" x14ac:dyDescent="0.2">
      <c r="A106" s="9" t="s">
        <v>30</v>
      </c>
      <c r="B106" s="3">
        <v>45588</v>
      </c>
      <c r="C106" s="2">
        <v>0</v>
      </c>
      <c r="D106" s="2">
        <v>105</v>
      </c>
      <c r="E106" s="2" t="s">
        <v>13</v>
      </c>
      <c r="F106" s="2">
        <v>2</v>
      </c>
      <c r="G106" s="4">
        <v>3</v>
      </c>
      <c r="H106" s="2">
        <v>4.7089999999999996</v>
      </c>
      <c r="I106" s="2">
        <v>1.3100000000000001E-2</v>
      </c>
      <c r="J106" s="2" t="s">
        <v>21</v>
      </c>
      <c r="K106" s="2">
        <v>931.7</v>
      </c>
      <c r="L106" s="2">
        <v>2</v>
      </c>
      <c r="M106" s="2" t="s">
        <v>18</v>
      </c>
      <c r="N106" s="10"/>
    </row>
    <row r="107" spans="1:14" x14ac:dyDescent="0.2">
      <c r="A107" s="9" t="s">
        <v>30</v>
      </c>
      <c r="B107" s="3">
        <v>45588</v>
      </c>
      <c r="C107" s="2">
        <v>0</v>
      </c>
      <c r="D107" s="2">
        <v>106</v>
      </c>
      <c r="E107" s="2" t="s">
        <v>13</v>
      </c>
      <c r="F107" s="2">
        <v>2</v>
      </c>
      <c r="G107" s="4">
        <v>4</v>
      </c>
      <c r="H107" s="2">
        <v>4.7089999999999996</v>
      </c>
      <c r="I107" s="2">
        <v>1.3100000000000001E-2</v>
      </c>
      <c r="J107" s="2" t="s">
        <v>22</v>
      </c>
      <c r="K107" s="2">
        <v>967.4</v>
      </c>
      <c r="L107" s="2">
        <v>2</v>
      </c>
      <c r="M107" s="2" t="s">
        <v>18</v>
      </c>
      <c r="N107" s="10"/>
    </row>
    <row r="108" spans="1:14" x14ac:dyDescent="0.2">
      <c r="A108" s="9" t="s">
        <v>30</v>
      </c>
      <c r="B108" s="3">
        <v>45588</v>
      </c>
      <c r="C108" s="2">
        <v>0</v>
      </c>
      <c r="D108" s="2">
        <v>107</v>
      </c>
      <c r="E108" s="2" t="s">
        <v>13</v>
      </c>
      <c r="F108" s="2">
        <v>3</v>
      </c>
      <c r="G108" s="4">
        <v>3</v>
      </c>
      <c r="H108" s="2">
        <v>26.480899999999998</v>
      </c>
      <c r="I108" s="2">
        <v>7.3400000000000007E-2</v>
      </c>
      <c r="J108" s="2" t="s">
        <v>22</v>
      </c>
      <c r="K108" s="2">
        <v>1002.3</v>
      </c>
      <c r="L108" s="2">
        <v>2</v>
      </c>
      <c r="M108" s="2" t="s">
        <v>18</v>
      </c>
      <c r="N108" s="10"/>
    </row>
    <row r="109" spans="1:14" x14ac:dyDescent="0.2">
      <c r="A109" s="9" t="s">
        <v>30</v>
      </c>
      <c r="B109" s="3">
        <v>45588</v>
      </c>
      <c r="C109" s="2">
        <v>0</v>
      </c>
      <c r="D109" s="2">
        <v>108</v>
      </c>
      <c r="E109" s="2" t="s">
        <v>13</v>
      </c>
      <c r="F109" s="2">
        <v>3</v>
      </c>
      <c r="G109" s="4">
        <v>4</v>
      </c>
      <c r="H109" s="2">
        <v>26.480899999999998</v>
      </c>
      <c r="I109" s="2">
        <v>7.3400000000000007E-2</v>
      </c>
      <c r="J109" s="2" t="s">
        <v>24</v>
      </c>
      <c r="K109" s="2">
        <v>1000.8</v>
      </c>
      <c r="L109" s="2">
        <v>2</v>
      </c>
      <c r="M109" s="2" t="s">
        <v>18</v>
      </c>
      <c r="N109" s="10"/>
    </row>
    <row r="110" spans="1:14" x14ac:dyDescent="0.2">
      <c r="A110" s="9" t="s">
        <v>30</v>
      </c>
      <c r="B110" s="3">
        <v>45588</v>
      </c>
      <c r="C110" s="2">
        <v>0</v>
      </c>
      <c r="D110" s="2">
        <v>109</v>
      </c>
      <c r="E110" s="2" t="s">
        <v>13</v>
      </c>
      <c r="F110" s="2">
        <v>4</v>
      </c>
      <c r="G110" s="4">
        <v>3</v>
      </c>
      <c r="H110" s="2">
        <v>47.090499999999999</v>
      </c>
      <c r="I110" s="2">
        <v>0.1305</v>
      </c>
      <c r="J110" s="2" t="s">
        <v>24</v>
      </c>
      <c r="K110" s="2">
        <v>1099.3</v>
      </c>
      <c r="L110" s="2">
        <v>2</v>
      </c>
      <c r="M110" s="2" t="s">
        <v>18</v>
      </c>
      <c r="N110" s="10"/>
    </row>
    <row r="111" spans="1:14" x14ac:dyDescent="0.2">
      <c r="A111" s="9" t="s">
        <v>30</v>
      </c>
      <c r="B111" s="3">
        <v>45588</v>
      </c>
      <c r="C111" s="2">
        <v>0</v>
      </c>
      <c r="D111" s="2">
        <v>110</v>
      </c>
      <c r="E111" s="2" t="s">
        <v>13</v>
      </c>
      <c r="F111" s="2">
        <v>4</v>
      </c>
      <c r="G111" s="4">
        <v>4</v>
      </c>
      <c r="H111" s="2">
        <v>47.090499999999999</v>
      </c>
      <c r="I111" s="2">
        <v>0.1305</v>
      </c>
      <c r="J111" s="2" t="s">
        <v>19</v>
      </c>
      <c r="K111" s="2">
        <v>952.8</v>
      </c>
      <c r="L111" s="2">
        <v>2</v>
      </c>
      <c r="M111" s="2" t="s">
        <v>18</v>
      </c>
      <c r="N111" s="10"/>
    </row>
    <row r="112" spans="1:14" x14ac:dyDescent="0.2">
      <c r="A112" s="9" t="s">
        <v>30</v>
      </c>
      <c r="B112" s="3">
        <v>45588</v>
      </c>
      <c r="C112" s="2">
        <v>0</v>
      </c>
      <c r="D112" s="2">
        <v>111</v>
      </c>
      <c r="E112" s="2" t="s">
        <v>13</v>
      </c>
      <c r="F112" s="2">
        <v>5</v>
      </c>
      <c r="G112" s="4">
        <v>3</v>
      </c>
      <c r="H112" s="2">
        <v>83.740099999999998</v>
      </c>
      <c r="I112" s="2">
        <v>0.2321</v>
      </c>
      <c r="J112" s="2" t="s">
        <v>19</v>
      </c>
      <c r="K112" s="2">
        <v>966.9</v>
      </c>
      <c r="L112" s="2">
        <v>2</v>
      </c>
      <c r="M112" s="2" t="s">
        <v>18</v>
      </c>
      <c r="N112" s="10"/>
    </row>
    <row r="113" spans="1:14" x14ac:dyDescent="0.2">
      <c r="A113" s="9" t="s">
        <v>30</v>
      </c>
      <c r="B113" s="3">
        <v>45588</v>
      </c>
      <c r="C113" s="2">
        <v>0</v>
      </c>
      <c r="D113" s="2">
        <v>112</v>
      </c>
      <c r="E113" s="2" t="s">
        <v>13</v>
      </c>
      <c r="F113" s="2">
        <v>5</v>
      </c>
      <c r="G113" s="4">
        <v>4</v>
      </c>
      <c r="H113" s="2">
        <v>83.740099999999998</v>
      </c>
      <c r="I113" s="2">
        <v>0.2321</v>
      </c>
      <c r="J113" s="2" t="s">
        <v>21</v>
      </c>
      <c r="K113" s="2">
        <v>982.9</v>
      </c>
      <c r="L113" s="2">
        <v>2</v>
      </c>
      <c r="M113" s="2" t="s">
        <v>18</v>
      </c>
      <c r="N113" s="10"/>
    </row>
    <row r="114" spans="1:14" x14ac:dyDescent="0.2">
      <c r="A114" s="9" t="s">
        <v>30</v>
      </c>
      <c r="B114" s="3">
        <v>45588</v>
      </c>
      <c r="C114" s="2">
        <v>0</v>
      </c>
      <c r="D114" s="2">
        <v>113</v>
      </c>
      <c r="E114" s="2" t="s">
        <v>13</v>
      </c>
      <c r="F114" s="2">
        <v>6</v>
      </c>
      <c r="G114" s="4">
        <v>3</v>
      </c>
      <c r="H114" s="2">
        <v>148.91319999999999</v>
      </c>
      <c r="I114" s="2">
        <v>0.4128</v>
      </c>
      <c r="J114" s="2" t="s">
        <v>21</v>
      </c>
      <c r="K114" s="2">
        <v>1171.2</v>
      </c>
      <c r="L114" s="2">
        <v>2</v>
      </c>
      <c r="M114" s="2" t="s">
        <v>18</v>
      </c>
      <c r="N114" s="10"/>
    </row>
    <row r="115" spans="1:14" x14ac:dyDescent="0.2">
      <c r="A115" s="9" t="s">
        <v>30</v>
      </c>
      <c r="B115" s="3">
        <v>45588</v>
      </c>
      <c r="C115" s="2">
        <v>0</v>
      </c>
      <c r="D115" s="2">
        <v>114</v>
      </c>
      <c r="E115" s="2" t="s">
        <v>13</v>
      </c>
      <c r="F115" s="2">
        <v>6</v>
      </c>
      <c r="G115" s="4">
        <v>4</v>
      </c>
      <c r="H115" s="2">
        <v>148.91319999999999</v>
      </c>
      <c r="I115" s="2">
        <v>0.4128</v>
      </c>
      <c r="J115" s="2" t="s">
        <v>24</v>
      </c>
      <c r="K115" s="2">
        <v>1024.2</v>
      </c>
      <c r="L115" s="2">
        <v>2</v>
      </c>
      <c r="M115" s="2" t="s">
        <v>18</v>
      </c>
      <c r="N115" s="10"/>
    </row>
    <row r="116" spans="1:14" x14ac:dyDescent="0.2">
      <c r="A116" s="9" t="s">
        <v>30</v>
      </c>
      <c r="B116" s="3">
        <v>45588</v>
      </c>
      <c r="C116" s="2">
        <v>0</v>
      </c>
      <c r="D116" s="2">
        <v>115</v>
      </c>
      <c r="E116" s="2" t="s">
        <v>13</v>
      </c>
      <c r="F116" s="2">
        <v>7</v>
      </c>
      <c r="G116" s="4">
        <v>3</v>
      </c>
      <c r="H116" s="2">
        <v>264.80930000000001</v>
      </c>
      <c r="I116" s="2">
        <v>0.73409999999999997</v>
      </c>
      <c r="J116" s="2" t="s">
        <v>24</v>
      </c>
      <c r="K116" s="2">
        <v>941.1</v>
      </c>
      <c r="L116" s="2">
        <v>2</v>
      </c>
      <c r="M116" s="2" t="s">
        <v>18</v>
      </c>
      <c r="N116" s="10"/>
    </row>
    <row r="117" spans="1:14" x14ac:dyDescent="0.2">
      <c r="A117" s="9" t="s">
        <v>30</v>
      </c>
      <c r="B117" s="3">
        <v>45588</v>
      </c>
      <c r="C117" s="2">
        <v>0</v>
      </c>
      <c r="D117" s="2">
        <v>116</v>
      </c>
      <c r="E117" s="2" t="s">
        <v>13</v>
      </c>
      <c r="F117" s="2">
        <v>7</v>
      </c>
      <c r="G117" s="4">
        <v>4</v>
      </c>
      <c r="H117" s="2">
        <v>264.80930000000001</v>
      </c>
      <c r="I117" s="2">
        <v>0.73409999999999997</v>
      </c>
      <c r="J117" s="2" t="s">
        <v>19</v>
      </c>
      <c r="K117" s="2">
        <v>968.8</v>
      </c>
      <c r="L117" s="2">
        <v>2</v>
      </c>
      <c r="M117" s="2" t="s">
        <v>18</v>
      </c>
      <c r="N117" s="10"/>
    </row>
    <row r="118" spans="1:14" x14ac:dyDescent="0.2">
      <c r="A118" s="9" t="s">
        <v>30</v>
      </c>
      <c r="B118" s="3">
        <v>45588</v>
      </c>
      <c r="C118" s="2">
        <v>0</v>
      </c>
      <c r="D118" s="2">
        <v>117</v>
      </c>
      <c r="E118" s="2" t="s">
        <v>14</v>
      </c>
      <c r="F118" s="2">
        <v>1</v>
      </c>
      <c r="G118" s="4">
        <v>3</v>
      </c>
      <c r="H118" s="2">
        <v>0.23549999999999999</v>
      </c>
      <c r="I118" s="2">
        <v>2E-3</v>
      </c>
      <c r="J118" s="2" t="s">
        <v>19</v>
      </c>
      <c r="K118" s="2">
        <v>958.2</v>
      </c>
      <c r="L118" s="2">
        <v>2</v>
      </c>
      <c r="M118" s="2" t="s">
        <v>18</v>
      </c>
      <c r="N118" s="10"/>
    </row>
    <row r="119" spans="1:14" x14ac:dyDescent="0.2">
      <c r="A119" s="9" t="s">
        <v>30</v>
      </c>
      <c r="B119" s="3">
        <v>45588</v>
      </c>
      <c r="C119" s="2">
        <v>0</v>
      </c>
      <c r="D119" s="2">
        <v>118</v>
      </c>
      <c r="E119" s="2" t="s">
        <v>14</v>
      </c>
      <c r="F119" s="2">
        <v>1</v>
      </c>
      <c r="G119" s="4">
        <v>4</v>
      </c>
      <c r="H119" s="2">
        <v>0.23549999999999999</v>
      </c>
      <c r="I119" s="2">
        <v>2E-3</v>
      </c>
      <c r="J119" s="2" t="s">
        <v>21</v>
      </c>
      <c r="K119" s="2">
        <v>1148.9000000000001</v>
      </c>
      <c r="L119" s="2">
        <v>2</v>
      </c>
      <c r="M119" s="2" t="s">
        <v>18</v>
      </c>
      <c r="N119" s="10"/>
    </row>
    <row r="120" spans="1:14" x14ac:dyDescent="0.2">
      <c r="A120" s="9" t="s">
        <v>30</v>
      </c>
      <c r="B120" s="3">
        <v>45588</v>
      </c>
      <c r="C120" s="2">
        <v>0</v>
      </c>
      <c r="D120" s="2">
        <v>119</v>
      </c>
      <c r="E120" s="2" t="s">
        <v>14</v>
      </c>
      <c r="F120" s="2">
        <v>2</v>
      </c>
      <c r="G120" s="4">
        <v>3</v>
      </c>
      <c r="H120" s="2">
        <v>2.3544999999999998</v>
      </c>
      <c r="I120" s="2">
        <v>1.9599999999999999E-2</v>
      </c>
      <c r="J120" s="2" t="s">
        <v>21</v>
      </c>
      <c r="K120" s="2">
        <v>1054</v>
      </c>
      <c r="L120" s="2">
        <v>2</v>
      </c>
      <c r="M120" s="2" t="s">
        <v>18</v>
      </c>
      <c r="N120" s="10"/>
    </row>
    <row r="121" spans="1:14" x14ac:dyDescent="0.2">
      <c r="A121" s="9" t="s">
        <v>30</v>
      </c>
      <c r="B121" s="3">
        <v>45588</v>
      </c>
      <c r="C121" s="2">
        <v>0</v>
      </c>
      <c r="D121" s="2">
        <v>120</v>
      </c>
      <c r="E121" s="2" t="s">
        <v>14</v>
      </c>
      <c r="F121" s="2">
        <v>2</v>
      </c>
      <c r="G121" s="4">
        <v>4</v>
      </c>
      <c r="H121" s="2">
        <v>2.3544999999999998</v>
      </c>
      <c r="I121" s="2">
        <v>1.9599999999999999E-2</v>
      </c>
      <c r="J121" s="2" t="s">
        <v>22</v>
      </c>
      <c r="K121" s="2">
        <v>1018</v>
      </c>
      <c r="L121" s="2">
        <v>2</v>
      </c>
      <c r="M121" s="2" t="s">
        <v>18</v>
      </c>
      <c r="N121" s="10"/>
    </row>
    <row r="122" spans="1:14" x14ac:dyDescent="0.2">
      <c r="A122" s="9" t="s">
        <v>30</v>
      </c>
      <c r="B122" s="3">
        <v>45588</v>
      </c>
      <c r="C122" s="2">
        <v>0</v>
      </c>
      <c r="D122" s="2">
        <v>121</v>
      </c>
      <c r="E122" s="2" t="s">
        <v>14</v>
      </c>
      <c r="F122" s="2">
        <v>3</v>
      </c>
      <c r="G122" s="4">
        <v>3</v>
      </c>
      <c r="H122" s="2">
        <v>13.240500000000001</v>
      </c>
      <c r="I122" s="2">
        <v>0.1101</v>
      </c>
      <c r="J122" s="2" t="s">
        <v>22</v>
      </c>
      <c r="K122" s="2">
        <v>1198.0999999999999</v>
      </c>
      <c r="L122" s="2">
        <v>2</v>
      </c>
      <c r="M122" s="2" t="s">
        <v>18</v>
      </c>
      <c r="N122" s="10"/>
    </row>
    <row r="123" spans="1:14" x14ac:dyDescent="0.2">
      <c r="A123" s="9" t="s">
        <v>30</v>
      </c>
      <c r="B123" s="3">
        <v>45588</v>
      </c>
      <c r="C123" s="2">
        <v>0</v>
      </c>
      <c r="D123" s="2">
        <v>122</v>
      </c>
      <c r="E123" s="2" t="s">
        <v>14</v>
      </c>
      <c r="F123" s="2">
        <v>3</v>
      </c>
      <c r="G123" s="4">
        <v>4</v>
      </c>
      <c r="H123" s="2">
        <v>13.240500000000001</v>
      </c>
      <c r="I123" s="2">
        <v>0.1101</v>
      </c>
      <c r="J123" s="2" t="s">
        <v>19</v>
      </c>
      <c r="K123" s="2">
        <v>1013.8</v>
      </c>
      <c r="L123" s="2">
        <v>2</v>
      </c>
      <c r="M123" s="2" t="s">
        <v>18</v>
      </c>
      <c r="N123" s="10"/>
    </row>
    <row r="124" spans="1:14" x14ac:dyDescent="0.2">
      <c r="A124" s="9" t="s">
        <v>30</v>
      </c>
      <c r="B124" s="3">
        <v>45588</v>
      </c>
      <c r="C124" s="2">
        <v>0</v>
      </c>
      <c r="D124" s="2">
        <v>123</v>
      </c>
      <c r="E124" s="2" t="s">
        <v>14</v>
      </c>
      <c r="F124" s="2">
        <v>4</v>
      </c>
      <c r="G124" s="4">
        <v>3</v>
      </c>
      <c r="H124" s="2">
        <v>23.545200000000001</v>
      </c>
      <c r="I124" s="2">
        <v>0.1958</v>
      </c>
      <c r="J124" s="2" t="s">
        <v>19</v>
      </c>
      <c r="K124" s="2">
        <v>1168.2</v>
      </c>
      <c r="L124" s="2">
        <v>2</v>
      </c>
      <c r="M124" s="2" t="s">
        <v>18</v>
      </c>
      <c r="N124" s="10"/>
    </row>
    <row r="125" spans="1:14" x14ac:dyDescent="0.2">
      <c r="A125" s="9" t="s">
        <v>30</v>
      </c>
      <c r="B125" s="3">
        <v>45588</v>
      </c>
      <c r="C125" s="2">
        <v>0</v>
      </c>
      <c r="D125" s="2">
        <v>124</v>
      </c>
      <c r="E125" s="2" t="s">
        <v>14</v>
      </c>
      <c r="F125" s="2">
        <v>4</v>
      </c>
      <c r="G125" s="4">
        <v>4</v>
      </c>
      <c r="H125" s="2">
        <v>23.545200000000001</v>
      </c>
      <c r="I125" s="2">
        <v>0.1958</v>
      </c>
      <c r="J125" s="2" t="s">
        <v>23</v>
      </c>
      <c r="K125" s="2">
        <v>1022.5</v>
      </c>
      <c r="L125" s="2">
        <v>2</v>
      </c>
      <c r="M125" s="2" t="s">
        <v>18</v>
      </c>
      <c r="N125" s="10"/>
    </row>
    <row r="126" spans="1:14" x14ac:dyDescent="0.2">
      <c r="A126" s="9" t="s">
        <v>30</v>
      </c>
      <c r="B126" s="3">
        <v>45588</v>
      </c>
      <c r="C126" s="2">
        <v>0</v>
      </c>
      <c r="D126" s="2">
        <v>125</v>
      </c>
      <c r="E126" s="2" t="s">
        <v>14</v>
      </c>
      <c r="F126" s="2">
        <v>5</v>
      </c>
      <c r="G126" s="4">
        <v>3</v>
      </c>
      <c r="H126" s="2">
        <v>41.87</v>
      </c>
      <c r="I126" s="2">
        <v>0.34820000000000001</v>
      </c>
      <c r="J126" s="2" t="s">
        <v>20</v>
      </c>
      <c r="K126" s="2">
        <v>1054.5</v>
      </c>
      <c r="L126" s="2">
        <v>2</v>
      </c>
      <c r="M126" s="2" t="s">
        <v>18</v>
      </c>
      <c r="N126" s="10"/>
    </row>
    <row r="127" spans="1:14" x14ac:dyDescent="0.2">
      <c r="A127" s="9" t="s">
        <v>30</v>
      </c>
      <c r="B127" s="3">
        <v>45588</v>
      </c>
      <c r="C127" s="2">
        <v>0</v>
      </c>
      <c r="D127" s="2">
        <v>126</v>
      </c>
      <c r="E127" s="2" t="s">
        <v>14</v>
      </c>
      <c r="F127" s="2">
        <v>5</v>
      </c>
      <c r="G127" s="4">
        <v>4</v>
      </c>
      <c r="H127" s="2">
        <v>41.87</v>
      </c>
      <c r="I127" s="2">
        <v>0.34820000000000001</v>
      </c>
      <c r="J127" s="2" t="s">
        <v>24</v>
      </c>
      <c r="K127" s="2">
        <v>1163.9000000000001</v>
      </c>
      <c r="L127" s="2">
        <v>2</v>
      </c>
      <c r="M127" s="2" t="s">
        <v>18</v>
      </c>
      <c r="N127" s="10"/>
    </row>
    <row r="128" spans="1:14" x14ac:dyDescent="0.2">
      <c r="A128" s="9" t="s">
        <v>30</v>
      </c>
      <c r="B128" s="3">
        <v>45588</v>
      </c>
      <c r="C128" s="2">
        <v>0</v>
      </c>
      <c r="D128" s="2">
        <v>127</v>
      </c>
      <c r="E128" s="2" t="s">
        <v>14</v>
      </c>
      <c r="F128" s="2">
        <v>6</v>
      </c>
      <c r="G128" s="4">
        <v>3</v>
      </c>
      <c r="H128" s="2">
        <v>74.456599999999995</v>
      </c>
      <c r="I128" s="2">
        <v>0.61919999999999997</v>
      </c>
      <c r="J128" s="2" t="s">
        <v>24</v>
      </c>
      <c r="K128" s="2">
        <v>1136.5999999999999</v>
      </c>
      <c r="L128" s="2">
        <v>2</v>
      </c>
      <c r="M128" s="2" t="s">
        <v>18</v>
      </c>
      <c r="N128" s="10"/>
    </row>
    <row r="129" spans="1:14" x14ac:dyDescent="0.2">
      <c r="A129" s="9" t="s">
        <v>30</v>
      </c>
      <c r="B129" s="3">
        <v>45588</v>
      </c>
      <c r="C129" s="2">
        <v>0</v>
      </c>
      <c r="D129" s="2">
        <v>128</v>
      </c>
      <c r="E129" s="2" t="s">
        <v>14</v>
      </c>
      <c r="F129" s="2">
        <v>6</v>
      </c>
      <c r="G129" s="4">
        <v>4</v>
      </c>
      <c r="H129" s="2">
        <v>74.456599999999995</v>
      </c>
      <c r="I129" s="2">
        <v>0.61919999999999997</v>
      </c>
      <c r="J129" s="2" t="s">
        <v>22</v>
      </c>
      <c r="K129" s="2">
        <v>983.7</v>
      </c>
      <c r="L129" s="2">
        <v>2</v>
      </c>
      <c r="M129" s="2" t="s">
        <v>18</v>
      </c>
      <c r="N129" s="10"/>
    </row>
    <row r="130" spans="1:14" x14ac:dyDescent="0.2">
      <c r="A130" s="9" t="s">
        <v>30</v>
      </c>
      <c r="B130" s="3">
        <v>45588</v>
      </c>
      <c r="C130" s="2">
        <v>0</v>
      </c>
      <c r="D130" s="2">
        <v>129</v>
      </c>
      <c r="E130" s="2" t="s">
        <v>14</v>
      </c>
      <c r="F130" s="2">
        <v>7</v>
      </c>
      <c r="G130" s="4">
        <v>3</v>
      </c>
      <c r="H130" s="2">
        <v>132.40469999999999</v>
      </c>
      <c r="I130" s="2">
        <v>1.1012</v>
      </c>
      <c r="J130" s="2" t="s">
        <v>22</v>
      </c>
      <c r="K130" s="2">
        <v>1135.3</v>
      </c>
      <c r="L130" s="2">
        <v>2</v>
      </c>
      <c r="M130" s="2" t="s">
        <v>18</v>
      </c>
      <c r="N130" s="10"/>
    </row>
    <row r="131" spans="1:14" x14ac:dyDescent="0.2">
      <c r="A131" s="9" t="s">
        <v>30</v>
      </c>
      <c r="B131" s="3">
        <v>45588</v>
      </c>
      <c r="C131" s="2">
        <v>0</v>
      </c>
      <c r="D131" s="2">
        <v>130</v>
      </c>
      <c r="E131" s="2" t="s">
        <v>14</v>
      </c>
      <c r="F131" s="2">
        <v>7</v>
      </c>
      <c r="G131" s="4">
        <v>4</v>
      </c>
      <c r="H131" s="2">
        <v>132.40469999999999</v>
      </c>
      <c r="I131" s="2">
        <v>1.1012</v>
      </c>
      <c r="J131" s="2" t="s">
        <v>24</v>
      </c>
      <c r="K131" s="2">
        <v>1010.1</v>
      </c>
      <c r="L131" s="2">
        <v>2</v>
      </c>
      <c r="M131" s="2" t="s">
        <v>18</v>
      </c>
      <c r="N131" s="10"/>
    </row>
    <row r="132" spans="1:14" x14ac:dyDescent="0.2">
      <c r="A132" s="9" t="s">
        <v>30</v>
      </c>
      <c r="B132" s="3">
        <v>45588</v>
      </c>
      <c r="C132" s="2">
        <v>0</v>
      </c>
      <c r="D132" s="2">
        <v>131</v>
      </c>
      <c r="E132" s="4" t="s">
        <v>15</v>
      </c>
      <c r="F132" s="4">
        <v>1</v>
      </c>
      <c r="G132" s="4">
        <v>3</v>
      </c>
      <c r="H132" s="2">
        <v>0</v>
      </c>
      <c r="I132" s="2">
        <v>2.5999999999999999E-3</v>
      </c>
      <c r="J132" s="2" t="s">
        <v>19</v>
      </c>
      <c r="K132" s="2">
        <v>1189.5999999999999</v>
      </c>
      <c r="L132" s="2">
        <v>2</v>
      </c>
      <c r="M132" s="2" t="s">
        <v>18</v>
      </c>
      <c r="N132" s="10"/>
    </row>
    <row r="133" spans="1:14" x14ac:dyDescent="0.2">
      <c r="A133" s="9" t="s">
        <v>30</v>
      </c>
      <c r="B133" s="3">
        <v>45588</v>
      </c>
      <c r="C133" s="2">
        <v>0</v>
      </c>
      <c r="D133" s="2">
        <v>132</v>
      </c>
      <c r="E133" s="4" t="s">
        <v>15</v>
      </c>
      <c r="F133" s="4">
        <v>1</v>
      </c>
      <c r="G133" s="4">
        <v>4</v>
      </c>
      <c r="H133" s="2">
        <v>0</v>
      </c>
      <c r="I133" s="2">
        <v>2.5999999999999999E-3</v>
      </c>
      <c r="J133" s="2" t="s">
        <v>21</v>
      </c>
      <c r="K133" s="2">
        <v>955.6</v>
      </c>
      <c r="L133" s="2">
        <v>2</v>
      </c>
      <c r="M133" s="2" t="s">
        <v>18</v>
      </c>
      <c r="N133" s="10"/>
    </row>
    <row r="134" spans="1:14" x14ac:dyDescent="0.2">
      <c r="A134" s="9" t="s">
        <v>30</v>
      </c>
      <c r="B134" s="3">
        <v>45588</v>
      </c>
      <c r="C134" s="2">
        <v>0</v>
      </c>
      <c r="D134" s="2">
        <v>133</v>
      </c>
      <c r="E134" s="4" t="s">
        <v>15</v>
      </c>
      <c r="F134" s="4">
        <v>2</v>
      </c>
      <c r="G134" s="4">
        <v>3</v>
      </c>
      <c r="H134" s="2">
        <v>0</v>
      </c>
      <c r="I134" s="2">
        <v>2.6100000000000002E-2</v>
      </c>
      <c r="J134" s="2" t="s">
        <v>21</v>
      </c>
      <c r="K134" s="2">
        <v>990</v>
      </c>
      <c r="L134" s="2">
        <v>2</v>
      </c>
      <c r="M134" s="2" t="s">
        <v>18</v>
      </c>
      <c r="N134" s="10"/>
    </row>
    <row r="135" spans="1:14" x14ac:dyDescent="0.2">
      <c r="A135" s="9" t="s">
        <v>30</v>
      </c>
      <c r="B135" s="3">
        <v>45588</v>
      </c>
      <c r="C135" s="2">
        <v>0</v>
      </c>
      <c r="D135" s="2">
        <v>134</v>
      </c>
      <c r="E135" s="4" t="s">
        <v>15</v>
      </c>
      <c r="F135" s="4">
        <v>2</v>
      </c>
      <c r="G135" s="4">
        <v>4</v>
      </c>
      <c r="H135" s="2">
        <v>0</v>
      </c>
      <c r="I135" s="2">
        <v>2.6100000000000002E-2</v>
      </c>
      <c r="J135" s="2" t="s">
        <v>19</v>
      </c>
      <c r="K135" s="2">
        <v>994.8</v>
      </c>
      <c r="L135" s="2">
        <v>2</v>
      </c>
      <c r="M135" s="2" t="s">
        <v>18</v>
      </c>
      <c r="N135" s="10"/>
    </row>
    <row r="136" spans="1:14" x14ac:dyDescent="0.2">
      <c r="A136" s="9" t="s">
        <v>30</v>
      </c>
      <c r="B136" s="3">
        <v>45588</v>
      </c>
      <c r="C136" s="2">
        <v>0</v>
      </c>
      <c r="D136" s="2">
        <v>135</v>
      </c>
      <c r="E136" s="4" t="s">
        <v>15</v>
      </c>
      <c r="F136" s="4">
        <v>3</v>
      </c>
      <c r="G136" s="4">
        <v>3</v>
      </c>
      <c r="H136" s="2">
        <v>0</v>
      </c>
      <c r="I136" s="2">
        <v>0.14680000000000001</v>
      </c>
      <c r="J136" s="2" t="s">
        <v>20</v>
      </c>
      <c r="K136" s="2">
        <v>926.8</v>
      </c>
      <c r="L136" s="2">
        <v>2</v>
      </c>
      <c r="M136" s="2" t="s">
        <v>18</v>
      </c>
      <c r="N136" s="10"/>
    </row>
    <row r="137" spans="1:14" x14ac:dyDescent="0.2">
      <c r="A137" s="9" t="s">
        <v>30</v>
      </c>
      <c r="B137" s="3">
        <v>45588</v>
      </c>
      <c r="C137" s="2">
        <v>0</v>
      </c>
      <c r="D137" s="2">
        <v>136</v>
      </c>
      <c r="E137" s="4" t="s">
        <v>15</v>
      </c>
      <c r="F137" s="4">
        <v>3</v>
      </c>
      <c r="G137" s="4">
        <v>4</v>
      </c>
      <c r="H137" s="2">
        <v>0</v>
      </c>
      <c r="I137" s="2">
        <v>0.14680000000000001</v>
      </c>
      <c r="J137" s="2" t="s">
        <v>24</v>
      </c>
      <c r="K137" s="2">
        <v>989.3</v>
      </c>
      <c r="L137" s="2">
        <v>2</v>
      </c>
      <c r="M137" s="2" t="s">
        <v>18</v>
      </c>
      <c r="N137" s="10"/>
    </row>
    <row r="138" spans="1:14" x14ac:dyDescent="0.2">
      <c r="A138" s="9" t="s">
        <v>30</v>
      </c>
      <c r="B138" s="3">
        <v>45588</v>
      </c>
      <c r="C138" s="2">
        <v>0</v>
      </c>
      <c r="D138" s="2">
        <v>137</v>
      </c>
      <c r="E138" s="4" t="s">
        <v>15</v>
      </c>
      <c r="F138" s="4">
        <v>4</v>
      </c>
      <c r="G138" s="4">
        <v>3</v>
      </c>
      <c r="H138" s="2">
        <v>0</v>
      </c>
      <c r="I138" s="2">
        <v>0.2611</v>
      </c>
      <c r="J138" s="2" t="s">
        <v>24</v>
      </c>
      <c r="K138" s="2">
        <v>1163.5999999999999</v>
      </c>
      <c r="L138" s="2">
        <v>2</v>
      </c>
      <c r="M138" s="2" t="s">
        <v>18</v>
      </c>
      <c r="N138" s="10"/>
    </row>
    <row r="139" spans="1:14" x14ac:dyDescent="0.2">
      <c r="A139" s="9" t="s">
        <v>30</v>
      </c>
      <c r="B139" s="3">
        <v>45588</v>
      </c>
      <c r="C139" s="2">
        <v>0</v>
      </c>
      <c r="D139" s="2">
        <v>138</v>
      </c>
      <c r="E139" s="4" t="s">
        <v>15</v>
      </c>
      <c r="F139" s="4">
        <v>4</v>
      </c>
      <c r="G139" s="4">
        <v>4</v>
      </c>
      <c r="H139" s="2">
        <v>0</v>
      </c>
      <c r="I139" s="2">
        <v>0.2611</v>
      </c>
      <c r="J139" s="2" t="s">
        <v>20</v>
      </c>
      <c r="K139" s="2">
        <v>1147.2</v>
      </c>
      <c r="L139" s="2">
        <v>2</v>
      </c>
      <c r="M139" s="2" t="s">
        <v>18</v>
      </c>
      <c r="N139" s="10"/>
    </row>
    <row r="140" spans="1:14" x14ac:dyDescent="0.2">
      <c r="A140" s="9" t="s">
        <v>30</v>
      </c>
      <c r="B140" s="3">
        <v>45588</v>
      </c>
      <c r="C140" s="2">
        <v>0</v>
      </c>
      <c r="D140" s="2">
        <v>139</v>
      </c>
      <c r="E140" s="4" t="s">
        <v>15</v>
      </c>
      <c r="F140" s="4">
        <v>5</v>
      </c>
      <c r="G140" s="4">
        <v>3</v>
      </c>
      <c r="H140" s="2">
        <v>0</v>
      </c>
      <c r="I140" s="2">
        <v>0.46429999999999999</v>
      </c>
      <c r="J140" s="2" t="s">
        <v>21</v>
      </c>
      <c r="K140" s="2">
        <v>1001.5</v>
      </c>
      <c r="L140" s="2">
        <v>2</v>
      </c>
      <c r="M140" s="2" t="s">
        <v>18</v>
      </c>
      <c r="N140" s="10"/>
    </row>
    <row r="141" spans="1:14" x14ac:dyDescent="0.2">
      <c r="A141" s="9" t="s">
        <v>30</v>
      </c>
      <c r="B141" s="3">
        <v>45588</v>
      </c>
      <c r="C141" s="2">
        <v>0</v>
      </c>
      <c r="D141" s="2">
        <v>140</v>
      </c>
      <c r="E141" s="4" t="s">
        <v>15</v>
      </c>
      <c r="F141" s="4">
        <v>5</v>
      </c>
      <c r="G141" s="4">
        <v>4</v>
      </c>
      <c r="H141" s="2">
        <v>0</v>
      </c>
      <c r="I141" s="2">
        <v>0.46429999999999999</v>
      </c>
      <c r="J141" s="2" t="s">
        <v>19</v>
      </c>
      <c r="K141" s="2">
        <v>928.7</v>
      </c>
      <c r="L141" s="2">
        <v>2</v>
      </c>
      <c r="M141" s="2" t="s">
        <v>18</v>
      </c>
      <c r="N141" s="10"/>
    </row>
    <row r="142" spans="1:14" x14ac:dyDescent="0.2">
      <c r="A142" s="9" t="s">
        <v>30</v>
      </c>
      <c r="B142" s="3">
        <v>45588</v>
      </c>
      <c r="C142" s="2">
        <v>0</v>
      </c>
      <c r="D142" s="2">
        <v>141</v>
      </c>
      <c r="E142" s="4" t="s">
        <v>15</v>
      </c>
      <c r="F142" s="4">
        <v>6</v>
      </c>
      <c r="G142" s="4">
        <v>3</v>
      </c>
      <c r="H142" s="2">
        <v>0</v>
      </c>
      <c r="I142" s="2">
        <v>0.8256</v>
      </c>
      <c r="J142" s="2" t="s">
        <v>24</v>
      </c>
      <c r="K142" s="2">
        <v>951.2</v>
      </c>
      <c r="L142" s="2">
        <v>2</v>
      </c>
      <c r="M142" s="2" t="s">
        <v>18</v>
      </c>
      <c r="N142" s="10"/>
    </row>
    <row r="143" spans="1:14" x14ac:dyDescent="0.2">
      <c r="A143" s="9" t="s">
        <v>30</v>
      </c>
      <c r="B143" s="3">
        <v>45588</v>
      </c>
      <c r="C143" s="2">
        <v>0</v>
      </c>
      <c r="D143" s="2">
        <v>142</v>
      </c>
      <c r="E143" s="4" t="s">
        <v>15</v>
      </c>
      <c r="F143" s="4">
        <v>6</v>
      </c>
      <c r="G143" s="4">
        <v>4</v>
      </c>
      <c r="H143" s="2">
        <v>0</v>
      </c>
      <c r="I143" s="2">
        <v>0.8256</v>
      </c>
      <c r="J143" s="2" t="s">
        <v>23</v>
      </c>
      <c r="K143" s="2">
        <v>1017.1</v>
      </c>
      <c r="L143" s="2">
        <v>2</v>
      </c>
      <c r="M143" s="2" t="s">
        <v>18</v>
      </c>
      <c r="N143" s="10"/>
    </row>
    <row r="144" spans="1:14" x14ac:dyDescent="0.2">
      <c r="A144" s="9" t="s">
        <v>30</v>
      </c>
      <c r="B144" s="3">
        <v>45588</v>
      </c>
      <c r="C144" s="2">
        <v>0</v>
      </c>
      <c r="D144" s="2">
        <v>143</v>
      </c>
      <c r="E144" s="4" t="s">
        <v>15</v>
      </c>
      <c r="F144" s="4">
        <v>7</v>
      </c>
      <c r="G144" s="4">
        <v>3</v>
      </c>
      <c r="H144" s="2">
        <v>0</v>
      </c>
      <c r="I144" s="2">
        <v>1.4681999999999999</v>
      </c>
      <c r="J144" s="2" t="s">
        <v>23</v>
      </c>
      <c r="K144" s="2">
        <v>983.7</v>
      </c>
      <c r="L144" s="2">
        <v>2</v>
      </c>
      <c r="M144" s="2" t="s">
        <v>18</v>
      </c>
      <c r="N144" s="10"/>
    </row>
    <row r="145" spans="1:14" ht="17" thickBot="1" x14ac:dyDescent="0.25">
      <c r="A145" s="20" t="s">
        <v>30</v>
      </c>
      <c r="B145" s="11">
        <v>45588</v>
      </c>
      <c r="C145" s="12">
        <v>0</v>
      </c>
      <c r="D145" s="12">
        <v>144</v>
      </c>
      <c r="E145" s="13" t="s">
        <v>15</v>
      </c>
      <c r="F145" s="13">
        <v>7</v>
      </c>
      <c r="G145" s="13">
        <v>4</v>
      </c>
      <c r="H145" s="12">
        <v>0</v>
      </c>
      <c r="I145" s="12">
        <v>1.4681999999999999</v>
      </c>
      <c r="J145" s="12" t="s">
        <v>20</v>
      </c>
      <c r="K145" s="12">
        <v>925.5</v>
      </c>
      <c r="L145" s="12">
        <v>2</v>
      </c>
      <c r="M145" s="12" t="s">
        <v>18</v>
      </c>
      <c r="N145" s="14"/>
    </row>
    <row r="146" spans="1:14" x14ac:dyDescent="0.2">
      <c r="A146" s="5" t="s">
        <v>31</v>
      </c>
      <c r="B146" s="6">
        <v>45601</v>
      </c>
      <c r="C146" s="7">
        <v>0</v>
      </c>
      <c r="D146" s="7">
        <v>145</v>
      </c>
      <c r="E146" s="7" t="s">
        <v>16</v>
      </c>
      <c r="F146" s="7">
        <v>0</v>
      </c>
      <c r="G146" s="7">
        <v>5</v>
      </c>
      <c r="H146" s="7">
        <v>0</v>
      </c>
      <c r="I146" s="7">
        <v>0</v>
      </c>
      <c r="J146" s="7" t="s">
        <v>25</v>
      </c>
      <c r="K146" s="7">
        <v>787.2</v>
      </c>
      <c r="L146" s="7">
        <v>2</v>
      </c>
      <c r="M146" s="7" t="s">
        <v>18</v>
      </c>
      <c r="N146" s="8"/>
    </row>
    <row r="147" spans="1:14" x14ac:dyDescent="0.2">
      <c r="A147" s="9" t="s">
        <v>31</v>
      </c>
      <c r="B147" s="3">
        <v>45601</v>
      </c>
      <c r="C147" s="2">
        <v>0</v>
      </c>
      <c r="D147" s="2">
        <v>146</v>
      </c>
      <c r="E147" s="2" t="s">
        <v>16</v>
      </c>
      <c r="F147" s="2">
        <v>0</v>
      </c>
      <c r="G147" s="2">
        <v>6</v>
      </c>
      <c r="H147" s="2">
        <v>0</v>
      </c>
      <c r="I147" s="2">
        <v>0</v>
      </c>
      <c r="J147" s="2" t="s">
        <v>24</v>
      </c>
      <c r="K147" s="2">
        <v>1421.8</v>
      </c>
      <c r="L147" s="2">
        <v>2</v>
      </c>
      <c r="M147" s="2" t="s">
        <v>18</v>
      </c>
      <c r="N147" s="10"/>
    </row>
    <row r="148" spans="1:14" x14ac:dyDescent="0.2">
      <c r="A148" s="9" t="s">
        <v>31</v>
      </c>
      <c r="B148" s="3">
        <v>45601</v>
      </c>
      <c r="C148" s="2">
        <v>0</v>
      </c>
      <c r="D148" s="2">
        <v>147</v>
      </c>
      <c r="E148" s="2" t="s">
        <v>11</v>
      </c>
      <c r="F148" s="2">
        <v>1</v>
      </c>
      <c r="G148" s="2">
        <v>5</v>
      </c>
      <c r="H148" s="2">
        <v>0.94179999999999997</v>
      </c>
      <c r="I148" s="2">
        <v>0</v>
      </c>
      <c r="J148" s="2" t="s">
        <v>20</v>
      </c>
      <c r="K148" s="2">
        <v>1039</v>
      </c>
      <c r="L148" s="2">
        <v>2</v>
      </c>
      <c r="M148" s="2" t="s">
        <v>18</v>
      </c>
      <c r="N148" s="10"/>
    </row>
    <row r="149" spans="1:14" x14ac:dyDescent="0.2">
      <c r="A149" s="9" t="s">
        <v>31</v>
      </c>
      <c r="B149" s="3">
        <v>45601</v>
      </c>
      <c r="C149" s="2">
        <v>0</v>
      </c>
      <c r="D149" s="2">
        <v>148</v>
      </c>
      <c r="E149" s="2" t="s">
        <v>11</v>
      </c>
      <c r="F149" s="2">
        <v>1</v>
      </c>
      <c r="G149" s="2">
        <v>6</v>
      </c>
      <c r="H149" s="2">
        <v>0.94179999999999997</v>
      </c>
      <c r="I149" s="2">
        <v>0</v>
      </c>
      <c r="J149" s="2" t="s">
        <v>25</v>
      </c>
      <c r="K149" s="21">
        <v>800.2</v>
      </c>
      <c r="L149" s="2">
        <v>2</v>
      </c>
      <c r="M149" s="2" t="s">
        <v>18</v>
      </c>
      <c r="N149" s="10"/>
    </row>
    <row r="150" spans="1:14" x14ac:dyDescent="0.2">
      <c r="A150" s="9" t="s">
        <v>31</v>
      </c>
      <c r="B150" s="3">
        <v>45601</v>
      </c>
      <c r="C150" s="2">
        <v>0</v>
      </c>
      <c r="D150" s="2">
        <v>149</v>
      </c>
      <c r="E150" s="2" t="s">
        <v>11</v>
      </c>
      <c r="F150" s="2">
        <v>2</v>
      </c>
      <c r="G150" s="2">
        <v>5</v>
      </c>
      <c r="H150" s="2">
        <v>9.4181000000000008</v>
      </c>
      <c r="I150" s="2">
        <v>0</v>
      </c>
      <c r="J150" s="2" t="s">
        <v>25</v>
      </c>
      <c r="K150" s="2">
        <v>907.4</v>
      </c>
      <c r="L150" s="2">
        <v>2</v>
      </c>
      <c r="M150" s="2" t="s">
        <v>18</v>
      </c>
      <c r="N150" s="10"/>
    </row>
    <row r="151" spans="1:14" x14ac:dyDescent="0.2">
      <c r="A151" s="9" t="s">
        <v>31</v>
      </c>
      <c r="B151" s="3">
        <v>45601</v>
      </c>
      <c r="C151" s="2">
        <v>0</v>
      </c>
      <c r="D151" s="2">
        <v>150</v>
      </c>
      <c r="E151" s="2" t="s">
        <v>11</v>
      </c>
      <c r="F151" s="2">
        <v>2</v>
      </c>
      <c r="G151" s="2">
        <v>6</v>
      </c>
      <c r="H151" s="2">
        <v>9.4181000000000008</v>
      </c>
      <c r="I151" s="2">
        <v>0</v>
      </c>
      <c r="J151" s="2" t="s">
        <v>20</v>
      </c>
      <c r="K151" s="21">
        <v>1050.5</v>
      </c>
      <c r="L151" s="2">
        <v>2</v>
      </c>
      <c r="M151" s="2" t="s">
        <v>18</v>
      </c>
      <c r="N151" s="10"/>
    </row>
    <row r="152" spans="1:14" x14ac:dyDescent="0.2">
      <c r="A152" s="9" t="s">
        <v>31</v>
      </c>
      <c r="B152" s="3">
        <v>45601</v>
      </c>
      <c r="C152" s="2">
        <v>0</v>
      </c>
      <c r="D152" s="2">
        <v>151</v>
      </c>
      <c r="E152" s="2" t="s">
        <v>11</v>
      </c>
      <c r="F152" s="2">
        <v>3</v>
      </c>
      <c r="G152" s="2">
        <v>5</v>
      </c>
      <c r="H152" s="2">
        <v>52.9619</v>
      </c>
      <c r="I152" s="2">
        <v>0</v>
      </c>
      <c r="J152" s="2" t="s">
        <v>24</v>
      </c>
      <c r="K152" s="2">
        <v>1297.5999999999999</v>
      </c>
      <c r="L152" s="2">
        <v>2</v>
      </c>
      <c r="M152" s="2" t="s">
        <v>18</v>
      </c>
      <c r="N152" s="10"/>
    </row>
    <row r="153" spans="1:14" x14ac:dyDescent="0.2">
      <c r="A153" s="9" t="s">
        <v>31</v>
      </c>
      <c r="B153" s="3">
        <v>45601</v>
      </c>
      <c r="C153" s="2">
        <v>0</v>
      </c>
      <c r="D153" s="2">
        <v>152</v>
      </c>
      <c r="E153" s="2" t="s">
        <v>11</v>
      </c>
      <c r="F153" s="2">
        <v>3</v>
      </c>
      <c r="G153" s="2">
        <v>6</v>
      </c>
      <c r="H153" s="2">
        <v>52.9619</v>
      </c>
      <c r="I153" s="2">
        <v>0</v>
      </c>
      <c r="J153" s="2" t="s">
        <v>25</v>
      </c>
      <c r="K153" s="21">
        <v>690.8</v>
      </c>
      <c r="L153" s="2">
        <v>2</v>
      </c>
      <c r="M153" s="2" t="s">
        <v>18</v>
      </c>
      <c r="N153" s="10"/>
    </row>
    <row r="154" spans="1:14" x14ac:dyDescent="0.2">
      <c r="A154" s="9" t="s">
        <v>31</v>
      </c>
      <c r="B154" s="3">
        <v>45601</v>
      </c>
      <c r="C154" s="2">
        <v>0</v>
      </c>
      <c r="D154" s="2">
        <v>153</v>
      </c>
      <c r="E154" s="2" t="s">
        <v>11</v>
      </c>
      <c r="F154" s="2">
        <v>4</v>
      </c>
      <c r="G154" s="2">
        <v>5</v>
      </c>
      <c r="H154" s="2">
        <v>94.180999999999997</v>
      </c>
      <c r="I154" s="2">
        <v>0</v>
      </c>
      <c r="J154" s="2" t="s">
        <v>19</v>
      </c>
      <c r="K154" s="2">
        <v>947.2</v>
      </c>
      <c r="L154" s="2">
        <v>2</v>
      </c>
      <c r="M154" s="2" t="s">
        <v>18</v>
      </c>
      <c r="N154" s="10"/>
    </row>
    <row r="155" spans="1:14" x14ac:dyDescent="0.2">
      <c r="A155" s="9" t="s">
        <v>31</v>
      </c>
      <c r="B155" s="3">
        <v>45601</v>
      </c>
      <c r="C155" s="2">
        <v>0</v>
      </c>
      <c r="D155" s="2">
        <v>154</v>
      </c>
      <c r="E155" s="2" t="s">
        <v>11</v>
      </c>
      <c r="F155" s="2">
        <v>4</v>
      </c>
      <c r="G155" s="2">
        <v>6</v>
      </c>
      <c r="H155" s="2">
        <v>94.180999999999997</v>
      </c>
      <c r="I155" s="2">
        <v>0</v>
      </c>
      <c r="J155" s="2" t="s">
        <v>24</v>
      </c>
      <c r="K155" s="21">
        <v>1381</v>
      </c>
      <c r="L155" s="2">
        <v>2</v>
      </c>
      <c r="M155" s="2" t="s">
        <v>18</v>
      </c>
      <c r="N155" s="10"/>
    </row>
    <row r="156" spans="1:14" x14ac:dyDescent="0.2">
      <c r="A156" s="9" t="s">
        <v>31</v>
      </c>
      <c r="B156" s="3">
        <v>45601</v>
      </c>
      <c r="C156" s="2">
        <v>0</v>
      </c>
      <c r="D156" s="2">
        <v>155</v>
      </c>
      <c r="E156" s="2" t="s">
        <v>11</v>
      </c>
      <c r="F156" s="2">
        <v>5</v>
      </c>
      <c r="G156" s="2">
        <v>5</v>
      </c>
      <c r="H156" s="2">
        <v>167.48009999999999</v>
      </c>
      <c r="I156" s="2">
        <v>0</v>
      </c>
      <c r="J156" s="2" t="s">
        <v>24</v>
      </c>
      <c r="K156" s="2">
        <v>1308.5999999999999</v>
      </c>
      <c r="L156" s="2">
        <v>2</v>
      </c>
      <c r="M156" s="2" t="s">
        <v>18</v>
      </c>
      <c r="N156" s="10"/>
    </row>
    <row r="157" spans="1:14" x14ac:dyDescent="0.2">
      <c r="A157" s="9" t="s">
        <v>31</v>
      </c>
      <c r="B157" s="3">
        <v>45601</v>
      </c>
      <c r="C157" s="2">
        <v>0</v>
      </c>
      <c r="D157" s="2">
        <v>156</v>
      </c>
      <c r="E157" s="2" t="s">
        <v>11</v>
      </c>
      <c r="F157" s="2">
        <v>5</v>
      </c>
      <c r="G157" s="2">
        <v>6</v>
      </c>
      <c r="H157" s="2">
        <v>167.48009999999999</v>
      </c>
      <c r="I157" s="2">
        <v>0</v>
      </c>
      <c r="J157" s="2" t="s">
        <v>32</v>
      </c>
      <c r="K157" s="21">
        <v>1342.3</v>
      </c>
      <c r="L157" s="2">
        <v>2</v>
      </c>
      <c r="M157" s="2" t="s">
        <v>18</v>
      </c>
      <c r="N157" s="10"/>
    </row>
    <row r="158" spans="1:14" x14ac:dyDescent="0.2">
      <c r="A158" s="9" t="s">
        <v>31</v>
      </c>
      <c r="B158" s="3">
        <v>45601</v>
      </c>
      <c r="C158" s="2">
        <v>0</v>
      </c>
      <c r="D158" s="2">
        <v>157</v>
      </c>
      <c r="E158" s="2" t="s">
        <v>11</v>
      </c>
      <c r="F158" s="2">
        <v>6</v>
      </c>
      <c r="G158" s="2">
        <v>5</v>
      </c>
      <c r="H158" s="2">
        <v>297.82639999999998</v>
      </c>
      <c r="I158" s="2">
        <v>0</v>
      </c>
      <c r="J158" s="2" t="s">
        <v>19</v>
      </c>
      <c r="K158" s="2">
        <v>979</v>
      </c>
      <c r="L158" s="2">
        <v>2</v>
      </c>
      <c r="M158" s="2" t="s">
        <v>18</v>
      </c>
      <c r="N158" s="10"/>
    </row>
    <row r="159" spans="1:14" x14ac:dyDescent="0.2">
      <c r="A159" s="9" t="s">
        <v>31</v>
      </c>
      <c r="B159" s="3">
        <v>45601</v>
      </c>
      <c r="C159" s="2">
        <v>0</v>
      </c>
      <c r="D159" s="2">
        <v>158</v>
      </c>
      <c r="E159" s="2" t="s">
        <v>11</v>
      </c>
      <c r="F159" s="2">
        <v>6</v>
      </c>
      <c r="G159" s="2">
        <v>6</v>
      </c>
      <c r="H159" s="2">
        <v>297.82639999999998</v>
      </c>
      <c r="I159" s="2">
        <v>0</v>
      </c>
      <c r="J159" s="2" t="s">
        <v>22</v>
      </c>
      <c r="K159" s="21">
        <v>1155.3</v>
      </c>
      <c r="L159" s="2">
        <v>2</v>
      </c>
      <c r="M159" s="2" t="s">
        <v>18</v>
      </c>
      <c r="N159" s="10"/>
    </row>
    <row r="160" spans="1:14" x14ac:dyDescent="0.2">
      <c r="A160" s="9" t="s">
        <v>31</v>
      </c>
      <c r="B160" s="3">
        <v>45601</v>
      </c>
      <c r="C160" s="2">
        <v>0</v>
      </c>
      <c r="D160" s="2">
        <v>159</v>
      </c>
      <c r="E160" s="2" t="s">
        <v>11</v>
      </c>
      <c r="F160" s="2">
        <v>7</v>
      </c>
      <c r="G160" s="2">
        <v>5</v>
      </c>
      <c r="H160" s="2">
        <v>529.61860000000001</v>
      </c>
      <c r="I160" s="2">
        <v>0</v>
      </c>
      <c r="J160" s="2" t="s">
        <v>20</v>
      </c>
      <c r="K160" s="2">
        <v>1125.5</v>
      </c>
      <c r="L160" s="2">
        <v>2</v>
      </c>
      <c r="M160" s="2" t="s">
        <v>18</v>
      </c>
      <c r="N160" s="10"/>
    </row>
    <row r="161" spans="1:14" x14ac:dyDescent="0.2">
      <c r="A161" s="9" t="s">
        <v>31</v>
      </c>
      <c r="B161" s="3">
        <v>45601</v>
      </c>
      <c r="C161" s="2">
        <v>0</v>
      </c>
      <c r="D161" s="2">
        <v>160</v>
      </c>
      <c r="E161" s="2" t="s">
        <v>11</v>
      </c>
      <c r="F161" s="2">
        <v>7</v>
      </c>
      <c r="G161" s="2">
        <v>6</v>
      </c>
      <c r="H161" s="2">
        <v>529.61860000000001</v>
      </c>
      <c r="I161" s="2">
        <v>0</v>
      </c>
      <c r="J161" s="2" t="s">
        <v>24</v>
      </c>
      <c r="K161" s="21">
        <v>1275</v>
      </c>
      <c r="L161" s="2">
        <v>2</v>
      </c>
      <c r="M161" s="2" t="s">
        <v>18</v>
      </c>
      <c r="N161" s="10"/>
    </row>
    <row r="162" spans="1:14" x14ac:dyDescent="0.2">
      <c r="A162" s="9" t="s">
        <v>31</v>
      </c>
      <c r="B162" s="3">
        <v>45601</v>
      </c>
      <c r="C162" s="2">
        <v>0</v>
      </c>
      <c r="D162" s="2">
        <v>161</v>
      </c>
      <c r="E162" s="2" t="s">
        <v>12</v>
      </c>
      <c r="F162" s="2">
        <v>1</v>
      </c>
      <c r="G162" s="2">
        <v>5</v>
      </c>
      <c r="H162" s="2">
        <v>0.70640000000000003</v>
      </c>
      <c r="I162" s="2">
        <v>6.9999999999999999E-4</v>
      </c>
      <c r="J162" s="2" t="s">
        <v>22</v>
      </c>
      <c r="K162" s="2">
        <v>814.5</v>
      </c>
      <c r="L162" s="2">
        <v>2</v>
      </c>
      <c r="M162" s="2" t="s">
        <v>18</v>
      </c>
      <c r="N162" s="10"/>
    </row>
    <row r="163" spans="1:14" x14ac:dyDescent="0.2">
      <c r="A163" s="9" t="s">
        <v>31</v>
      </c>
      <c r="B163" s="3">
        <v>45601</v>
      </c>
      <c r="C163" s="2">
        <v>0</v>
      </c>
      <c r="D163" s="2">
        <v>162</v>
      </c>
      <c r="E163" s="2" t="s">
        <v>12</v>
      </c>
      <c r="F163" s="2">
        <v>1</v>
      </c>
      <c r="G163" s="2">
        <v>6</v>
      </c>
      <c r="H163" s="2">
        <v>0.70640000000000003</v>
      </c>
      <c r="I163" s="2">
        <v>6.9999999999999999E-4</v>
      </c>
      <c r="J163" s="2" t="s">
        <v>25</v>
      </c>
      <c r="K163" s="21">
        <v>765.8</v>
      </c>
      <c r="L163" s="2">
        <v>2</v>
      </c>
      <c r="M163" s="2" t="s">
        <v>18</v>
      </c>
      <c r="N163" s="10"/>
    </row>
    <row r="164" spans="1:14" x14ac:dyDescent="0.2">
      <c r="A164" s="9" t="s">
        <v>31</v>
      </c>
      <c r="B164" s="3">
        <v>45601</v>
      </c>
      <c r="C164" s="2">
        <v>0</v>
      </c>
      <c r="D164" s="2">
        <v>163</v>
      </c>
      <c r="E164" s="2" t="s">
        <v>12</v>
      </c>
      <c r="F164" s="2">
        <v>2</v>
      </c>
      <c r="G164" s="2">
        <v>5</v>
      </c>
      <c r="H164" s="2">
        <v>7.0636000000000001</v>
      </c>
      <c r="I164" s="2">
        <v>6.4999999999999997E-3</v>
      </c>
      <c r="J164" s="2" t="s">
        <v>20</v>
      </c>
      <c r="K164" s="2">
        <v>888.7</v>
      </c>
      <c r="L164" s="2">
        <v>2</v>
      </c>
      <c r="M164" s="2" t="s">
        <v>18</v>
      </c>
      <c r="N164" s="10"/>
    </row>
    <row r="165" spans="1:14" x14ac:dyDescent="0.2">
      <c r="A165" s="9" t="s">
        <v>31</v>
      </c>
      <c r="B165" s="3">
        <v>45601</v>
      </c>
      <c r="C165" s="2">
        <v>0</v>
      </c>
      <c r="D165" s="2">
        <v>164</v>
      </c>
      <c r="E165" s="2" t="s">
        <v>12</v>
      </c>
      <c r="F165" s="2">
        <v>2</v>
      </c>
      <c r="G165" s="2">
        <v>6</v>
      </c>
      <c r="H165" s="2">
        <v>7.0636000000000001</v>
      </c>
      <c r="I165" s="2">
        <v>6.4999999999999997E-3</v>
      </c>
      <c r="J165" s="2" t="s">
        <v>25</v>
      </c>
      <c r="K165" s="21">
        <v>1091</v>
      </c>
      <c r="L165" s="2">
        <v>2</v>
      </c>
      <c r="M165" s="2" t="s">
        <v>18</v>
      </c>
      <c r="N165" s="10"/>
    </row>
    <row r="166" spans="1:14" x14ac:dyDescent="0.2">
      <c r="A166" s="9" t="s">
        <v>31</v>
      </c>
      <c r="B166" s="3">
        <v>45601</v>
      </c>
      <c r="C166" s="2">
        <v>0</v>
      </c>
      <c r="D166" s="2">
        <v>165</v>
      </c>
      <c r="E166" s="2" t="s">
        <v>12</v>
      </c>
      <c r="F166" s="2">
        <v>3</v>
      </c>
      <c r="G166" s="2">
        <v>5</v>
      </c>
      <c r="H166" s="2">
        <v>39.721400000000003</v>
      </c>
      <c r="I166" s="2">
        <v>3.6700000000000003E-2</v>
      </c>
      <c r="J166" s="2" t="s">
        <v>19</v>
      </c>
      <c r="K166" s="2">
        <v>912.8</v>
      </c>
      <c r="L166" s="2">
        <v>2</v>
      </c>
      <c r="M166" s="2" t="s">
        <v>18</v>
      </c>
      <c r="N166" s="10"/>
    </row>
    <row r="167" spans="1:14" x14ac:dyDescent="0.2">
      <c r="A167" s="9" t="s">
        <v>31</v>
      </c>
      <c r="B167" s="3">
        <v>45601</v>
      </c>
      <c r="C167" s="2">
        <v>0</v>
      </c>
      <c r="D167" s="2">
        <v>166</v>
      </c>
      <c r="E167" s="2" t="s">
        <v>12</v>
      </c>
      <c r="F167" s="2">
        <v>3</v>
      </c>
      <c r="G167" s="2">
        <v>6</v>
      </c>
      <c r="H167" s="2">
        <v>39.721400000000003</v>
      </c>
      <c r="I167" s="2">
        <v>3.6700000000000003E-2</v>
      </c>
      <c r="J167" s="2" t="s">
        <v>20</v>
      </c>
      <c r="K167" s="2">
        <v>922.2</v>
      </c>
      <c r="L167" s="2">
        <v>2</v>
      </c>
      <c r="M167" s="2" t="s">
        <v>18</v>
      </c>
      <c r="N167" s="10"/>
    </row>
    <row r="168" spans="1:14" x14ac:dyDescent="0.2">
      <c r="A168" s="9" t="s">
        <v>31</v>
      </c>
      <c r="B168" s="3">
        <v>45601</v>
      </c>
      <c r="C168" s="2">
        <v>0</v>
      </c>
      <c r="D168" s="2">
        <v>167</v>
      </c>
      <c r="E168" s="2" t="s">
        <v>12</v>
      </c>
      <c r="F168" s="2">
        <v>4</v>
      </c>
      <c r="G168" s="2">
        <v>5</v>
      </c>
      <c r="H168" s="2">
        <v>70.6357</v>
      </c>
      <c r="I168" s="2">
        <v>6.5299999999999997E-2</v>
      </c>
      <c r="J168" s="2" t="s">
        <v>25</v>
      </c>
      <c r="K168" s="2">
        <v>1015.2</v>
      </c>
      <c r="L168" s="2">
        <v>2</v>
      </c>
      <c r="M168" s="2" t="s">
        <v>18</v>
      </c>
      <c r="N168" s="10"/>
    </row>
    <row r="169" spans="1:14" x14ac:dyDescent="0.2">
      <c r="A169" s="9" t="s">
        <v>31</v>
      </c>
      <c r="B169" s="3">
        <v>45601</v>
      </c>
      <c r="C169" s="2">
        <v>0</v>
      </c>
      <c r="D169" s="2">
        <v>168</v>
      </c>
      <c r="E169" s="2" t="s">
        <v>12</v>
      </c>
      <c r="F169" s="2">
        <v>4</v>
      </c>
      <c r="G169" s="2">
        <v>6</v>
      </c>
      <c r="H169" s="2">
        <v>70.6357</v>
      </c>
      <c r="I169" s="2">
        <v>6.5299999999999997E-2</v>
      </c>
      <c r="J169" s="2" t="s">
        <v>19</v>
      </c>
      <c r="K169" s="2">
        <v>983.1</v>
      </c>
      <c r="L169" s="2">
        <v>2</v>
      </c>
      <c r="M169" s="2" t="s">
        <v>18</v>
      </c>
      <c r="N169" s="10"/>
    </row>
    <row r="170" spans="1:14" x14ac:dyDescent="0.2">
      <c r="A170" s="9" t="s">
        <v>31</v>
      </c>
      <c r="B170" s="3">
        <v>45601</v>
      </c>
      <c r="C170" s="2">
        <v>0</v>
      </c>
      <c r="D170" s="2">
        <v>169</v>
      </c>
      <c r="E170" s="2" t="s">
        <v>12</v>
      </c>
      <c r="F170" s="2">
        <v>5</v>
      </c>
      <c r="G170" s="2">
        <v>5</v>
      </c>
      <c r="H170" s="2">
        <v>125.6101</v>
      </c>
      <c r="I170" s="2">
        <v>0.11609999999999999</v>
      </c>
      <c r="J170" s="2" t="s">
        <v>23</v>
      </c>
      <c r="K170" s="2">
        <v>1015.4</v>
      </c>
      <c r="L170" s="2">
        <v>2</v>
      </c>
      <c r="M170" s="2" t="s">
        <v>18</v>
      </c>
      <c r="N170" s="10"/>
    </row>
    <row r="171" spans="1:14" x14ac:dyDescent="0.2">
      <c r="A171" s="9" t="s">
        <v>31</v>
      </c>
      <c r="B171" s="3">
        <v>45601</v>
      </c>
      <c r="C171" s="2">
        <v>0</v>
      </c>
      <c r="D171" s="2">
        <v>170</v>
      </c>
      <c r="E171" s="2" t="s">
        <v>12</v>
      </c>
      <c r="F171" s="2">
        <v>5</v>
      </c>
      <c r="G171" s="2">
        <v>6</v>
      </c>
      <c r="H171" s="2">
        <v>125.6101</v>
      </c>
      <c r="I171" s="2">
        <v>0.11609999999999999</v>
      </c>
      <c r="J171" s="2" t="s">
        <v>21</v>
      </c>
      <c r="K171" s="2">
        <v>832.8</v>
      </c>
      <c r="L171" s="2">
        <v>2</v>
      </c>
      <c r="M171" s="2" t="s">
        <v>18</v>
      </c>
      <c r="N171" s="10"/>
    </row>
    <row r="172" spans="1:14" x14ac:dyDescent="0.2">
      <c r="A172" s="9" t="s">
        <v>31</v>
      </c>
      <c r="B172" s="3">
        <v>45601</v>
      </c>
      <c r="C172" s="2">
        <v>0</v>
      </c>
      <c r="D172" s="2">
        <v>171</v>
      </c>
      <c r="E172" s="2" t="s">
        <v>12</v>
      </c>
      <c r="F172" s="2">
        <v>6</v>
      </c>
      <c r="G172" s="2">
        <v>5</v>
      </c>
      <c r="H172" s="2">
        <v>223.3698</v>
      </c>
      <c r="I172" s="2">
        <v>0.2064</v>
      </c>
      <c r="J172" s="2" t="s">
        <v>22</v>
      </c>
      <c r="K172" s="2">
        <v>1011.5</v>
      </c>
      <c r="L172" s="2">
        <v>2</v>
      </c>
      <c r="M172" s="2" t="s">
        <v>18</v>
      </c>
      <c r="N172" s="10"/>
    </row>
    <row r="173" spans="1:14" x14ac:dyDescent="0.2">
      <c r="A173" s="9" t="s">
        <v>31</v>
      </c>
      <c r="B173" s="3">
        <v>45601</v>
      </c>
      <c r="C173" s="2">
        <v>0</v>
      </c>
      <c r="D173" s="2">
        <v>172</v>
      </c>
      <c r="E173" s="2" t="s">
        <v>12</v>
      </c>
      <c r="F173" s="2">
        <v>6</v>
      </c>
      <c r="G173" s="2">
        <v>6</v>
      </c>
      <c r="H173" s="2">
        <v>223.3698</v>
      </c>
      <c r="I173" s="2">
        <v>0.2064</v>
      </c>
      <c r="J173" s="2" t="s">
        <v>24</v>
      </c>
      <c r="K173" s="2">
        <v>1142</v>
      </c>
      <c r="L173" s="2">
        <v>2</v>
      </c>
      <c r="M173" s="2" t="s">
        <v>18</v>
      </c>
      <c r="N173" s="10"/>
    </row>
    <row r="174" spans="1:14" x14ac:dyDescent="0.2">
      <c r="A174" s="9" t="s">
        <v>31</v>
      </c>
      <c r="B174" s="3">
        <v>45601</v>
      </c>
      <c r="C174" s="2">
        <v>0</v>
      </c>
      <c r="D174" s="2">
        <v>173</v>
      </c>
      <c r="E174" s="2" t="s">
        <v>12</v>
      </c>
      <c r="F174" s="2">
        <v>7</v>
      </c>
      <c r="G174" s="2">
        <v>5</v>
      </c>
      <c r="H174" s="2">
        <v>397.214</v>
      </c>
      <c r="I174" s="2">
        <v>0.36709999999999998</v>
      </c>
      <c r="J174" s="2" t="s">
        <v>24</v>
      </c>
      <c r="K174" s="2">
        <v>1040.7</v>
      </c>
      <c r="L174" s="2">
        <v>2</v>
      </c>
      <c r="M174" s="2" t="s">
        <v>18</v>
      </c>
      <c r="N174" s="10"/>
    </row>
    <row r="175" spans="1:14" x14ac:dyDescent="0.2">
      <c r="A175" s="9" t="s">
        <v>31</v>
      </c>
      <c r="B175" s="3">
        <v>45601</v>
      </c>
      <c r="C175" s="2">
        <v>0</v>
      </c>
      <c r="D175" s="2">
        <v>174</v>
      </c>
      <c r="E175" s="2" t="s">
        <v>12</v>
      </c>
      <c r="F175" s="2">
        <v>7</v>
      </c>
      <c r="G175" s="2">
        <v>6</v>
      </c>
      <c r="H175" s="2">
        <v>397.214</v>
      </c>
      <c r="I175" s="2">
        <v>0.36709999999999998</v>
      </c>
      <c r="J175" s="2" t="s">
        <v>19</v>
      </c>
      <c r="K175" s="2">
        <v>926</v>
      </c>
      <c r="L175" s="2">
        <v>2</v>
      </c>
      <c r="M175" s="2" t="s">
        <v>18</v>
      </c>
      <c r="N175" s="10"/>
    </row>
    <row r="176" spans="1:14" x14ac:dyDescent="0.2">
      <c r="A176" s="9" t="s">
        <v>31</v>
      </c>
      <c r="B176" s="3">
        <v>45601</v>
      </c>
      <c r="C176" s="2">
        <v>0</v>
      </c>
      <c r="D176" s="2">
        <v>175</v>
      </c>
      <c r="E176" s="2" t="s">
        <v>13</v>
      </c>
      <c r="F176" s="2">
        <v>1</v>
      </c>
      <c r="G176" s="2">
        <v>5</v>
      </c>
      <c r="H176" s="2">
        <v>0.47089999999999999</v>
      </c>
      <c r="I176" s="2">
        <v>1.2999999999999999E-3</v>
      </c>
      <c r="J176" s="2" t="s">
        <v>19</v>
      </c>
      <c r="K176" s="2">
        <v>885.6</v>
      </c>
      <c r="L176" s="2">
        <v>2</v>
      </c>
      <c r="M176" s="2" t="s">
        <v>18</v>
      </c>
      <c r="N176" s="10"/>
    </row>
    <row r="177" spans="1:14" x14ac:dyDescent="0.2">
      <c r="A177" s="9" t="s">
        <v>31</v>
      </c>
      <c r="B177" s="3">
        <v>45601</v>
      </c>
      <c r="C177" s="2">
        <v>0</v>
      </c>
      <c r="D177" s="2">
        <v>176</v>
      </c>
      <c r="E177" s="2" t="s">
        <v>13</v>
      </c>
      <c r="F177" s="2">
        <v>1</v>
      </c>
      <c r="G177" s="2">
        <v>6</v>
      </c>
      <c r="H177" s="2">
        <v>0.47089999999999999</v>
      </c>
      <c r="I177" s="2">
        <v>1.2999999999999999E-3</v>
      </c>
      <c r="J177" s="2" t="s">
        <v>24</v>
      </c>
      <c r="K177" s="2">
        <v>988.5</v>
      </c>
      <c r="L177" s="2">
        <v>2</v>
      </c>
      <c r="M177" s="2" t="s">
        <v>18</v>
      </c>
      <c r="N177" s="10"/>
    </row>
    <row r="178" spans="1:14" x14ac:dyDescent="0.2">
      <c r="A178" s="9" t="s">
        <v>31</v>
      </c>
      <c r="B178" s="3">
        <v>45601</v>
      </c>
      <c r="C178" s="2">
        <v>0</v>
      </c>
      <c r="D178" s="2">
        <v>177</v>
      </c>
      <c r="E178" s="2" t="s">
        <v>13</v>
      </c>
      <c r="F178" s="2">
        <v>2</v>
      </c>
      <c r="G178" s="2">
        <v>5</v>
      </c>
      <c r="H178" s="2">
        <v>4.7089999999999996</v>
      </c>
      <c r="I178" s="2">
        <v>1.3100000000000001E-2</v>
      </c>
      <c r="J178" s="2" t="s">
        <v>24</v>
      </c>
      <c r="K178" s="2">
        <v>976.1</v>
      </c>
      <c r="L178" s="2">
        <v>2</v>
      </c>
      <c r="M178" s="2" t="s">
        <v>18</v>
      </c>
      <c r="N178" s="10"/>
    </row>
    <row r="179" spans="1:14" x14ac:dyDescent="0.2">
      <c r="A179" s="9" t="s">
        <v>31</v>
      </c>
      <c r="B179" s="3">
        <v>45601</v>
      </c>
      <c r="C179" s="2">
        <v>0</v>
      </c>
      <c r="D179" s="2">
        <v>178</v>
      </c>
      <c r="E179" s="2" t="s">
        <v>13</v>
      </c>
      <c r="F179" s="2">
        <v>2</v>
      </c>
      <c r="G179" s="2">
        <v>6</v>
      </c>
      <c r="H179" s="2">
        <v>4.7089999999999996</v>
      </c>
      <c r="I179" s="2">
        <v>1.3100000000000001E-2</v>
      </c>
      <c r="J179" s="2" t="s">
        <v>25</v>
      </c>
      <c r="K179" s="2">
        <v>919.7</v>
      </c>
      <c r="L179" s="2">
        <v>2</v>
      </c>
      <c r="M179" s="2" t="s">
        <v>18</v>
      </c>
      <c r="N179" s="10"/>
    </row>
    <row r="180" spans="1:14" x14ac:dyDescent="0.2">
      <c r="A180" s="9" t="s">
        <v>31</v>
      </c>
      <c r="B180" s="3">
        <v>45601</v>
      </c>
      <c r="C180" s="2">
        <v>0</v>
      </c>
      <c r="D180" s="2">
        <v>179</v>
      </c>
      <c r="E180" s="2" t="s">
        <v>13</v>
      </c>
      <c r="F180" s="2">
        <v>3</v>
      </c>
      <c r="G180" s="2">
        <v>5</v>
      </c>
      <c r="H180" s="2">
        <v>26.480899999999998</v>
      </c>
      <c r="I180" s="2">
        <v>7.3400000000000007E-2</v>
      </c>
      <c r="J180" s="2" t="s">
        <v>25</v>
      </c>
      <c r="K180" s="2">
        <v>869.6</v>
      </c>
      <c r="L180" s="2">
        <v>2</v>
      </c>
      <c r="M180" s="2" t="s">
        <v>18</v>
      </c>
      <c r="N180" s="10"/>
    </row>
    <row r="181" spans="1:14" x14ac:dyDescent="0.2">
      <c r="A181" s="9" t="s">
        <v>31</v>
      </c>
      <c r="B181" s="3">
        <v>45601</v>
      </c>
      <c r="C181" s="2">
        <v>0</v>
      </c>
      <c r="D181" s="2">
        <v>180</v>
      </c>
      <c r="E181" s="2" t="s">
        <v>13</v>
      </c>
      <c r="F181" s="2">
        <v>3</v>
      </c>
      <c r="G181" s="2">
        <v>6</v>
      </c>
      <c r="H181" s="2">
        <v>26.480899999999998</v>
      </c>
      <c r="I181" s="2">
        <v>7.3400000000000007E-2</v>
      </c>
      <c r="J181" s="2" t="s">
        <v>19</v>
      </c>
      <c r="K181" s="2">
        <v>1049.8</v>
      </c>
      <c r="L181" s="2">
        <v>2</v>
      </c>
      <c r="M181" s="2" t="s">
        <v>18</v>
      </c>
      <c r="N181" s="10"/>
    </row>
    <row r="182" spans="1:14" x14ac:dyDescent="0.2">
      <c r="A182" s="9" t="s">
        <v>31</v>
      </c>
      <c r="B182" s="3">
        <v>45601</v>
      </c>
      <c r="C182" s="2">
        <v>0</v>
      </c>
      <c r="D182" s="2">
        <v>181</v>
      </c>
      <c r="E182" s="2" t="s">
        <v>13</v>
      </c>
      <c r="F182" s="2">
        <v>4</v>
      </c>
      <c r="G182" s="2">
        <v>5</v>
      </c>
      <c r="H182" s="2">
        <v>47.090499999999999</v>
      </c>
      <c r="I182" s="2">
        <v>0.1305</v>
      </c>
      <c r="J182" s="2" t="s">
        <v>19</v>
      </c>
      <c r="K182" s="2">
        <v>917</v>
      </c>
      <c r="L182" s="2">
        <v>2</v>
      </c>
      <c r="M182" s="2" t="s">
        <v>18</v>
      </c>
      <c r="N182" s="10"/>
    </row>
    <row r="183" spans="1:14" x14ac:dyDescent="0.2">
      <c r="A183" s="9" t="s">
        <v>31</v>
      </c>
      <c r="B183" s="3">
        <v>45601</v>
      </c>
      <c r="C183" s="2">
        <v>0</v>
      </c>
      <c r="D183" s="2">
        <v>182</v>
      </c>
      <c r="E183" s="2" t="s">
        <v>13</v>
      </c>
      <c r="F183" s="2">
        <v>4</v>
      </c>
      <c r="G183" s="2">
        <v>6</v>
      </c>
      <c r="H183" s="2">
        <v>47.090499999999999</v>
      </c>
      <c r="I183" s="2">
        <v>0.1305</v>
      </c>
      <c r="J183" s="2" t="s">
        <v>24</v>
      </c>
      <c r="K183" s="2">
        <v>929.9</v>
      </c>
      <c r="L183" s="2">
        <v>2</v>
      </c>
      <c r="M183" s="2" t="s">
        <v>18</v>
      </c>
      <c r="N183" s="10"/>
    </row>
    <row r="184" spans="1:14" x14ac:dyDescent="0.2">
      <c r="A184" s="9" t="s">
        <v>31</v>
      </c>
      <c r="B184" s="3">
        <v>45601</v>
      </c>
      <c r="C184" s="2">
        <v>0</v>
      </c>
      <c r="D184" s="2">
        <v>183</v>
      </c>
      <c r="E184" s="2" t="s">
        <v>13</v>
      </c>
      <c r="F184" s="2">
        <v>5</v>
      </c>
      <c r="G184" s="2">
        <v>5</v>
      </c>
      <c r="H184" s="2">
        <v>83.740099999999998</v>
      </c>
      <c r="I184" s="2">
        <v>0.2321</v>
      </c>
      <c r="J184" s="2" t="s">
        <v>20</v>
      </c>
      <c r="K184" s="2">
        <v>829.5</v>
      </c>
      <c r="L184" s="2">
        <v>2</v>
      </c>
      <c r="M184" s="2" t="s">
        <v>18</v>
      </c>
      <c r="N184" s="10"/>
    </row>
    <row r="185" spans="1:14" x14ac:dyDescent="0.2">
      <c r="A185" s="9" t="s">
        <v>31</v>
      </c>
      <c r="B185" s="3">
        <v>45601</v>
      </c>
      <c r="C185" s="2">
        <v>0</v>
      </c>
      <c r="D185" s="2">
        <v>184</v>
      </c>
      <c r="E185" s="2" t="s">
        <v>13</v>
      </c>
      <c r="F185" s="2">
        <v>5</v>
      </c>
      <c r="G185" s="2">
        <v>6</v>
      </c>
      <c r="H185" s="2">
        <v>83.740099999999998</v>
      </c>
      <c r="I185" s="2">
        <v>0.2321</v>
      </c>
      <c r="J185" s="2" t="s">
        <v>25</v>
      </c>
      <c r="K185" s="2">
        <v>936.7</v>
      </c>
      <c r="L185" s="2">
        <v>2</v>
      </c>
      <c r="M185" s="2" t="s">
        <v>18</v>
      </c>
      <c r="N185" s="10"/>
    </row>
    <row r="186" spans="1:14" x14ac:dyDescent="0.2">
      <c r="A186" s="9" t="s">
        <v>31</v>
      </c>
      <c r="B186" s="3">
        <v>45601</v>
      </c>
      <c r="C186" s="2">
        <v>0</v>
      </c>
      <c r="D186" s="2">
        <v>185</v>
      </c>
      <c r="E186" s="2" t="s">
        <v>13</v>
      </c>
      <c r="F186" s="2">
        <v>6</v>
      </c>
      <c r="G186" s="2">
        <v>5</v>
      </c>
      <c r="H186" s="2">
        <v>148.91319999999999</v>
      </c>
      <c r="I186" s="2">
        <v>0.4128</v>
      </c>
      <c r="J186" s="2" t="s">
        <v>19</v>
      </c>
      <c r="K186" s="2">
        <v>894.3</v>
      </c>
      <c r="L186" s="2">
        <v>2</v>
      </c>
      <c r="M186" s="2" t="s">
        <v>18</v>
      </c>
      <c r="N186" s="10"/>
    </row>
    <row r="187" spans="1:14" x14ac:dyDescent="0.2">
      <c r="A187" s="9" t="s">
        <v>31</v>
      </c>
      <c r="B187" s="3">
        <v>45601</v>
      </c>
      <c r="C187" s="2">
        <v>0</v>
      </c>
      <c r="D187" s="2">
        <v>186</v>
      </c>
      <c r="E187" s="2" t="s">
        <v>13</v>
      </c>
      <c r="F187" s="2">
        <v>6</v>
      </c>
      <c r="G187" s="2">
        <v>6</v>
      </c>
      <c r="H187" s="2">
        <v>148.91319999999999</v>
      </c>
      <c r="I187" s="2">
        <v>0.4128</v>
      </c>
      <c r="J187" s="2" t="s">
        <v>20</v>
      </c>
      <c r="K187" s="2">
        <v>747.4</v>
      </c>
      <c r="L187" s="2">
        <v>2</v>
      </c>
      <c r="M187" s="2" t="s">
        <v>18</v>
      </c>
      <c r="N187" s="10"/>
    </row>
    <row r="188" spans="1:14" x14ac:dyDescent="0.2">
      <c r="A188" s="9" t="s">
        <v>31</v>
      </c>
      <c r="B188" s="3">
        <v>45601</v>
      </c>
      <c r="C188" s="2">
        <v>0</v>
      </c>
      <c r="D188" s="2">
        <v>187</v>
      </c>
      <c r="E188" s="2" t="s">
        <v>13</v>
      </c>
      <c r="F188" s="2">
        <v>7</v>
      </c>
      <c r="G188" s="2">
        <v>5</v>
      </c>
      <c r="H188" s="2">
        <v>264.80930000000001</v>
      </c>
      <c r="I188" s="2">
        <v>0.73409999999999997</v>
      </c>
      <c r="J188" s="2" t="s">
        <v>24</v>
      </c>
      <c r="K188" s="2">
        <v>1053.4000000000001</v>
      </c>
      <c r="L188" s="2">
        <v>2</v>
      </c>
      <c r="M188" s="2" t="s">
        <v>18</v>
      </c>
      <c r="N188" s="10"/>
    </row>
    <row r="189" spans="1:14" x14ac:dyDescent="0.2">
      <c r="A189" s="9" t="s">
        <v>31</v>
      </c>
      <c r="B189" s="3">
        <v>45601</v>
      </c>
      <c r="C189" s="2">
        <v>0</v>
      </c>
      <c r="D189" s="2">
        <v>188</v>
      </c>
      <c r="E189" s="2" t="s">
        <v>13</v>
      </c>
      <c r="F189" s="2">
        <v>7</v>
      </c>
      <c r="G189" s="2">
        <v>6</v>
      </c>
      <c r="H189" s="2">
        <v>264.80930000000001</v>
      </c>
      <c r="I189" s="2">
        <v>0.73409999999999997</v>
      </c>
      <c r="J189" s="2" t="s">
        <v>19</v>
      </c>
      <c r="K189" s="2">
        <v>1655.4</v>
      </c>
      <c r="L189" s="2">
        <v>2</v>
      </c>
      <c r="M189" s="2" t="s">
        <v>18</v>
      </c>
      <c r="N189" s="10"/>
    </row>
    <row r="190" spans="1:14" x14ac:dyDescent="0.2">
      <c r="A190" s="9" t="s">
        <v>31</v>
      </c>
      <c r="B190" s="3">
        <v>45601</v>
      </c>
      <c r="C190" s="2">
        <v>0</v>
      </c>
      <c r="D190" s="2">
        <v>189</v>
      </c>
      <c r="E190" s="2" t="s">
        <v>14</v>
      </c>
      <c r="F190" s="2">
        <v>1</v>
      </c>
      <c r="G190" s="2">
        <v>5</v>
      </c>
      <c r="H190" s="2">
        <v>0.23549999999999999</v>
      </c>
      <c r="I190" s="2">
        <v>2E-3</v>
      </c>
      <c r="J190" s="2" t="s">
        <v>19</v>
      </c>
      <c r="K190" s="2">
        <v>1030</v>
      </c>
      <c r="L190" s="2">
        <v>2</v>
      </c>
      <c r="M190" s="2" t="s">
        <v>18</v>
      </c>
      <c r="N190" s="10"/>
    </row>
    <row r="191" spans="1:14" x14ac:dyDescent="0.2">
      <c r="A191" s="9" t="s">
        <v>31</v>
      </c>
      <c r="B191" s="3">
        <v>45601</v>
      </c>
      <c r="C191" s="2">
        <v>0</v>
      </c>
      <c r="D191" s="2">
        <v>190</v>
      </c>
      <c r="E191" s="2" t="s">
        <v>14</v>
      </c>
      <c r="F191" s="2">
        <v>1</v>
      </c>
      <c r="G191" s="2">
        <v>6</v>
      </c>
      <c r="H191" s="2">
        <v>0.23549999999999999</v>
      </c>
      <c r="I191" s="2">
        <v>2E-3</v>
      </c>
      <c r="J191" s="2" t="s">
        <v>25</v>
      </c>
      <c r="K191" s="2">
        <v>909.4</v>
      </c>
      <c r="L191" s="2">
        <v>2</v>
      </c>
      <c r="M191" s="2" t="s">
        <v>18</v>
      </c>
      <c r="N191" s="10"/>
    </row>
    <row r="192" spans="1:14" x14ac:dyDescent="0.2">
      <c r="A192" s="9" t="s">
        <v>31</v>
      </c>
      <c r="B192" s="3">
        <v>45601</v>
      </c>
      <c r="C192" s="2">
        <v>0</v>
      </c>
      <c r="D192" s="2">
        <v>191</v>
      </c>
      <c r="E192" s="2" t="s">
        <v>14</v>
      </c>
      <c r="F192" s="2">
        <v>2</v>
      </c>
      <c r="G192" s="2">
        <v>5</v>
      </c>
      <c r="H192" s="2">
        <v>2.3544999999999998</v>
      </c>
      <c r="I192" s="2">
        <v>1.9599999999999999E-2</v>
      </c>
      <c r="J192" s="2" t="s">
        <v>24</v>
      </c>
      <c r="K192" s="2">
        <v>793.1</v>
      </c>
      <c r="L192" s="2">
        <v>2</v>
      </c>
      <c r="M192" s="2" t="s">
        <v>18</v>
      </c>
      <c r="N192" s="10"/>
    </row>
    <row r="193" spans="1:14" x14ac:dyDescent="0.2">
      <c r="A193" s="9" t="s">
        <v>31</v>
      </c>
      <c r="B193" s="3">
        <v>45601</v>
      </c>
      <c r="C193" s="2">
        <v>0</v>
      </c>
      <c r="D193" s="2">
        <v>192</v>
      </c>
      <c r="E193" s="2" t="s">
        <v>14</v>
      </c>
      <c r="F193" s="2">
        <v>2</v>
      </c>
      <c r="G193" s="2">
        <v>6</v>
      </c>
      <c r="H193" s="2">
        <v>2.3544999999999998</v>
      </c>
      <c r="I193" s="2">
        <v>1.9599999999999999E-2</v>
      </c>
      <c r="J193" s="2" t="s">
        <v>24</v>
      </c>
      <c r="K193" s="2">
        <v>883.6</v>
      </c>
      <c r="L193" s="2">
        <v>2</v>
      </c>
      <c r="M193" s="2" t="s">
        <v>18</v>
      </c>
      <c r="N193" s="10"/>
    </row>
    <row r="194" spans="1:14" x14ac:dyDescent="0.2">
      <c r="A194" s="9" t="s">
        <v>31</v>
      </c>
      <c r="B194" s="3">
        <v>45601</v>
      </c>
      <c r="C194" s="2">
        <v>0</v>
      </c>
      <c r="D194" s="2">
        <v>193</v>
      </c>
      <c r="E194" s="2" t="s">
        <v>14</v>
      </c>
      <c r="F194" s="2">
        <v>3</v>
      </c>
      <c r="G194" s="2">
        <v>5</v>
      </c>
      <c r="H194" s="2">
        <v>13.240500000000001</v>
      </c>
      <c r="I194" s="2">
        <v>0.1101</v>
      </c>
      <c r="J194" s="2" t="s">
        <v>25</v>
      </c>
      <c r="K194" s="2">
        <v>937.2</v>
      </c>
      <c r="L194" s="2">
        <v>2</v>
      </c>
      <c r="M194" s="2" t="s">
        <v>18</v>
      </c>
      <c r="N194" s="10"/>
    </row>
    <row r="195" spans="1:14" x14ac:dyDescent="0.2">
      <c r="A195" s="9" t="s">
        <v>31</v>
      </c>
      <c r="B195" s="3">
        <v>45601</v>
      </c>
      <c r="C195" s="2">
        <v>0</v>
      </c>
      <c r="D195" s="2">
        <v>194</v>
      </c>
      <c r="E195" s="2" t="s">
        <v>14</v>
      </c>
      <c r="F195" s="2">
        <v>3</v>
      </c>
      <c r="G195" s="2">
        <v>6</v>
      </c>
      <c r="H195" s="2">
        <v>13.240500000000001</v>
      </c>
      <c r="I195" s="2">
        <v>0.1101</v>
      </c>
      <c r="J195" s="2" t="s">
        <v>19</v>
      </c>
      <c r="K195" s="2">
        <v>866.1</v>
      </c>
      <c r="L195" s="2">
        <v>2</v>
      </c>
      <c r="M195" s="2" t="s">
        <v>18</v>
      </c>
      <c r="N195" s="10"/>
    </row>
    <row r="196" spans="1:14" x14ac:dyDescent="0.2">
      <c r="A196" s="9" t="s">
        <v>31</v>
      </c>
      <c r="B196" s="3">
        <v>45601</v>
      </c>
      <c r="C196" s="2">
        <v>0</v>
      </c>
      <c r="D196" s="2">
        <v>195</v>
      </c>
      <c r="E196" s="2" t="s">
        <v>14</v>
      </c>
      <c r="F196" s="2">
        <v>4</v>
      </c>
      <c r="G196" s="2">
        <v>5</v>
      </c>
      <c r="H196" s="2">
        <v>23.545200000000001</v>
      </c>
      <c r="I196" s="2">
        <v>0.1958</v>
      </c>
      <c r="J196" s="2" t="s">
        <v>19</v>
      </c>
      <c r="K196" s="2">
        <v>922.1</v>
      </c>
      <c r="L196" s="2">
        <v>2</v>
      </c>
      <c r="M196" s="2" t="s">
        <v>18</v>
      </c>
      <c r="N196" s="10"/>
    </row>
    <row r="197" spans="1:14" x14ac:dyDescent="0.2">
      <c r="A197" s="9" t="s">
        <v>31</v>
      </c>
      <c r="B197" s="3">
        <v>45601</v>
      </c>
      <c r="C197" s="2">
        <v>0</v>
      </c>
      <c r="D197" s="2">
        <v>196</v>
      </c>
      <c r="E197" s="2" t="s">
        <v>14</v>
      </c>
      <c r="F197" s="2">
        <v>4</v>
      </c>
      <c r="G197" s="2">
        <v>6</v>
      </c>
      <c r="H197" s="2">
        <v>23.545200000000001</v>
      </c>
      <c r="I197" s="2">
        <v>0.1958</v>
      </c>
      <c r="J197" s="2" t="s">
        <v>25</v>
      </c>
      <c r="K197" s="2">
        <v>936.4</v>
      </c>
      <c r="L197" s="2">
        <v>2</v>
      </c>
      <c r="M197" s="2" t="s">
        <v>18</v>
      </c>
      <c r="N197" s="10"/>
    </row>
    <row r="198" spans="1:14" x14ac:dyDescent="0.2">
      <c r="A198" s="9" t="s">
        <v>31</v>
      </c>
      <c r="B198" s="3">
        <v>45601</v>
      </c>
      <c r="C198" s="2">
        <v>0</v>
      </c>
      <c r="D198" s="2">
        <v>197</v>
      </c>
      <c r="E198" s="2" t="s">
        <v>14</v>
      </c>
      <c r="F198" s="2">
        <v>5</v>
      </c>
      <c r="G198" s="2">
        <v>5</v>
      </c>
      <c r="H198" s="2">
        <v>41.87</v>
      </c>
      <c r="I198" s="2">
        <v>0.34820000000000001</v>
      </c>
      <c r="J198" s="2" t="s">
        <v>25</v>
      </c>
      <c r="K198" s="2">
        <v>822.1</v>
      </c>
      <c r="L198" s="2">
        <v>2</v>
      </c>
      <c r="M198" s="2" t="s">
        <v>18</v>
      </c>
      <c r="N198" s="10"/>
    </row>
    <row r="199" spans="1:14" x14ac:dyDescent="0.2">
      <c r="A199" s="9" t="s">
        <v>31</v>
      </c>
      <c r="B199" s="3">
        <v>45601</v>
      </c>
      <c r="C199" s="2">
        <v>0</v>
      </c>
      <c r="D199" s="2">
        <v>198</v>
      </c>
      <c r="E199" s="2" t="s">
        <v>14</v>
      </c>
      <c r="F199" s="2">
        <v>5</v>
      </c>
      <c r="G199" s="2">
        <v>6</v>
      </c>
      <c r="H199" s="2">
        <v>41.87</v>
      </c>
      <c r="I199" s="2">
        <v>0.34820000000000001</v>
      </c>
      <c r="J199" s="2" t="s">
        <v>24</v>
      </c>
      <c r="K199" s="2">
        <v>812.7</v>
      </c>
      <c r="L199" s="2">
        <v>2</v>
      </c>
      <c r="M199" s="2" t="s">
        <v>18</v>
      </c>
      <c r="N199" s="10"/>
    </row>
    <row r="200" spans="1:14" x14ac:dyDescent="0.2">
      <c r="A200" s="9" t="s">
        <v>31</v>
      </c>
      <c r="B200" s="3">
        <v>45601</v>
      </c>
      <c r="C200" s="2">
        <v>0</v>
      </c>
      <c r="D200" s="2">
        <v>199</v>
      </c>
      <c r="E200" s="2" t="s">
        <v>14</v>
      </c>
      <c r="F200" s="2">
        <v>6</v>
      </c>
      <c r="G200" s="2">
        <v>5</v>
      </c>
      <c r="H200" s="2">
        <v>74.456599999999995</v>
      </c>
      <c r="I200" s="2">
        <v>0.61919999999999997</v>
      </c>
      <c r="J200" s="2" t="s">
        <v>24</v>
      </c>
      <c r="K200" s="2">
        <v>922.2</v>
      </c>
      <c r="L200" s="2">
        <v>2</v>
      </c>
      <c r="M200" s="2" t="s">
        <v>18</v>
      </c>
      <c r="N200" s="10"/>
    </row>
    <row r="201" spans="1:14" x14ac:dyDescent="0.2">
      <c r="A201" s="9" t="s">
        <v>31</v>
      </c>
      <c r="B201" s="3">
        <v>45601</v>
      </c>
      <c r="C201" s="2">
        <v>0</v>
      </c>
      <c r="D201" s="2">
        <v>200</v>
      </c>
      <c r="E201" s="2" t="s">
        <v>14</v>
      </c>
      <c r="F201" s="2">
        <v>6</v>
      </c>
      <c r="G201" s="2">
        <v>6</v>
      </c>
      <c r="H201" s="2">
        <v>74.456599999999995</v>
      </c>
      <c r="I201" s="2">
        <v>0.61919999999999997</v>
      </c>
      <c r="J201" s="2" t="s">
        <v>25</v>
      </c>
      <c r="K201" s="2">
        <v>883.3</v>
      </c>
      <c r="L201" s="2">
        <v>2</v>
      </c>
      <c r="M201" s="2" t="s">
        <v>18</v>
      </c>
      <c r="N201" s="10"/>
    </row>
    <row r="202" spans="1:14" x14ac:dyDescent="0.2">
      <c r="A202" s="9" t="s">
        <v>31</v>
      </c>
      <c r="B202" s="3">
        <v>45601</v>
      </c>
      <c r="C202" s="2">
        <v>0</v>
      </c>
      <c r="D202" s="2">
        <v>201</v>
      </c>
      <c r="E202" s="2" t="s">
        <v>14</v>
      </c>
      <c r="F202" s="2">
        <v>7</v>
      </c>
      <c r="G202" s="2">
        <v>5</v>
      </c>
      <c r="H202" s="2">
        <v>132.40469999999999</v>
      </c>
      <c r="I202" s="2">
        <v>1.1012</v>
      </c>
      <c r="J202" s="2" t="s">
        <v>19</v>
      </c>
      <c r="K202" s="2">
        <v>792.1</v>
      </c>
      <c r="L202" s="2">
        <v>2</v>
      </c>
      <c r="M202" s="2" t="s">
        <v>18</v>
      </c>
      <c r="N202" s="10"/>
    </row>
    <row r="203" spans="1:14" x14ac:dyDescent="0.2">
      <c r="A203" s="9" t="s">
        <v>31</v>
      </c>
      <c r="B203" s="3">
        <v>45601</v>
      </c>
      <c r="C203" s="2">
        <v>0</v>
      </c>
      <c r="D203" s="2">
        <v>202</v>
      </c>
      <c r="E203" s="2" t="s">
        <v>14</v>
      </c>
      <c r="F203" s="2">
        <v>7</v>
      </c>
      <c r="G203" s="2">
        <v>6</v>
      </c>
      <c r="H203" s="2">
        <v>132.40469999999999</v>
      </c>
      <c r="I203" s="2">
        <v>1.1012</v>
      </c>
      <c r="J203" s="2" t="s">
        <v>24</v>
      </c>
      <c r="K203" s="2">
        <v>1184.3</v>
      </c>
      <c r="L203" s="2">
        <v>2</v>
      </c>
      <c r="M203" s="2" t="s">
        <v>18</v>
      </c>
      <c r="N203" s="10"/>
    </row>
    <row r="204" spans="1:14" x14ac:dyDescent="0.2">
      <c r="A204" s="9" t="s">
        <v>31</v>
      </c>
      <c r="B204" s="3">
        <v>45601</v>
      </c>
      <c r="C204" s="2">
        <v>0</v>
      </c>
      <c r="D204" s="2">
        <v>203</v>
      </c>
      <c r="E204" s="4" t="s">
        <v>15</v>
      </c>
      <c r="F204" s="4">
        <v>1</v>
      </c>
      <c r="G204" s="2">
        <v>5</v>
      </c>
      <c r="H204" s="2">
        <v>0</v>
      </c>
      <c r="I204" s="2">
        <v>2.5999999999999999E-3</v>
      </c>
      <c r="J204" s="2" t="s">
        <v>19</v>
      </c>
      <c r="K204" s="2">
        <v>683.5</v>
      </c>
      <c r="L204" s="2">
        <v>2</v>
      </c>
      <c r="M204" s="2" t="s">
        <v>18</v>
      </c>
      <c r="N204" s="10"/>
    </row>
    <row r="205" spans="1:14" x14ac:dyDescent="0.2">
      <c r="A205" s="9" t="s">
        <v>31</v>
      </c>
      <c r="B205" s="3">
        <v>45601</v>
      </c>
      <c r="C205" s="2">
        <v>0</v>
      </c>
      <c r="D205" s="2">
        <v>204</v>
      </c>
      <c r="E205" s="4" t="s">
        <v>15</v>
      </c>
      <c r="F205" s="4">
        <v>1</v>
      </c>
      <c r="G205" s="2">
        <v>6</v>
      </c>
      <c r="H205" s="2">
        <v>0</v>
      </c>
      <c r="I205" s="2">
        <v>2.5999999999999999E-3</v>
      </c>
      <c r="J205" s="2" t="s">
        <v>25</v>
      </c>
      <c r="K205" s="2">
        <v>874.3</v>
      </c>
      <c r="L205" s="2">
        <v>2</v>
      </c>
      <c r="M205" s="2" t="s">
        <v>18</v>
      </c>
      <c r="N205" s="10"/>
    </row>
    <row r="206" spans="1:14" x14ac:dyDescent="0.2">
      <c r="A206" s="9" t="s">
        <v>31</v>
      </c>
      <c r="B206" s="3">
        <v>45601</v>
      </c>
      <c r="C206" s="2">
        <v>0</v>
      </c>
      <c r="D206" s="2">
        <v>205</v>
      </c>
      <c r="E206" s="4" t="s">
        <v>15</v>
      </c>
      <c r="F206" s="4">
        <v>2</v>
      </c>
      <c r="G206" s="2">
        <v>5</v>
      </c>
      <c r="H206" s="2">
        <v>0</v>
      </c>
      <c r="I206" s="2">
        <v>2.6100000000000002E-2</v>
      </c>
      <c r="J206" s="2" t="s">
        <v>25</v>
      </c>
      <c r="K206" s="2">
        <v>737.6</v>
      </c>
      <c r="L206" s="2">
        <v>2</v>
      </c>
      <c r="M206" s="2" t="s">
        <v>18</v>
      </c>
      <c r="N206" s="10"/>
    </row>
    <row r="207" spans="1:14" x14ac:dyDescent="0.2">
      <c r="A207" s="9" t="s">
        <v>31</v>
      </c>
      <c r="B207" s="3">
        <v>45601</v>
      </c>
      <c r="C207" s="2">
        <v>0</v>
      </c>
      <c r="D207" s="2">
        <v>206</v>
      </c>
      <c r="E207" s="4" t="s">
        <v>15</v>
      </c>
      <c r="F207" s="4">
        <v>2</v>
      </c>
      <c r="G207" s="2">
        <v>6</v>
      </c>
      <c r="H207" s="2">
        <v>0</v>
      </c>
      <c r="I207" s="2">
        <v>2.6100000000000002E-2</v>
      </c>
      <c r="J207" s="2" t="s">
        <v>22</v>
      </c>
      <c r="K207" s="2">
        <v>783.6</v>
      </c>
      <c r="L207" s="2">
        <v>2</v>
      </c>
      <c r="M207" s="2" t="s">
        <v>18</v>
      </c>
      <c r="N207" s="10"/>
    </row>
    <row r="208" spans="1:14" x14ac:dyDescent="0.2">
      <c r="A208" s="9" t="s">
        <v>31</v>
      </c>
      <c r="B208" s="3">
        <v>45601</v>
      </c>
      <c r="C208" s="2">
        <v>0</v>
      </c>
      <c r="D208" s="2">
        <v>207</v>
      </c>
      <c r="E208" s="4" t="s">
        <v>15</v>
      </c>
      <c r="F208" s="4">
        <v>3</v>
      </c>
      <c r="G208" s="2">
        <v>5</v>
      </c>
      <c r="H208" s="2">
        <v>0</v>
      </c>
      <c r="I208" s="2">
        <v>0.14680000000000001</v>
      </c>
      <c r="J208" s="2" t="s">
        <v>25</v>
      </c>
      <c r="K208" s="2">
        <v>967</v>
      </c>
      <c r="L208" s="2">
        <v>2</v>
      </c>
      <c r="M208" s="2" t="s">
        <v>18</v>
      </c>
      <c r="N208" s="10"/>
    </row>
    <row r="209" spans="1:14" x14ac:dyDescent="0.2">
      <c r="A209" s="9" t="s">
        <v>31</v>
      </c>
      <c r="B209" s="3">
        <v>45601</v>
      </c>
      <c r="C209" s="2">
        <v>0</v>
      </c>
      <c r="D209" s="2">
        <v>208</v>
      </c>
      <c r="E209" s="4" t="s">
        <v>15</v>
      </c>
      <c r="F209" s="4">
        <v>3</v>
      </c>
      <c r="G209" s="2">
        <v>6</v>
      </c>
      <c r="H209" s="2">
        <v>0</v>
      </c>
      <c r="I209" s="2">
        <v>0.14680000000000001</v>
      </c>
      <c r="J209" s="2" t="s">
        <v>24</v>
      </c>
      <c r="K209" s="2">
        <v>993.2</v>
      </c>
      <c r="L209" s="2">
        <v>2</v>
      </c>
      <c r="M209" s="2" t="s">
        <v>18</v>
      </c>
      <c r="N209" s="10"/>
    </row>
    <row r="210" spans="1:14" x14ac:dyDescent="0.2">
      <c r="A210" s="9" t="s">
        <v>31</v>
      </c>
      <c r="B210" s="3">
        <v>45601</v>
      </c>
      <c r="C210" s="2">
        <v>0</v>
      </c>
      <c r="D210" s="2">
        <v>209</v>
      </c>
      <c r="E210" s="4" t="s">
        <v>15</v>
      </c>
      <c r="F210" s="4">
        <v>4</v>
      </c>
      <c r="G210" s="2">
        <v>5</v>
      </c>
      <c r="H210" s="2">
        <v>0</v>
      </c>
      <c r="I210" s="2">
        <v>0.2611</v>
      </c>
      <c r="J210" s="2" t="s">
        <v>24</v>
      </c>
      <c r="K210" s="2">
        <v>976.6</v>
      </c>
      <c r="L210" s="2">
        <v>2</v>
      </c>
      <c r="M210" s="2" t="s">
        <v>18</v>
      </c>
      <c r="N210" s="10"/>
    </row>
    <row r="211" spans="1:14" x14ac:dyDescent="0.2">
      <c r="A211" s="9" t="s">
        <v>31</v>
      </c>
      <c r="B211" s="3">
        <v>45601</v>
      </c>
      <c r="C211" s="2">
        <v>0</v>
      </c>
      <c r="D211" s="2">
        <v>210</v>
      </c>
      <c r="E211" s="4" t="s">
        <v>15</v>
      </c>
      <c r="F211" s="4">
        <v>4</v>
      </c>
      <c r="G211" s="2">
        <v>6</v>
      </c>
      <c r="H211" s="2">
        <v>0</v>
      </c>
      <c r="I211" s="2">
        <v>0.2611</v>
      </c>
      <c r="J211" s="2" t="s">
        <v>25</v>
      </c>
      <c r="K211" s="2">
        <v>884.7</v>
      </c>
      <c r="L211" s="2">
        <v>2</v>
      </c>
      <c r="M211" s="2" t="s">
        <v>18</v>
      </c>
      <c r="N211" s="10"/>
    </row>
    <row r="212" spans="1:14" x14ac:dyDescent="0.2">
      <c r="A212" s="9" t="s">
        <v>31</v>
      </c>
      <c r="B212" s="3">
        <v>45601</v>
      </c>
      <c r="C212" s="2">
        <v>0</v>
      </c>
      <c r="D212" s="2">
        <v>211</v>
      </c>
      <c r="E212" s="4" t="s">
        <v>15</v>
      </c>
      <c r="F212" s="4">
        <v>5</v>
      </c>
      <c r="G212" s="2">
        <v>5</v>
      </c>
      <c r="H212" s="2">
        <v>0</v>
      </c>
      <c r="I212" s="2">
        <v>0.46429999999999999</v>
      </c>
      <c r="J212" s="2" t="s">
        <v>25</v>
      </c>
      <c r="K212" s="2">
        <v>931.1</v>
      </c>
      <c r="L212" s="2">
        <v>2</v>
      </c>
      <c r="M212" s="2" t="s">
        <v>18</v>
      </c>
      <c r="N212" s="10"/>
    </row>
    <row r="213" spans="1:14" x14ac:dyDescent="0.2">
      <c r="A213" s="9" t="s">
        <v>31</v>
      </c>
      <c r="B213" s="3">
        <v>45601</v>
      </c>
      <c r="C213" s="2">
        <v>0</v>
      </c>
      <c r="D213" s="2">
        <v>212</v>
      </c>
      <c r="E213" s="4" t="s">
        <v>15</v>
      </c>
      <c r="F213" s="4">
        <v>5</v>
      </c>
      <c r="G213" s="2">
        <v>6</v>
      </c>
      <c r="H213" s="2">
        <v>0</v>
      </c>
      <c r="I213" s="2">
        <v>0.46429999999999999</v>
      </c>
      <c r="J213" s="2" t="s">
        <v>24</v>
      </c>
      <c r="K213" s="2">
        <v>1002.2</v>
      </c>
      <c r="L213" s="2">
        <v>2</v>
      </c>
      <c r="M213" s="2" t="s">
        <v>18</v>
      </c>
      <c r="N213" s="10"/>
    </row>
    <row r="214" spans="1:14" x14ac:dyDescent="0.2">
      <c r="A214" s="9" t="s">
        <v>31</v>
      </c>
      <c r="B214" s="3">
        <v>45601</v>
      </c>
      <c r="C214" s="2">
        <v>0</v>
      </c>
      <c r="D214" s="2">
        <v>213</v>
      </c>
      <c r="E214" s="4" t="s">
        <v>15</v>
      </c>
      <c r="F214" s="4">
        <v>6</v>
      </c>
      <c r="G214" s="2">
        <v>5</v>
      </c>
      <c r="H214" s="2">
        <v>0</v>
      </c>
      <c r="I214" s="2">
        <v>0.8256</v>
      </c>
      <c r="J214" s="2" t="s">
        <v>23</v>
      </c>
      <c r="K214" s="2">
        <v>684.6</v>
      </c>
      <c r="L214" s="2">
        <v>2</v>
      </c>
      <c r="M214" s="2" t="s">
        <v>18</v>
      </c>
      <c r="N214" s="10"/>
    </row>
    <row r="215" spans="1:14" x14ac:dyDescent="0.2">
      <c r="A215" s="9" t="s">
        <v>31</v>
      </c>
      <c r="B215" s="3">
        <v>45601</v>
      </c>
      <c r="C215" s="2">
        <v>0</v>
      </c>
      <c r="D215" s="2">
        <v>214</v>
      </c>
      <c r="E215" s="4" t="s">
        <v>15</v>
      </c>
      <c r="F215" s="4">
        <v>6</v>
      </c>
      <c r="G215" s="2">
        <v>6</v>
      </c>
      <c r="H215" s="2">
        <v>0</v>
      </c>
      <c r="I215" s="2">
        <v>0.8256</v>
      </c>
      <c r="J215" s="2" t="s">
        <v>25</v>
      </c>
      <c r="K215" s="2">
        <v>914.1</v>
      </c>
      <c r="L215" s="2">
        <v>2</v>
      </c>
      <c r="M215" s="2" t="s">
        <v>18</v>
      </c>
      <c r="N215" s="10"/>
    </row>
    <row r="216" spans="1:14" x14ac:dyDescent="0.2">
      <c r="A216" s="9" t="s">
        <v>31</v>
      </c>
      <c r="B216" s="3">
        <v>45601</v>
      </c>
      <c r="C216" s="2">
        <v>0</v>
      </c>
      <c r="D216" s="2">
        <v>215</v>
      </c>
      <c r="E216" s="4" t="s">
        <v>15</v>
      </c>
      <c r="F216" s="4">
        <v>7</v>
      </c>
      <c r="G216" s="4">
        <v>5</v>
      </c>
      <c r="H216" s="2">
        <v>0</v>
      </c>
      <c r="I216" s="2">
        <v>1.4681999999999999</v>
      </c>
      <c r="J216" s="2" t="s">
        <v>25</v>
      </c>
      <c r="K216" s="2">
        <v>890.5</v>
      </c>
      <c r="L216" s="2">
        <v>2</v>
      </c>
      <c r="M216" s="2" t="s">
        <v>18</v>
      </c>
      <c r="N216" s="10"/>
    </row>
    <row r="217" spans="1:14" ht="17" thickBot="1" x14ac:dyDescent="0.25">
      <c r="A217" s="15" t="s">
        <v>31</v>
      </c>
      <c r="B217" s="16">
        <v>45601</v>
      </c>
      <c r="C217" s="17">
        <v>0</v>
      </c>
      <c r="D217" s="17">
        <v>216</v>
      </c>
      <c r="E217" s="18" t="s">
        <v>15</v>
      </c>
      <c r="F217" s="18">
        <v>7</v>
      </c>
      <c r="G217" s="18">
        <v>6</v>
      </c>
      <c r="H217" s="17">
        <v>0</v>
      </c>
      <c r="I217" s="17">
        <v>1.4681999999999999</v>
      </c>
      <c r="J217" s="17" t="s">
        <v>21</v>
      </c>
      <c r="K217" s="17">
        <v>685.2</v>
      </c>
      <c r="L217" s="17">
        <v>2</v>
      </c>
      <c r="M217" s="17" t="s">
        <v>18</v>
      </c>
      <c r="N217" s="19"/>
    </row>
    <row r="218" spans="1:14" x14ac:dyDescent="0.2">
      <c r="A218" s="5" t="s">
        <v>18</v>
      </c>
      <c r="B218" s="6">
        <v>45609</v>
      </c>
      <c r="C218" s="7">
        <v>28</v>
      </c>
      <c r="D218" s="7">
        <v>1</v>
      </c>
      <c r="E218" s="7" t="s">
        <v>16</v>
      </c>
      <c r="F218" s="7">
        <v>0</v>
      </c>
      <c r="G218" s="7">
        <v>1</v>
      </c>
      <c r="H218" s="7">
        <v>0</v>
      </c>
      <c r="I218" s="7">
        <v>0</v>
      </c>
      <c r="J218" s="7" t="s">
        <v>27</v>
      </c>
      <c r="K218" s="7">
        <v>1818</v>
      </c>
      <c r="L218" s="7">
        <v>2</v>
      </c>
      <c r="M218" s="7" t="s">
        <v>18</v>
      </c>
      <c r="N218" s="8">
        <v>14</v>
      </c>
    </row>
    <row r="219" spans="1:14" x14ac:dyDescent="0.2">
      <c r="A219" s="9" t="s">
        <v>18</v>
      </c>
      <c r="B219" s="3">
        <v>45609</v>
      </c>
      <c r="C219" s="2">
        <v>28</v>
      </c>
      <c r="D219" s="2">
        <v>2</v>
      </c>
      <c r="E219" s="2" t="s">
        <v>16</v>
      </c>
      <c r="F219" s="2">
        <v>0</v>
      </c>
      <c r="G219" s="2">
        <v>2</v>
      </c>
      <c r="H219" s="2">
        <v>0</v>
      </c>
      <c r="I219" s="2">
        <v>0</v>
      </c>
      <c r="J219" s="2" t="s">
        <v>26</v>
      </c>
      <c r="K219" s="2">
        <v>1762.1</v>
      </c>
      <c r="L219" s="2">
        <v>2</v>
      </c>
      <c r="M219" s="2" t="s">
        <v>18</v>
      </c>
      <c r="N219" s="10">
        <v>8</v>
      </c>
    </row>
    <row r="220" spans="1:14" x14ac:dyDescent="0.2">
      <c r="A220" s="9" t="s">
        <v>18</v>
      </c>
      <c r="B220" s="3">
        <v>45609</v>
      </c>
      <c r="C220" s="2">
        <v>28</v>
      </c>
      <c r="D220" s="2">
        <v>3</v>
      </c>
      <c r="E220" s="2" t="s">
        <v>11</v>
      </c>
      <c r="F220" s="2">
        <v>1</v>
      </c>
      <c r="G220" s="2">
        <v>1</v>
      </c>
      <c r="H220" s="2">
        <v>0.94179999999999997</v>
      </c>
      <c r="I220" s="2">
        <v>0</v>
      </c>
      <c r="J220" s="2" t="s">
        <v>19</v>
      </c>
      <c r="K220" s="2">
        <v>924.5</v>
      </c>
      <c r="L220" s="2">
        <v>2</v>
      </c>
      <c r="M220" s="2" t="s">
        <v>18</v>
      </c>
      <c r="N220" s="22">
        <v>13</v>
      </c>
    </row>
    <row r="221" spans="1:14" x14ac:dyDescent="0.2">
      <c r="A221" s="9" t="s">
        <v>18</v>
      </c>
      <c r="B221" s="3">
        <v>45609</v>
      </c>
      <c r="C221" s="2">
        <v>28</v>
      </c>
      <c r="D221" s="2">
        <v>4</v>
      </c>
      <c r="E221" s="2" t="s">
        <v>11</v>
      </c>
      <c r="F221" s="2">
        <v>1</v>
      </c>
      <c r="G221" s="2">
        <v>2</v>
      </c>
      <c r="H221" s="2">
        <v>0.94179999999999997</v>
      </c>
      <c r="I221" s="2">
        <v>0</v>
      </c>
      <c r="J221" s="2" t="s">
        <v>20</v>
      </c>
      <c r="K221" s="2">
        <v>936.5</v>
      </c>
      <c r="L221" s="2">
        <v>2</v>
      </c>
      <c r="M221" s="2" t="s">
        <v>18</v>
      </c>
      <c r="N221" s="10">
        <v>8</v>
      </c>
    </row>
    <row r="222" spans="1:14" x14ac:dyDescent="0.2">
      <c r="A222" s="9" t="s">
        <v>18</v>
      </c>
      <c r="B222" s="3">
        <v>45609</v>
      </c>
      <c r="C222" s="2">
        <v>28</v>
      </c>
      <c r="D222" s="2">
        <v>5</v>
      </c>
      <c r="E222" s="2" t="s">
        <v>11</v>
      </c>
      <c r="F222" s="2">
        <v>2</v>
      </c>
      <c r="G222" s="2">
        <v>1</v>
      </c>
      <c r="H222" s="2">
        <v>9.4181000000000008</v>
      </c>
      <c r="I222" s="2">
        <v>0</v>
      </c>
      <c r="J222" s="2" t="s">
        <v>20</v>
      </c>
      <c r="K222" s="2">
        <v>1115.5999999999999</v>
      </c>
      <c r="L222" s="2">
        <v>2</v>
      </c>
      <c r="M222" s="2" t="s">
        <v>18</v>
      </c>
      <c r="N222" s="10">
        <v>17</v>
      </c>
    </row>
    <row r="223" spans="1:14" x14ac:dyDescent="0.2">
      <c r="A223" s="9" t="s">
        <v>18</v>
      </c>
      <c r="B223" s="3">
        <v>45609</v>
      </c>
      <c r="C223" s="2">
        <v>28</v>
      </c>
      <c r="D223" s="2">
        <v>6</v>
      </c>
      <c r="E223" s="2" t="s">
        <v>11</v>
      </c>
      <c r="F223" s="2">
        <v>2</v>
      </c>
      <c r="G223" s="2">
        <v>2</v>
      </c>
      <c r="H223" s="2">
        <v>9.4181000000000008</v>
      </c>
      <c r="I223" s="2">
        <v>0</v>
      </c>
      <c r="J223" s="2" t="s">
        <v>21</v>
      </c>
      <c r="K223" s="2">
        <v>1043.5999999999999</v>
      </c>
      <c r="L223" s="2">
        <v>2</v>
      </c>
      <c r="M223" s="2" t="s">
        <v>18</v>
      </c>
      <c r="N223" s="10">
        <v>21</v>
      </c>
    </row>
    <row r="224" spans="1:14" x14ac:dyDescent="0.2">
      <c r="A224" s="9" t="s">
        <v>18</v>
      </c>
      <c r="B224" s="3">
        <v>45609</v>
      </c>
      <c r="C224" s="2">
        <v>28</v>
      </c>
      <c r="D224" s="2">
        <v>7</v>
      </c>
      <c r="E224" s="2" t="s">
        <v>11</v>
      </c>
      <c r="F224" s="2">
        <v>3</v>
      </c>
      <c r="G224" s="2">
        <v>1</v>
      </c>
      <c r="H224" s="2">
        <v>52.9619</v>
      </c>
      <c r="I224" s="2">
        <v>0</v>
      </c>
      <c r="J224" s="2" t="s">
        <v>22</v>
      </c>
      <c r="K224" s="2">
        <v>1172.2</v>
      </c>
      <c r="L224" s="2">
        <v>2</v>
      </c>
      <c r="M224" s="2" t="s">
        <v>18</v>
      </c>
      <c r="N224" s="10">
        <v>12</v>
      </c>
    </row>
    <row r="225" spans="1:14" x14ac:dyDescent="0.2">
      <c r="A225" s="9" t="s">
        <v>18</v>
      </c>
      <c r="B225" s="3">
        <v>45609</v>
      </c>
      <c r="C225" s="2">
        <v>28</v>
      </c>
      <c r="D225" s="2">
        <v>8</v>
      </c>
      <c r="E225" s="2" t="s">
        <v>11</v>
      </c>
      <c r="F225" s="2">
        <v>3</v>
      </c>
      <c r="G225" s="2">
        <v>2</v>
      </c>
      <c r="H225" s="2">
        <v>52.9619</v>
      </c>
      <c r="I225" s="2">
        <v>0</v>
      </c>
      <c r="J225" s="2" t="s">
        <v>19</v>
      </c>
      <c r="K225" s="2">
        <v>1055.7</v>
      </c>
      <c r="L225" s="2">
        <v>2</v>
      </c>
      <c r="M225" s="2" t="s">
        <v>18</v>
      </c>
      <c r="N225" s="10">
        <v>18</v>
      </c>
    </row>
    <row r="226" spans="1:14" x14ac:dyDescent="0.2">
      <c r="A226" s="9" t="s">
        <v>18</v>
      </c>
      <c r="B226" s="3">
        <v>45609</v>
      </c>
      <c r="C226" s="2">
        <v>28</v>
      </c>
      <c r="D226" s="2">
        <v>9</v>
      </c>
      <c r="E226" s="2" t="s">
        <v>11</v>
      </c>
      <c r="F226" s="2">
        <v>4</v>
      </c>
      <c r="G226" s="2">
        <v>1</v>
      </c>
      <c r="H226" s="2">
        <v>94.180999999999997</v>
      </c>
      <c r="I226" s="2">
        <v>0</v>
      </c>
      <c r="J226" s="2" t="s">
        <v>19</v>
      </c>
      <c r="K226" s="2">
        <v>1264.5</v>
      </c>
      <c r="L226" s="2">
        <v>2</v>
      </c>
      <c r="M226" s="2" t="s">
        <v>18</v>
      </c>
      <c r="N226" s="10">
        <v>15</v>
      </c>
    </row>
    <row r="227" spans="1:14" x14ac:dyDescent="0.2">
      <c r="A227" s="9" t="s">
        <v>18</v>
      </c>
      <c r="B227" s="3">
        <v>45609</v>
      </c>
      <c r="C227" s="2">
        <v>28</v>
      </c>
      <c r="D227" s="2">
        <v>10</v>
      </c>
      <c r="E227" s="2" t="s">
        <v>11</v>
      </c>
      <c r="F227" s="2">
        <v>4</v>
      </c>
      <c r="G227" s="2">
        <v>2</v>
      </c>
      <c r="H227" s="2">
        <v>94.180999999999997</v>
      </c>
      <c r="I227" s="2">
        <v>0</v>
      </c>
      <c r="J227" s="2" t="s">
        <v>20</v>
      </c>
      <c r="K227" s="2">
        <v>946.6</v>
      </c>
      <c r="L227" s="2">
        <v>2</v>
      </c>
      <c r="M227" s="2" t="s">
        <v>18</v>
      </c>
      <c r="N227" s="10">
        <v>10</v>
      </c>
    </row>
    <row r="228" spans="1:14" x14ac:dyDescent="0.2">
      <c r="A228" s="9" t="s">
        <v>18</v>
      </c>
      <c r="B228" s="3">
        <v>45609</v>
      </c>
      <c r="C228" s="2">
        <v>28</v>
      </c>
      <c r="D228" s="2">
        <v>11</v>
      </c>
      <c r="E228" s="2" t="s">
        <v>11</v>
      </c>
      <c r="F228" s="2">
        <v>5</v>
      </c>
      <c r="G228" s="2">
        <v>1</v>
      </c>
      <c r="H228" s="2">
        <v>167.48009999999999</v>
      </c>
      <c r="I228" s="2">
        <v>0</v>
      </c>
      <c r="J228" s="2" t="s">
        <v>20</v>
      </c>
      <c r="K228" s="2">
        <v>962.4</v>
      </c>
      <c r="L228" s="2">
        <v>2</v>
      </c>
      <c r="M228" s="2" t="s">
        <v>18</v>
      </c>
      <c r="N228" s="10">
        <v>10</v>
      </c>
    </row>
    <row r="229" spans="1:14" x14ac:dyDescent="0.2">
      <c r="A229" s="9" t="s">
        <v>18</v>
      </c>
      <c r="B229" s="3">
        <v>45609</v>
      </c>
      <c r="C229" s="2">
        <v>28</v>
      </c>
      <c r="D229" s="2">
        <v>12</v>
      </c>
      <c r="E229" s="2" t="s">
        <v>11</v>
      </c>
      <c r="F229" s="2">
        <v>5</v>
      </c>
      <c r="G229" s="2">
        <v>2</v>
      </c>
      <c r="H229" s="2">
        <v>167.48009999999999</v>
      </c>
      <c r="I229" s="2">
        <v>0</v>
      </c>
      <c r="J229" s="2" t="s">
        <v>22</v>
      </c>
      <c r="K229" s="2">
        <v>1081.5</v>
      </c>
      <c r="L229" s="2">
        <v>2</v>
      </c>
      <c r="M229" s="2" t="s">
        <v>18</v>
      </c>
      <c r="N229" s="10">
        <v>13</v>
      </c>
    </row>
    <row r="230" spans="1:14" x14ac:dyDescent="0.2">
      <c r="A230" s="9" t="s">
        <v>18</v>
      </c>
      <c r="B230" s="3">
        <v>45609</v>
      </c>
      <c r="C230" s="2">
        <v>28</v>
      </c>
      <c r="D230" s="2">
        <v>13</v>
      </c>
      <c r="E230" s="2" t="s">
        <v>11</v>
      </c>
      <c r="F230" s="2">
        <v>6</v>
      </c>
      <c r="G230" s="2">
        <v>1</v>
      </c>
      <c r="H230" s="2">
        <v>297.82639999999998</v>
      </c>
      <c r="I230" s="2">
        <v>0</v>
      </c>
      <c r="J230" s="2" t="s">
        <v>22</v>
      </c>
      <c r="K230" s="2">
        <v>913.5</v>
      </c>
      <c r="L230" s="2">
        <v>2</v>
      </c>
      <c r="M230" s="2" t="s">
        <v>18</v>
      </c>
      <c r="N230" s="10">
        <v>9</v>
      </c>
    </row>
    <row r="231" spans="1:14" x14ac:dyDescent="0.2">
      <c r="A231" s="9" t="s">
        <v>18</v>
      </c>
      <c r="B231" s="3">
        <v>45609</v>
      </c>
      <c r="C231" s="2">
        <v>28</v>
      </c>
      <c r="D231" s="2">
        <v>14</v>
      </c>
      <c r="E231" s="2" t="s">
        <v>11</v>
      </c>
      <c r="F231" s="2">
        <v>6</v>
      </c>
      <c r="G231" s="2">
        <v>2</v>
      </c>
      <c r="H231" s="2">
        <v>297.82639999999998</v>
      </c>
      <c r="I231" s="2">
        <v>0</v>
      </c>
      <c r="J231" s="2" t="s">
        <v>19</v>
      </c>
      <c r="K231" s="2">
        <v>842.8</v>
      </c>
      <c r="L231" s="2">
        <v>2</v>
      </c>
      <c r="M231" s="2" t="s">
        <v>18</v>
      </c>
      <c r="N231" s="10">
        <v>9</v>
      </c>
    </row>
    <row r="232" spans="1:14" x14ac:dyDescent="0.2">
      <c r="A232" s="9" t="s">
        <v>18</v>
      </c>
      <c r="B232" s="3">
        <v>45609</v>
      </c>
      <c r="C232" s="2">
        <v>28</v>
      </c>
      <c r="D232" s="2">
        <v>15</v>
      </c>
      <c r="E232" s="2" t="s">
        <v>11</v>
      </c>
      <c r="F232" s="2">
        <v>7</v>
      </c>
      <c r="G232" s="2">
        <v>1</v>
      </c>
      <c r="H232" s="2">
        <v>529.61860000000001</v>
      </c>
      <c r="I232" s="2">
        <v>0</v>
      </c>
      <c r="J232" s="2" t="s">
        <v>19</v>
      </c>
      <c r="K232" s="2">
        <v>731.2</v>
      </c>
      <c r="L232" s="2">
        <v>2</v>
      </c>
      <c r="M232" s="2" t="s">
        <v>18</v>
      </c>
      <c r="N232" s="10">
        <v>1</v>
      </c>
    </row>
    <row r="233" spans="1:14" x14ac:dyDescent="0.2">
      <c r="A233" s="9" t="s">
        <v>18</v>
      </c>
      <c r="B233" s="3">
        <v>45609</v>
      </c>
      <c r="C233" s="2">
        <v>28</v>
      </c>
      <c r="D233" s="2">
        <v>16</v>
      </c>
      <c r="E233" s="2" t="s">
        <v>11</v>
      </c>
      <c r="F233" s="2">
        <v>7</v>
      </c>
      <c r="G233" s="2">
        <v>2</v>
      </c>
      <c r="H233" s="2">
        <v>529.61860000000001</v>
      </c>
      <c r="I233" s="2">
        <v>0</v>
      </c>
      <c r="J233" s="2" t="s">
        <v>23</v>
      </c>
      <c r="K233" s="2">
        <v>626.79999999999995</v>
      </c>
      <c r="L233" s="2">
        <v>2</v>
      </c>
      <c r="M233" s="2" t="s">
        <v>18</v>
      </c>
      <c r="N233" s="10">
        <v>0</v>
      </c>
    </row>
    <row r="234" spans="1:14" x14ac:dyDescent="0.2">
      <c r="A234" s="9" t="s">
        <v>18</v>
      </c>
      <c r="B234" s="3">
        <v>45609</v>
      </c>
      <c r="C234" s="2">
        <v>28</v>
      </c>
      <c r="D234" s="2">
        <v>17</v>
      </c>
      <c r="E234" s="2" t="s">
        <v>12</v>
      </c>
      <c r="F234" s="2">
        <v>1</v>
      </c>
      <c r="G234" s="2">
        <v>1</v>
      </c>
      <c r="H234" s="2">
        <v>0.70640000000000003</v>
      </c>
      <c r="I234" s="2">
        <v>6.9999999999999999E-4</v>
      </c>
      <c r="J234" s="2" t="s">
        <v>19</v>
      </c>
      <c r="K234" s="2">
        <v>1181.7</v>
      </c>
      <c r="L234" s="2">
        <v>2</v>
      </c>
      <c r="M234" s="2" t="s">
        <v>18</v>
      </c>
      <c r="N234" s="10">
        <v>20</v>
      </c>
    </row>
    <row r="235" spans="1:14" x14ac:dyDescent="0.2">
      <c r="A235" s="9" t="s">
        <v>18</v>
      </c>
      <c r="B235" s="3">
        <v>45609</v>
      </c>
      <c r="C235" s="2">
        <v>28</v>
      </c>
      <c r="D235" s="2">
        <v>18</v>
      </c>
      <c r="E235" s="2" t="s">
        <v>12</v>
      </c>
      <c r="F235" s="2">
        <v>1</v>
      </c>
      <c r="G235" s="2">
        <v>2</v>
      </c>
      <c r="H235" s="2">
        <v>0.70640000000000003</v>
      </c>
      <c r="I235" s="2">
        <v>6.9999999999999999E-4</v>
      </c>
      <c r="J235" s="2" t="s">
        <v>24</v>
      </c>
      <c r="K235" s="2">
        <v>1324.5</v>
      </c>
      <c r="L235" s="2">
        <v>2</v>
      </c>
      <c r="M235" s="2" t="s">
        <v>18</v>
      </c>
      <c r="N235" s="10">
        <v>11</v>
      </c>
    </row>
    <row r="236" spans="1:14" x14ac:dyDescent="0.2">
      <c r="A236" s="9" t="s">
        <v>18</v>
      </c>
      <c r="B236" s="3">
        <v>45609</v>
      </c>
      <c r="C236" s="2">
        <v>28</v>
      </c>
      <c r="D236" s="2">
        <v>19</v>
      </c>
      <c r="E236" s="2" t="s">
        <v>12</v>
      </c>
      <c r="F236" s="2">
        <v>2</v>
      </c>
      <c r="G236" s="2">
        <v>1</v>
      </c>
      <c r="H236" s="2">
        <v>7.0636000000000001</v>
      </c>
      <c r="I236" s="2">
        <v>6.4999999999999997E-3</v>
      </c>
      <c r="J236" s="2" t="s">
        <v>24</v>
      </c>
      <c r="K236" s="21">
        <v>1518.2</v>
      </c>
      <c r="L236" s="2">
        <v>2</v>
      </c>
      <c r="M236" s="2" t="s">
        <v>18</v>
      </c>
      <c r="N236" s="10">
        <v>20</v>
      </c>
    </row>
    <row r="237" spans="1:14" x14ac:dyDescent="0.2">
      <c r="A237" s="9" t="s">
        <v>18</v>
      </c>
      <c r="B237" s="3">
        <v>45609</v>
      </c>
      <c r="C237" s="2">
        <v>28</v>
      </c>
      <c r="D237" s="2">
        <v>20</v>
      </c>
      <c r="E237" s="2" t="s">
        <v>12</v>
      </c>
      <c r="F237" s="2">
        <v>2</v>
      </c>
      <c r="G237" s="2">
        <v>2</v>
      </c>
      <c r="H237" s="2">
        <v>7.0636000000000001</v>
      </c>
      <c r="I237" s="2">
        <v>6.4999999999999997E-3</v>
      </c>
      <c r="J237" s="2" t="s">
        <v>19</v>
      </c>
      <c r="K237" s="2">
        <v>1219.0999999999999</v>
      </c>
      <c r="L237" s="2">
        <v>2</v>
      </c>
      <c r="M237" s="2" t="s">
        <v>18</v>
      </c>
      <c r="N237" s="10">
        <v>4</v>
      </c>
    </row>
    <row r="238" spans="1:14" x14ac:dyDescent="0.2">
      <c r="A238" s="9" t="s">
        <v>18</v>
      </c>
      <c r="B238" s="3">
        <v>45609</v>
      </c>
      <c r="C238" s="2">
        <v>28</v>
      </c>
      <c r="D238" s="2">
        <v>21</v>
      </c>
      <c r="E238" s="2" t="s">
        <v>12</v>
      </c>
      <c r="F238" s="2">
        <v>3</v>
      </c>
      <c r="G238" s="2">
        <v>1</v>
      </c>
      <c r="H238" s="2">
        <v>39.721400000000003</v>
      </c>
      <c r="I238" s="2">
        <v>3.6700000000000003E-2</v>
      </c>
      <c r="J238" s="2" t="s">
        <v>19</v>
      </c>
      <c r="K238" s="2">
        <v>1372.2</v>
      </c>
      <c r="L238" s="2">
        <v>2</v>
      </c>
      <c r="M238" s="2" t="s">
        <v>18</v>
      </c>
      <c r="N238" s="10">
        <v>10</v>
      </c>
    </row>
    <row r="239" spans="1:14" x14ac:dyDescent="0.2">
      <c r="A239" s="9" t="s">
        <v>18</v>
      </c>
      <c r="B239" s="3">
        <v>45609</v>
      </c>
      <c r="C239" s="2">
        <v>28</v>
      </c>
      <c r="D239" s="2">
        <v>22</v>
      </c>
      <c r="E239" s="2" t="s">
        <v>12</v>
      </c>
      <c r="F239" s="2">
        <v>3</v>
      </c>
      <c r="G239" s="2">
        <v>2</v>
      </c>
      <c r="H239" s="2">
        <v>39.721400000000003</v>
      </c>
      <c r="I239" s="2">
        <v>3.6700000000000003E-2</v>
      </c>
      <c r="J239" s="2" t="s">
        <v>24</v>
      </c>
      <c r="K239" s="2">
        <v>1605</v>
      </c>
      <c r="L239" s="2">
        <v>2</v>
      </c>
      <c r="M239" s="2" t="s">
        <v>18</v>
      </c>
      <c r="N239" s="10">
        <v>12</v>
      </c>
    </row>
    <row r="240" spans="1:14" x14ac:dyDescent="0.2">
      <c r="A240" s="9" t="s">
        <v>18</v>
      </c>
      <c r="B240" s="3">
        <v>45609</v>
      </c>
      <c r="C240" s="2">
        <v>28</v>
      </c>
      <c r="D240" s="2">
        <v>23</v>
      </c>
      <c r="E240" s="2" t="s">
        <v>12</v>
      </c>
      <c r="F240" s="2">
        <v>4</v>
      </c>
      <c r="G240" s="2">
        <v>1</v>
      </c>
      <c r="H240" s="2">
        <v>70.6357</v>
      </c>
      <c r="I240" s="2">
        <v>6.5299999999999997E-2</v>
      </c>
      <c r="J240" s="2" t="s">
        <v>19</v>
      </c>
      <c r="K240" s="2">
        <v>1141.5999999999999</v>
      </c>
      <c r="L240" s="2">
        <v>2</v>
      </c>
      <c r="M240" s="2" t="s">
        <v>18</v>
      </c>
      <c r="N240" s="10">
        <v>21</v>
      </c>
    </row>
    <row r="241" spans="1:14" x14ac:dyDescent="0.2">
      <c r="A241" s="9" t="s">
        <v>18</v>
      </c>
      <c r="B241" s="3">
        <v>45609</v>
      </c>
      <c r="C241" s="2">
        <v>28</v>
      </c>
      <c r="D241" s="2">
        <v>24</v>
      </c>
      <c r="E241" s="2" t="s">
        <v>12</v>
      </c>
      <c r="F241" s="2">
        <v>4</v>
      </c>
      <c r="G241" s="2">
        <v>2</v>
      </c>
      <c r="H241" s="2">
        <v>70.6357</v>
      </c>
      <c r="I241" s="2">
        <v>6.5299999999999997E-2</v>
      </c>
      <c r="J241" s="2" t="s">
        <v>24</v>
      </c>
      <c r="K241" s="2">
        <v>1387</v>
      </c>
      <c r="L241" s="2">
        <v>2</v>
      </c>
      <c r="M241" s="2" t="s">
        <v>18</v>
      </c>
      <c r="N241" s="10">
        <v>12</v>
      </c>
    </row>
    <row r="242" spans="1:14" x14ac:dyDescent="0.2">
      <c r="A242" s="9" t="s">
        <v>18</v>
      </c>
      <c r="B242" s="3">
        <v>45609</v>
      </c>
      <c r="C242" s="2">
        <v>28</v>
      </c>
      <c r="D242" s="2">
        <v>25</v>
      </c>
      <c r="E242" s="2" t="s">
        <v>12</v>
      </c>
      <c r="F242" s="2">
        <v>5</v>
      </c>
      <c r="G242" s="2">
        <v>1</v>
      </c>
      <c r="H242" s="2">
        <v>125.6101</v>
      </c>
      <c r="I242" s="2">
        <v>0.11609999999999999</v>
      </c>
      <c r="J242" s="2" t="s">
        <v>24</v>
      </c>
      <c r="K242" s="2">
        <v>1150.3</v>
      </c>
      <c r="L242" s="2">
        <v>2</v>
      </c>
      <c r="M242" s="2" t="s">
        <v>18</v>
      </c>
      <c r="N242" s="10">
        <v>7</v>
      </c>
    </row>
    <row r="243" spans="1:14" x14ac:dyDescent="0.2">
      <c r="A243" s="9" t="s">
        <v>18</v>
      </c>
      <c r="B243" s="3">
        <v>45609</v>
      </c>
      <c r="C243" s="2">
        <v>28</v>
      </c>
      <c r="D243" s="2">
        <v>26</v>
      </c>
      <c r="E243" s="2" t="s">
        <v>12</v>
      </c>
      <c r="F243" s="2">
        <v>5</v>
      </c>
      <c r="G243" s="2">
        <v>2</v>
      </c>
      <c r="H243" s="2">
        <v>125.6101</v>
      </c>
      <c r="I243" s="2">
        <v>0.11609999999999999</v>
      </c>
      <c r="J243" s="2" t="s">
        <v>25</v>
      </c>
      <c r="K243" s="2">
        <v>1025.2</v>
      </c>
      <c r="L243" s="2">
        <v>2</v>
      </c>
      <c r="M243" s="2" t="s">
        <v>18</v>
      </c>
      <c r="N243" s="10">
        <v>9</v>
      </c>
    </row>
    <row r="244" spans="1:14" x14ac:dyDescent="0.2">
      <c r="A244" s="9" t="s">
        <v>18</v>
      </c>
      <c r="B244" s="3">
        <v>45609</v>
      </c>
      <c r="C244" s="2">
        <v>28</v>
      </c>
      <c r="D244" s="2">
        <v>27</v>
      </c>
      <c r="E244" s="2" t="s">
        <v>12</v>
      </c>
      <c r="F244" s="2">
        <v>6</v>
      </c>
      <c r="G244" s="2">
        <v>1</v>
      </c>
      <c r="H244" s="2">
        <v>223.3698</v>
      </c>
      <c r="I244" s="2">
        <v>0.2064</v>
      </c>
      <c r="J244" s="2" t="s">
        <v>23</v>
      </c>
      <c r="K244" s="2">
        <v>1088.2</v>
      </c>
      <c r="L244" s="2">
        <v>2</v>
      </c>
      <c r="M244" s="2" t="s">
        <v>18</v>
      </c>
      <c r="N244" s="10">
        <v>9</v>
      </c>
    </row>
    <row r="245" spans="1:14" x14ac:dyDescent="0.2">
      <c r="A245" s="9" t="s">
        <v>18</v>
      </c>
      <c r="B245" s="3">
        <v>45609</v>
      </c>
      <c r="C245" s="2">
        <v>28</v>
      </c>
      <c r="D245" s="2">
        <v>28</v>
      </c>
      <c r="E245" s="2" t="s">
        <v>12</v>
      </c>
      <c r="F245" s="2">
        <v>6</v>
      </c>
      <c r="G245" s="2">
        <v>2</v>
      </c>
      <c r="H245" s="2">
        <v>223.3698</v>
      </c>
      <c r="I245" s="2">
        <v>0.2064</v>
      </c>
      <c r="J245" s="2" t="s">
        <v>20</v>
      </c>
      <c r="K245" s="2">
        <v>115.1</v>
      </c>
      <c r="L245" s="2">
        <v>2</v>
      </c>
      <c r="M245" s="2" t="s">
        <v>18</v>
      </c>
      <c r="N245" s="10">
        <v>9</v>
      </c>
    </row>
    <row r="246" spans="1:14" x14ac:dyDescent="0.2">
      <c r="A246" s="9" t="s">
        <v>18</v>
      </c>
      <c r="B246" s="3">
        <v>45609</v>
      </c>
      <c r="C246" s="2">
        <v>28</v>
      </c>
      <c r="D246" s="2">
        <v>29</v>
      </c>
      <c r="E246" s="2" t="s">
        <v>12</v>
      </c>
      <c r="F246" s="2">
        <v>7</v>
      </c>
      <c r="G246" s="2">
        <v>1</v>
      </c>
      <c r="H246" s="2">
        <v>397.214</v>
      </c>
      <c r="I246" s="2">
        <v>0.36709999999999998</v>
      </c>
      <c r="J246" s="2" t="s">
        <v>19</v>
      </c>
      <c r="K246" s="2">
        <v>864.3</v>
      </c>
      <c r="L246" s="2">
        <v>2</v>
      </c>
      <c r="M246" s="2" t="s">
        <v>18</v>
      </c>
      <c r="N246" s="10">
        <v>3</v>
      </c>
    </row>
    <row r="247" spans="1:14" x14ac:dyDescent="0.2">
      <c r="A247" s="9" t="s">
        <v>18</v>
      </c>
      <c r="B247" s="3">
        <v>45609</v>
      </c>
      <c r="C247" s="2">
        <v>28</v>
      </c>
      <c r="D247" s="2">
        <v>30</v>
      </c>
      <c r="E247" s="2" t="s">
        <v>12</v>
      </c>
      <c r="F247" s="2">
        <v>7</v>
      </c>
      <c r="G247" s="2">
        <v>2</v>
      </c>
      <c r="H247" s="2">
        <v>397.214</v>
      </c>
      <c r="I247" s="2">
        <v>0.36709999999999998</v>
      </c>
      <c r="J247" s="2" t="s">
        <v>20</v>
      </c>
      <c r="K247" s="2">
        <v>619.9</v>
      </c>
      <c r="L247" s="2">
        <v>2</v>
      </c>
      <c r="M247" s="2" t="s">
        <v>18</v>
      </c>
      <c r="N247" s="10">
        <v>2</v>
      </c>
    </row>
    <row r="248" spans="1:14" x14ac:dyDescent="0.2">
      <c r="A248" s="9" t="s">
        <v>18</v>
      </c>
      <c r="B248" s="3">
        <v>45609</v>
      </c>
      <c r="C248" s="2">
        <v>28</v>
      </c>
      <c r="D248" s="2">
        <v>31</v>
      </c>
      <c r="E248" s="2" t="s">
        <v>13</v>
      </c>
      <c r="F248" s="2">
        <v>1</v>
      </c>
      <c r="G248" s="2">
        <v>1</v>
      </c>
      <c r="H248" s="2">
        <v>0.47089999999999999</v>
      </c>
      <c r="I248" s="2">
        <v>1.2999999999999999E-3</v>
      </c>
      <c r="J248" s="2" t="s">
        <v>24</v>
      </c>
      <c r="K248" s="2">
        <v>1736.8</v>
      </c>
      <c r="L248" s="2">
        <v>2</v>
      </c>
      <c r="M248" s="2" t="s">
        <v>18</v>
      </c>
      <c r="N248" s="10">
        <v>22</v>
      </c>
    </row>
    <row r="249" spans="1:14" x14ac:dyDescent="0.2">
      <c r="A249" s="9" t="s">
        <v>18</v>
      </c>
      <c r="B249" s="3">
        <v>45609</v>
      </c>
      <c r="C249" s="2">
        <v>28</v>
      </c>
      <c r="D249" s="2">
        <v>32</v>
      </c>
      <c r="E249" s="2" t="s">
        <v>13</v>
      </c>
      <c r="F249" s="2">
        <v>1</v>
      </c>
      <c r="G249" s="2">
        <v>2</v>
      </c>
      <c r="H249" s="2">
        <v>0.47089999999999999</v>
      </c>
      <c r="I249" s="2">
        <v>1.2999999999999999E-3</v>
      </c>
      <c r="J249" s="2" t="s">
        <v>19</v>
      </c>
      <c r="K249" s="2">
        <v>1647</v>
      </c>
      <c r="L249" s="2">
        <v>2</v>
      </c>
      <c r="M249" s="2" t="s">
        <v>18</v>
      </c>
      <c r="N249" s="10">
        <v>17</v>
      </c>
    </row>
    <row r="250" spans="1:14" x14ac:dyDescent="0.2">
      <c r="A250" s="9" t="s">
        <v>18</v>
      </c>
      <c r="B250" s="3">
        <v>45609</v>
      </c>
      <c r="C250" s="2">
        <v>28</v>
      </c>
      <c r="D250" s="2">
        <v>33</v>
      </c>
      <c r="E250" s="2" t="s">
        <v>13</v>
      </c>
      <c r="F250" s="2">
        <v>2</v>
      </c>
      <c r="G250" s="2">
        <v>1</v>
      </c>
      <c r="H250" s="2">
        <v>4.7089999999999996</v>
      </c>
      <c r="I250" s="2">
        <v>1.3100000000000001E-2</v>
      </c>
      <c r="J250" s="2" t="s">
        <v>19</v>
      </c>
      <c r="K250" s="2">
        <v>1657.7</v>
      </c>
      <c r="L250" s="2">
        <v>2</v>
      </c>
      <c r="M250" s="2" t="s">
        <v>18</v>
      </c>
      <c r="N250" s="10">
        <v>20</v>
      </c>
    </row>
    <row r="251" spans="1:14" x14ac:dyDescent="0.2">
      <c r="A251" s="9" t="s">
        <v>18</v>
      </c>
      <c r="B251" s="3">
        <v>45609</v>
      </c>
      <c r="C251" s="2">
        <v>28</v>
      </c>
      <c r="D251" s="2">
        <v>34</v>
      </c>
      <c r="E251" s="2" t="s">
        <v>13</v>
      </c>
      <c r="F251" s="2">
        <v>2</v>
      </c>
      <c r="G251" s="2">
        <v>2</v>
      </c>
      <c r="H251" s="2">
        <v>4.7089999999999996</v>
      </c>
      <c r="I251" s="2">
        <v>1.3100000000000001E-2</v>
      </c>
      <c r="J251" s="2" t="s">
        <v>20</v>
      </c>
      <c r="K251" s="2">
        <v>1652.5</v>
      </c>
      <c r="L251" s="2">
        <v>2</v>
      </c>
      <c r="M251" s="2" t="s">
        <v>18</v>
      </c>
      <c r="N251" s="10">
        <v>18</v>
      </c>
    </row>
    <row r="252" spans="1:14" x14ac:dyDescent="0.2">
      <c r="A252" s="9" t="s">
        <v>18</v>
      </c>
      <c r="B252" s="3">
        <v>45609</v>
      </c>
      <c r="C252" s="2">
        <v>28</v>
      </c>
      <c r="D252" s="2">
        <v>35</v>
      </c>
      <c r="E252" s="2" t="s">
        <v>13</v>
      </c>
      <c r="F252" s="2">
        <v>3</v>
      </c>
      <c r="G252" s="2">
        <v>1</v>
      </c>
      <c r="H252" s="2">
        <v>26.480899999999998</v>
      </c>
      <c r="I252" s="2">
        <v>7.3400000000000007E-2</v>
      </c>
      <c r="J252" s="2" t="s">
        <v>20</v>
      </c>
      <c r="K252" s="2">
        <v>1806.9</v>
      </c>
      <c r="L252" s="2">
        <v>2</v>
      </c>
      <c r="M252" s="2" t="s">
        <v>18</v>
      </c>
      <c r="N252" s="10">
        <v>15</v>
      </c>
    </row>
    <row r="253" spans="1:14" x14ac:dyDescent="0.2">
      <c r="A253" s="9" t="s">
        <v>18</v>
      </c>
      <c r="B253" s="3">
        <v>45609</v>
      </c>
      <c r="C253" s="2">
        <v>28</v>
      </c>
      <c r="D253" s="2">
        <v>36</v>
      </c>
      <c r="E253" s="2" t="s">
        <v>13</v>
      </c>
      <c r="F253" s="2">
        <v>3</v>
      </c>
      <c r="G253" s="2">
        <v>2</v>
      </c>
      <c r="H253" s="2">
        <v>26.480899999999998</v>
      </c>
      <c r="I253" s="2">
        <v>7.3400000000000007E-2</v>
      </c>
      <c r="J253" s="2" t="s">
        <v>24</v>
      </c>
      <c r="K253" s="2">
        <v>1401.9</v>
      </c>
      <c r="L253" s="2">
        <v>2</v>
      </c>
      <c r="M253" s="2" t="s">
        <v>18</v>
      </c>
      <c r="N253" s="10">
        <v>21</v>
      </c>
    </row>
    <row r="254" spans="1:14" x14ac:dyDescent="0.2">
      <c r="A254" s="9" t="s">
        <v>18</v>
      </c>
      <c r="B254" s="3">
        <v>45609</v>
      </c>
      <c r="C254" s="2">
        <v>28</v>
      </c>
      <c r="D254" s="2">
        <v>37</v>
      </c>
      <c r="E254" s="2" t="s">
        <v>13</v>
      </c>
      <c r="F254" s="2">
        <v>4</v>
      </c>
      <c r="G254" s="2">
        <v>1</v>
      </c>
      <c r="H254" s="2">
        <v>47.090499999999999</v>
      </c>
      <c r="I254" s="2">
        <v>0.1305</v>
      </c>
      <c r="J254" s="2" t="s">
        <v>24</v>
      </c>
      <c r="K254" s="2">
        <v>1723</v>
      </c>
      <c r="L254" s="2">
        <v>2</v>
      </c>
      <c r="M254" s="2" t="s">
        <v>18</v>
      </c>
      <c r="N254" s="10">
        <v>19</v>
      </c>
    </row>
    <row r="255" spans="1:14" x14ac:dyDescent="0.2">
      <c r="A255" s="9" t="s">
        <v>18</v>
      </c>
      <c r="B255" s="3">
        <v>45609</v>
      </c>
      <c r="C255" s="2">
        <v>28</v>
      </c>
      <c r="D255" s="2">
        <v>38</v>
      </c>
      <c r="E255" s="2" t="s">
        <v>13</v>
      </c>
      <c r="F255" s="2">
        <v>4</v>
      </c>
      <c r="G255" s="2">
        <v>2</v>
      </c>
      <c r="H255" s="2">
        <v>47.090499999999999</v>
      </c>
      <c r="I255" s="2">
        <v>0.1305</v>
      </c>
      <c r="J255" s="2" t="s">
        <v>19</v>
      </c>
      <c r="K255" s="2">
        <v>1066.5</v>
      </c>
      <c r="L255" s="2">
        <v>2</v>
      </c>
      <c r="M255" s="2" t="s">
        <v>18</v>
      </c>
      <c r="N255" s="10">
        <v>11</v>
      </c>
    </row>
    <row r="256" spans="1:14" x14ac:dyDescent="0.2">
      <c r="A256" s="9" t="s">
        <v>18</v>
      </c>
      <c r="B256" s="3">
        <v>45609</v>
      </c>
      <c r="C256" s="2">
        <v>28</v>
      </c>
      <c r="D256" s="2">
        <v>39</v>
      </c>
      <c r="E256" s="2" t="s">
        <v>13</v>
      </c>
      <c r="F256" s="2">
        <v>5</v>
      </c>
      <c r="G256" s="2">
        <v>1</v>
      </c>
      <c r="H256" s="2">
        <v>83.740099999999998</v>
      </c>
      <c r="I256" s="2">
        <v>0.2321</v>
      </c>
      <c r="J256" s="2" t="s">
        <v>19</v>
      </c>
      <c r="K256" s="2">
        <v>1355</v>
      </c>
      <c r="L256" s="2">
        <v>2</v>
      </c>
      <c r="M256" s="2" t="s">
        <v>18</v>
      </c>
      <c r="N256" s="10">
        <v>14</v>
      </c>
    </row>
    <row r="257" spans="1:14" x14ac:dyDescent="0.2">
      <c r="A257" s="9" t="s">
        <v>18</v>
      </c>
      <c r="B257" s="3">
        <v>45609</v>
      </c>
      <c r="C257" s="2">
        <v>28</v>
      </c>
      <c r="D257" s="2">
        <v>40</v>
      </c>
      <c r="E257" s="2" t="s">
        <v>13</v>
      </c>
      <c r="F257" s="2">
        <v>5</v>
      </c>
      <c r="G257" s="2">
        <v>2</v>
      </c>
      <c r="H257" s="2">
        <v>83.740099999999998</v>
      </c>
      <c r="I257" s="2">
        <v>0.2321</v>
      </c>
      <c r="J257" s="2" t="s">
        <v>20</v>
      </c>
      <c r="K257" s="2">
        <v>1158.4000000000001</v>
      </c>
      <c r="L257" s="2">
        <v>2</v>
      </c>
      <c r="M257" s="2" t="s">
        <v>18</v>
      </c>
      <c r="N257" s="10">
        <v>10</v>
      </c>
    </row>
    <row r="258" spans="1:14" x14ac:dyDescent="0.2">
      <c r="A258" s="9" t="s">
        <v>18</v>
      </c>
      <c r="B258" s="3">
        <v>45609</v>
      </c>
      <c r="C258" s="2">
        <v>28</v>
      </c>
      <c r="D258" s="2">
        <v>41</v>
      </c>
      <c r="E258" s="2" t="s">
        <v>13</v>
      </c>
      <c r="F258" s="2">
        <v>6</v>
      </c>
      <c r="G258" s="2">
        <v>1</v>
      </c>
      <c r="H258" s="2">
        <v>148.91319999999999</v>
      </c>
      <c r="I258" s="2">
        <v>0.4128</v>
      </c>
      <c r="J258" s="2" t="s">
        <v>20</v>
      </c>
      <c r="K258" s="2">
        <v>1212.5999999999999</v>
      </c>
      <c r="L258" s="2">
        <v>2</v>
      </c>
      <c r="M258" s="2" t="s">
        <v>18</v>
      </c>
      <c r="N258" s="10">
        <v>9</v>
      </c>
    </row>
    <row r="259" spans="1:14" x14ac:dyDescent="0.2">
      <c r="A259" s="9" t="s">
        <v>18</v>
      </c>
      <c r="B259" s="3">
        <v>45609</v>
      </c>
      <c r="C259" s="2">
        <v>28</v>
      </c>
      <c r="D259" s="2">
        <v>42</v>
      </c>
      <c r="E259" s="2" t="s">
        <v>13</v>
      </c>
      <c r="F259" s="2">
        <v>6</v>
      </c>
      <c r="G259" s="2">
        <v>2</v>
      </c>
      <c r="H259" s="2">
        <v>148.91319999999999</v>
      </c>
      <c r="I259" s="2">
        <v>0.4128</v>
      </c>
      <c r="J259" s="2" t="s">
        <v>19</v>
      </c>
      <c r="K259" s="2">
        <v>1038.4000000000001</v>
      </c>
      <c r="L259" s="2">
        <v>2</v>
      </c>
      <c r="M259" s="2" t="s">
        <v>18</v>
      </c>
      <c r="N259" s="10">
        <v>6</v>
      </c>
    </row>
    <row r="260" spans="1:14" x14ac:dyDescent="0.2">
      <c r="A260" s="9" t="s">
        <v>18</v>
      </c>
      <c r="B260" s="3">
        <v>45609</v>
      </c>
      <c r="C260" s="2">
        <v>28</v>
      </c>
      <c r="D260" s="2">
        <v>43</v>
      </c>
      <c r="E260" s="2" t="s">
        <v>13</v>
      </c>
      <c r="F260" s="2">
        <v>7</v>
      </c>
      <c r="G260" s="2">
        <v>1</v>
      </c>
      <c r="H260" s="2">
        <v>264.80930000000001</v>
      </c>
      <c r="I260" s="2">
        <v>0.73409999999999997</v>
      </c>
      <c r="J260" s="2" t="s">
        <v>19</v>
      </c>
      <c r="K260" s="2">
        <v>1147.5</v>
      </c>
      <c r="L260" s="2">
        <v>2</v>
      </c>
      <c r="M260" s="2" t="s">
        <v>18</v>
      </c>
      <c r="N260" s="10">
        <v>5</v>
      </c>
    </row>
    <row r="261" spans="1:14" x14ac:dyDescent="0.2">
      <c r="A261" s="9" t="s">
        <v>18</v>
      </c>
      <c r="B261" s="3">
        <v>45609</v>
      </c>
      <c r="C261" s="2">
        <v>28</v>
      </c>
      <c r="D261" s="2">
        <v>44</v>
      </c>
      <c r="E261" s="2" t="s">
        <v>13</v>
      </c>
      <c r="F261" s="2">
        <v>7</v>
      </c>
      <c r="G261" s="2">
        <v>2</v>
      </c>
      <c r="H261" s="2">
        <v>264.80930000000001</v>
      </c>
      <c r="I261" s="2">
        <v>0.73409999999999997</v>
      </c>
      <c r="J261" s="2" t="s">
        <v>20</v>
      </c>
      <c r="K261" s="2">
        <v>995.5</v>
      </c>
      <c r="L261" s="2">
        <v>2</v>
      </c>
      <c r="M261" s="2" t="s">
        <v>18</v>
      </c>
      <c r="N261" s="10">
        <v>5</v>
      </c>
    </row>
    <row r="262" spans="1:14" x14ac:dyDescent="0.2">
      <c r="A262" s="9" t="s">
        <v>18</v>
      </c>
      <c r="B262" s="3">
        <v>45609</v>
      </c>
      <c r="C262" s="2">
        <v>28</v>
      </c>
      <c r="D262" s="2">
        <v>45</v>
      </c>
      <c r="E262" s="2" t="s">
        <v>14</v>
      </c>
      <c r="F262" s="2">
        <v>1</v>
      </c>
      <c r="G262" s="2">
        <v>1</v>
      </c>
      <c r="H262" s="2">
        <v>0.23549999999999999</v>
      </c>
      <c r="I262" s="2">
        <v>2E-3</v>
      </c>
      <c r="J262" s="2" t="s">
        <v>19</v>
      </c>
      <c r="K262" s="2">
        <v>1387.2</v>
      </c>
      <c r="L262" s="2">
        <v>2</v>
      </c>
      <c r="M262" s="2" t="s">
        <v>18</v>
      </c>
      <c r="N262" s="10">
        <v>13</v>
      </c>
    </row>
    <row r="263" spans="1:14" x14ac:dyDescent="0.2">
      <c r="A263" s="9" t="s">
        <v>18</v>
      </c>
      <c r="B263" s="3">
        <v>45609</v>
      </c>
      <c r="C263" s="2">
        <v>28</v>
      </c>
      <c r="D263" s="2">
        <v>46</v>
      </c>
      <c r="E263" s="2" t="s">
        <v>14</v>
      </c>
      <c r="F263" s="2">
        <v>1</v>
      </c>
      <c r="G263" s="2">
        <v>2</v>
      </c>
      <c r="H263" s="2">
        <v>0.23549999999999999</v>
      </c>
      <c r="I263" s="2">
        <v>2E-3</v>
      </c>
      <c r="J263" s="2" t="s">
        <v>20</v>
      </c>
      <c r="K263" s="2">
        <v>1521</v>
      </c>
      <c r="L263" s="2">
        <v>2</v>
      </c>
      <c r="M263" s="2" t="s">
        <v>18</v>
      </c>
      <c r="N263" s="10">
        <v>19</v>
      </c>
    </row>
    <row r="264" spans="1:14" x14ac:dyDescent="0.2">
      <c r="A264" s="9" t="s">
        <v>18</v>
      </c>
      <c r="B264" s="3">
        <v>45609</v>
      </c>
      <c r="C264" s="2">
        <v>28</v>
      </c>
      <c r="D264" s="2">
        <v>47</v>
      </c>
      <c r="E264" s="2" t="s">
        <v>14</v>
      </c>
      <c r="F264" s="2">
        <v>2</v>
      </c>
      <c r="G264" s="2">
        <v>1</v>
      </c>
      <c r="H264" s="2">
        <v>2.3544999999999998</v>
      </c>
      <c r="I264" s="2">
        <v>1.9599999999999999E-2</v>
      </c>
      <c r="J264" s="2" t="s">
        <v>20</v>
      </c>
      <c r="K264" s="2">
        <v>1297.9000000000001</v>
      </c>
      <c r="L264" s="2">
        <v>2</v>
      </c>
      <c r="M264" s="2" t="s">
        <v>18</v>
      </c>
      <c r="N264" s="10">
        <v>10</v>
      </c>
    </row>
    <row r="265" spans="1:14" x14ac:dyDescent="0.2">
      <c r="A265" s="9" t="s">
        <v>18</v>
      </c>
      <c r="B265" s="3">
        <v>45609</v>
      </c>
      <c r="C265" s="2">
        <v>28</v>
      </c>
      <c r="D265" s="2">
        <v>48</v>
      </c>
      <c r="E265" s="2" t="s">
        <v>14</v>
      </c>
      <c r="F265" s="2">
        <v>2</v>
      </c>
      <c r="G265" s="2">
        <v>2</v>
      </c>
      <c r="H265" s="2">
        <v>2.3544999999999998</v>
      </c>
      <c r="I265" s="2">
        <v>1.9599999999999999E-2</v>
      </c>
      <c r="J265" s="2" t="s">
        <v>22</v>
      </c>
      <c r="K265" s="2">
        <v>1969.5</v>
      </c>
      <c r="L265" s="2">
        <v>2</v>
      </c>
      <c r="M265" s="2" t="s">
        <v>18</v>
      </c>
      <c r="N265" s="10">
        <v>15</v>
      </c>
    </row>
    <row r="266" spans="1:14" x14ac:dyDescent="0.2">
      <c r="A266" s="9" t="s">
        <v>18</v>
      </c>
      <c r="B266" s="3">
        <v>45609</v>
      </c>
      <c r="C266" s="2">
        <v>28</v>
      </c>
      <c r="D266" s="2">
        <v>49</v>
      </c>
      <c r="E266" s="2" t="s">
        <v>14</v>
      </c>
      <c r="F266" s="2">
        <v>3</v>
      </c>
      <c r="G266" s="2">
        <v>1</v>
      </c>
      <c r="H266" s="2">
        <v>13.240500000000001</v>
      </c>
      <c r="I266" s="2">
        <v>0.1101</v>
      </c>
      <c r="J266" s="2" t="s">
        <v>19</v>
      </c>
      <c r="K266" s="2">
        <v>1321.4</v>
      </c>
      <c r="L266" s="2">
        <v>2</v>
      </c>
      <c r="M266" s="2" t="s">
        <v>18</v>
      </c>
      <c r="N266" s="10">
        <v>17</v>
      </c>
    </row>
    <row r="267" spans="1:14" x14ac:dyDescent="0.2">
      <c r="A267" s="9" t="s">
        <v>18</v>
      </c>
      <c r="B267" s="3">
        <v>45609</v>
      </c>
      <c r="C267" s="2">
        <v>28</v>
      </c>
      <c r="D267" s="2">
        <v>50</v>
      </c>
      <c r="E267" s="2" t="s">
        <v>14</v>
      </c>
      <c r="F267" s="2">
        <v>3</v>
      </c>
      <c r="G267" s="2">
        <v>2</v>
      </c>
      <c r="H267" s="2">
        <v>13.240500000000001</v>
      </c>
      <c r="I267" s="2">
        <v>0.1101</v>
      </c>
      <c r="J267" s="2" t="s">
        <v>24</v>
      </c>
      <c r="K267" s="2">
        <v>2090.8000000000002</v>
      </c>
      <c r="L267" s="2">
        <v>2</v>
      </c>
      <c r="M267" s="2" t="s">
        <v>18</v>
      </c>
      <c r="N267" s="10">
        <v>16</v>
      </c>
    </row>
    <row r="268" spans="1:14" x14ac:dyDescent="0.2">
      <c r="A268" s="9" t="s">
        <v>18</v>
      </c>
      <c r="B268" s="3">
        <v>45609</v>
      </c>
      <c r="C268" s="2">
        <v>28</v>
      </c>
      <c r="D268" s="2">
        <v>51</v>
      </c>
      <c r="E268" s="2" t="s">
        <v>14</v>
      </c>
      <c r="F268" s="2">
        <v>4</v>
      </c>
      <c r="G268" s="2">
        <v>1</v>
      </c>
      <c r="H268" s="2">
        <v>23.545200000000001</v>
      </c>
      <c r="I268" s="2">
        <v>0.1958</v>
      </c>
      <c r="J268" s="2" t="s">
        <v>19</v>
      </c>
      <c r="K268" s="2">
        <v>1567.2</v>
      </c>
      <c r="L268" s="2">
        <v>2</v>
      </c>
      <c r="M268" s="2" t="s">
        <v>18</v>
      </c>
      <c r="N268" s="10">
        <v>17</v>
      </c>
    </row>
    <row r="269" spans="1:14" x14ac:dyDescent="0.2">
      <c r="A269" s="9" t="s">
        <v>18</v>
      </c>
      <c r="B269" s="3">
        <v>45609</v>
      </c>
      <c r="C269" s="2">
        <v>28</v>
      </c>
      <c r="D269" s="2">
        <v>52</v>
      </c>
      <c r="E269" s="2" t="s">
        <v>14</v>
      </c>
      <c r="F269" s="2">
        <v>4</v>
      </c>
      <c r="G269" s="2">
        <v>2</v>
      </c>
      <c r="H269" s="2">
        <v>23.545200000000001</v>
      </c>
      <c r="I269" s="2">
        <v>0.1958</v>
      </c>
      <c r="J269" s="2" t="s">
        <v>24</v>
      </c>
      <c r="K269" s="2">
        <v>1993.8</v>
      </c>
      <c r="L269" s="2">
        <v>2</v>
      </c>
      <c r="M269" s="2" t="s">
        <v>18</v>
      </c>
      <c r="N269" s="10">
        <v>14</v>
      </c>
    </row>
    <row r="270" spans="1:14" x14ac:dyDescent="0.2">
      <c r="A270" s="9" t="s">
        <v>18</v>
      </c>
      <c r="B270" s="3">
        <v>45609</v>
      </c>
      <c r="C270" s="2">
        <v>28</v>
      </c>
      <c r="D270" s="2">
        <v>53</v>
      </c>
      <c r="E270" s="2" t="s">
        <v>14</v>
      </c>
      <c r="F270" s="2">
        <v>5</v>
      </c>
      <c r="G270" s="2">
        <v>1</v>
      </c>
      <c r="H270" s="2">
        <v>41.87</v>
      </c>
      <c r="I270" s="2">
        <v>0.34820000000000001</v>
      </c>
      <c r="J270" s="2" t="s">
        <v>20</v>
      </c>
      <c r="K270" s="2">
        <v>1400</v>
      </c>
      <c r="L270" s="2">
        <v>2</v>
      </c>
      <c r="M270" s="2" t="s">
        <v>18</v>
      </c>
      <c r="N270" s="10">
        <v>17</v>
      </c>
    </row>
    <row r="271" spans="1:14" x14ac:dyDescent="0.2">
      <c r="A271" s="9" t="s">
        <v>18</v>
      </c>
      <c r="B271" s="3">
        <v>45609</v>
      </c>
      <c r="C271" s="2">
        <v>28</v>
      </c>
      <c r="D271" s="2">
        <v>54</v>
      </c>
      <c r="E271" s="2" t="s">
        <v>14</v>
      </c>
      <c r="F271" s="2">
        <v>5</v>
      </c>
      <c r="G271" s="2">
        <v>2</v>
      </c>
      <c r="H271" s="2">
        <v>41.87</v>
      </c>
      <c r="I271" s="2">
        <v>0.34820000000000001</v>
      </c>
      <c r="J271" s="2" t="s">
        <v>21</v>
      </c>
      <c r="K271" s="2">
        <v>1740.1</v>
      </c>
      <c r="L271" s="2">
        <v>2</v>
      </c>
      <c r="M271" s="2" t="s">
        <v>18</v>
      </c>
      <c r="N271" s="10">
        <v>20</v>
      </c>
    </row>
    <row r="272" spans="1:14" x14ac:dyDescent="0.2">
      <c r="A272" s="9" t="s">
        <v>18</v>
      </c>
      <c r="B272" s="3">
        <v>45609</v>
      </c>
      <c r="C272" s="2">
        <v>28</v>
      </c>
      <c r="D272" s="2">
        <v>55</v>
      </c>
      <c r="E272" s="2" t="s">
        <v>14</v>
      </c>
      <c r="F272" s="2">
        <v>6</v>
      </c>
      <c r="G272" s="2">
        <v>1</v>
      </c>
      <c r="H272" s="2">
        <v>74.456599999999995</v>
      </c>
      <c r="I272" s="2">
        <v>0.61919999999999997</v>
      </c>
      <c r="J272" s="2" t="s">
        <v>19</v>
      </c>
      <c r="K272" s="2">
        <v>1277.9000000000001</v>
      </c>
      <c r="L272" s="2">
        <v>2</v>
      </c>
      <c r="M272" s="2" t="s">
        <v>18</v>
      </c>
      <c r="N272" s="10">
        <v>8</v>
      </c>
    </row>
    <row r="273" spans="1:14" x14ac:dyDescent="0.2">
      <c r="A273" s="9" t="s">
        <v>18</v>
      </c>
      <c r="B273" s="3">
        <v>45609</v>
      </c>
      <c r="C273" s="2">
        <v>28</v>
      </c>
      <c r="D273" s="2">
        <v>56</v>
      </c>
      <c r="E273" s="2" t="s">
        <v>14</v>
      </c>
      <c r="F273" s="2">
        <v>6</v>
      </c>
      <c r="G273" s="2">
        <v>2</v>
      </c>
      <c r="H273" s="2">
        <v>74.456599999999995</v>
      </c>
      <c r="I273" s="2">
        <v>0.61919999999999997</v>
      </c>
      <c r="J273" s="2" t="s">
        <v>24</v>
      </c>
      <c r="K273" s="2">
        <v>1722.2</v>
      </c>
      <c r="L273" s="2">
        <v>2</v>
      </c>
      <c r="M273" s="2" t="s">
        <v>18</v>
      </c>
      <c r="N273" s="10">
        <v>16</v>
      </c>
    </row>
    <row r="274" spans="1:14" x14ac:dyDescent="0.2">
      <c r="A274" s="9" t="s">
        <v>18</v>
      </c>
      <c r="B274" s="3">
        <v>45609</v>
      </c>
      <c r="C274" s="2">
        <v>28</v>
      </c>
      <c r="D274" s="2">
        <v>57</v>
      </c>
      <c r="E274" s="2" t="s">
        <v>14</v>
      </c>
      <c r="F274" s="2">
        <v>7</v>
      </c>
      <c r="G274" s="2">
        <v>1</v>
      </c>
      <c r="H274" s="2">
        <v>132.40469999999999</v>
      </c>
      <c r="I274" s="2">
        <v>1.1012</v>
      </c>
      <c r="J274" s="2" t="s">
        <v>24</v>
      </c>
      <c r="K274" s="2">
        <v>1313.4</v>
      </c>
      <c r="L274" s="2">
        <v>2</v>
      </c>
      <c r="M274" s="2" t="s">
        <v>18</v>
      </c>
      <c r="N274" s="10">
        <v>4</v>
      </c>
    </row>
    <row r="275" spans="1:14" x14ac:dyDescent="0.2">
      <c r="A275" s="9" t="s">
        <v>18</v>
      </c>
      <c r="B275" s="3">
        <v>45609</v>
      </c>
      <c r="C275" s="2">
        <v>28</v>
      </c>
      <c r="D275" s="2">
        <v>58</v>
      </c>
      <c r="E275" s="2" t="s">
        <v>14</v>
      </c>
      <c r="F275" s="2">
        <v>7</v>
      </c>
      <c r="G275" s="2">
        <v>2</v>
      </c>
      <c r="H275" s="2">
        <v>132.40469999999999</v>
      </c>
      <c r="I275" s="2">
        <v>1.1012</v>
      </c>
      <c r="J275" s="2" t="s">
        <v>20</v>
      </c>
      <c r="K275" s="2">
        <v>1135.7</v>
      </c>
      <c r="L275" s="2">
        <v>2</v>
      </c>
      <c r="M275" s="2" t="s">
        <v>18</v>
      </c>
      <c r="N275" s="10">
        <v>8</v>
      </c>
    </row>
    <row r="276" spans="1:14" x14ac:dyDescent="0.2">
      <c r="A276" s="9" t="s">
        <v>18</v>
      </c>
      <c r="B276" s="3">
        <v>45609</v>
      </c>
      <c r="C276" s="2">
        <v>28</v>
      </c>
      <c r="D276" s="2">
        <v>59</v>
      </c>
      <c r="E276" s="4" t="s">
        <v>15</v>
      </c>
      <c r="F276" s="4">
        <v>1</v>
      </c>
      <c r="G276" s="4">
        <v>1</v>
      </c>
      <c r="H276" s="2">
        <v>0</v>
      </c>
      <c r="I276" s="2">
        <v>2.5999999999999999E-3</v>
      </c>
      <c r="J276" s="2" t="s">
        <v>19</v>
      </c>
      <c r="K276" s="2">
        <v>1428.7</v>
      </c>
      <c r="L276" s="2">
        <v>2</v>
      </c>
      <c r="M276" s="2" t="s">
        <v>18</v>
      </c>
      <c r="N276" s="10">
        <v>9</v>
      </c>
    </row>
    <row r="277" spans="1:14" x14ac:dyDescent="0.2">
      <c r="A277" s="9" t="s">
        <v>18</v>
      </c>
      <c r="B277" s="3">
        <v>45609</v>
      </c>
      <c r="C277" s="2">
        <v>28</v>
      </c>
      <c r="D277" s="2">
        <v>60</v>
      </c>
      <c r="E277" s="4" t="s">
        <v>15</v>
      </c>
      <c r="F277" s="4">
        <v>1</v>
      </c>
      <c r="G277" s="4">
        <v>2</v>
      </c>
      <c r="H277" s="2">
        <v>0</v>
      </c>
      <c r="I277" s="2">
        <v>2.5999999999999999E-3</v>
      </c>
      <c r="J277" s="2" t="s">
        <v>20</v>
      </c>
      <c r="K277" s="2">
        <v>1693.5</v>
      </c>
      <c r="L277" s="2">
        <v>2</v>
      </c>
      <c r="M277" s="2" t="s">
        <v>18</v>
      </c>
      <c r="N277" s="10">
        <v>28</v>
      </c>
    </row>
    <row r="278" spans="1:14" x14ac:dyDescent="0.2">
      <c r="A278" s="9" t="s">
        <v>18</v>
      </c>
      <c r="B278" s="3">
        <v>45609</v>
      </c>
      <c r="C278" s="2">
        <v>28</v>
      </c>
      <c r="D278" s="2">
        <v>61</v>
      </c>
      <c r="E278" s="4" t="s">
        <v>15</v>
      </c>
      <c r="F278" s="4">
        <v>2</v>
      </c>
      <c r="G278" s="4">
        <v>1</v>
      </c>
      <c r="H278" s="2">
        <v>0</v>
      </c>
      <c r="I278" s="2">
        <v>2.6100000000000002E-2</v>
      </c>
      <c r="J278" s="2" t="s">
        <v>23</v>
      </c>
      <c r="K278" s="2">
        <v>1979.4</v>
      </c>
      <c r="L278" s="2">
        <v>2</v>
      </c>
      <c r="M278" s="2" t="s">
        <v>18</v>
      </c>
      <c r="N278" s="10">
        <v>23</v>
      </c>
    </row>
    <row r="279" spans="1:14" x14ac:dyDescent="0.2">
      <c r="A279" s="9" t="s">
        <v>18</v>
      </c>
      <c r="B279" s="3">
        <v>45609</v>
      </c>
      <c r="C279" s="2">
        <v>28</v>
      </c>
      <c r="D279" s="2">
        <v>62</v>
      </c>
      <c r="E279" s="4" t="s">
        <v>15</v>
      </c>
      <c r="F279" s="4">
        <v>2</v>
      </c>
      <c r="G279" s="4">
        <v>2</v>
      </c>
      <c r="H279" s="2">
        <v>0</v>
      </c>
      <c r="I279" s="2">
        <v>2.6100000000000002E-2</v>
      </c>
      <c r="J279" s="2" t="s">
        <v>19</v>
      </c>
      <c r="K279" s="2">
        <v>1803.2</v>
      </c>
      <c r="L279" s="2">
        <v>2</v>
      </c>
      <c r="M279" s="2" t="s">
        <v>18</v>
      </c>
      <c r="N279" s="10">
        <v>24</v>
      </c>
    </row>
    <row r="280" spans="1:14" x14ac:dyDescent="0.2">
      <c r="A280" s="9" t="s">
        <v>18</v>
      </c>
      <c r="B280" s="3">
        <v>45609</v>
      </c>
      <c r="C280" s="2">
        <v>28</v>
      </c>
      <c r="D280" s="2">
        <v>63</v>
      </c>
      <c r="E280" s="4" t="s">
        <v>15</v>
      </c>
      <c r="F280" s="4">
        <v>3</v>
      </c>
      <c r="G280" s="4">
        <v>1</v>
      </c>
      <c r="H280" s="2">
        <v>0</v>
      </c>
      <c r="I280" s="2">
        <v>0.14680000000000001</v>
      </c>
      <c r="J280" s="2" t="s">
        <v>23</v>
      </c>
      <c r="K280" s="2">
        <v>2338.4</v>
      </c>
      <c r="L280" s="2">
        <v>2</v>
      </c>
      <c r="M280" s="2" t="s">
        <v>18</v>
      </c>
      <c r="N280" s="10">
        <v>18</v>
      </c>
    </row>
    <row r="281" spans="1:14" x14ac:dyDescent="0.2">
      <c r="A281" s="9" t="s">
        <v>18</v>
      </c>
      <c r="B281" s="3">
        <v>45609</v>
      </c>
      <c r="C281" s="2">
        <v>28</v>
      </c>
      <c r="D281" s="2">
        <v>64</v>
      </c>
      <c r="E281" s="4" t="s">
        <v>15</v>
      </c>
      <c r="F281" s="4">
        <v>3</v>
      </c>
      <c r="G281" s="4">
        <v>2</v>
      </c>
      <c r="H281" s="2">
        <v>0</v>
      </c>
      <c r="I281" s="2">
        <v>0.14680000000000001</v>
      </c>
      <c r="J281" s="2" t="s">
        <v>19</v>
      </c>
      <c r="K281" s="2">
        <v>1612.2</v>
      </c>
      <c r="L281" s="2">
        <v>2</v>
      </c>
      <c r="M281" s="2" t="s">
        <v>18</v>
      </c>
      <c r="N281" s="10">
        <v>23</v>
      </c>
    </row>
    <row r="282" spans="1:14" x14ac:dyDescent="0.2">
      <c r="A282" s="9" t="s">
        <v>18</v>
      </c>
      <c r="B282" s="3">
        <v>45609</v>
      </c>
      <c r="C282" s="2">
        <v>28</v>
      </c>
      <c r="D282" s="2">
        <v>65</v>
      </c>
      <c r="E282" s="4" t="s">
        <v>15</v>
      </c>
      <c r="F282" s="4">
        <v>4</v>
      </c>
      <c r="G282" s="4">
        <v>1</v>
      </c>
      <c r="H282" s="2">
        <v>0</v>
      </c>
      <c r="I282" s="2">
        <v>0.2611</v>
      </c>
      <c r="J282" s="2" t="s">
        <v>25</v>
      </c>
      <c r="K282" s="2">
        <v>1846.2</v>
      </c>
      <c r="L282" s="2">
        <v>2</v>
      </c>
      <c r="M282" s="2" t="s">
        <v>18</v>
      </c>
      <c r="N282" s="10">
        <v>19</v>
      </c>
    </row>
    <row r="283" spans="1:14" x14ac:dyDescent="0.2">
      <c r="A283" s="9" t="s">
        <v>18</v>
      </c>
      <c r="B283" s="3">
        <v>45609</v>
      </c>
      <c r="C283" s="2">
        <v>28</v>
      </c>
      <c r="D283" s="2">
        <v>66</v>
      </c>
      <c r="E283" s="4" t="s">
        <v>15</v>
      </c>
      <c r="F283" s="4">
        <v>4</v>
      </c>
      <c r="G283" s="4">
        <v>2</v>
      </c>
      <c r="H283" s="2">
        <v>0</v>
      </c>
      <c r="I283" s="2">
        <v>0.2611</v>
      </c>
      <c r="J283" s="2" t="s">
        <v>20</v>
      </c>
      <c r="K283" s="2">
        <v>1480.1</v>
      </c>
      <c r="L283" s="2">
        <v>2</v>
      </c>
      <c r="M283" s="2" t="s">
        <v>18</v>
      </c>
      <c r="N283" s="10">
        <v>17</v>
      </c>
    </row>
    <row r="284" spans="1:14" x14ac:dyDescent="0.2">
      <c r="A284" s="9" t="s">
        <v>18</v>
      </c>
      <c r="B284" s="3">
        <v>45609</v>
      </c>
      <c r="C284" s="2">
        <v>28</v>
      </c>
      <c r="D284" s="2">
        <v>67</v>
      </c>
      <c r="E284" s="4" t="s">
        <v>15</v>
      </c>
      <c r="F284" s="4">
        <v>5</v>
      </c>
      <c r="G284" s="4">
        <v>1</v>
      </c>
      <c r="H284" s="2">
        <v>0</v>
      </c>
      <c r="I284" s="2">
        <v>0.46429999999999999</v>
      </c>
      <c r="J284" s="2" t="s">
        <v>19</v>
      </c>
      <c r="K284" s="2">
        <v>2156.1999999999998</v>
      </c>
      <c r="L284" s="2">
        <v>2</v>
      </c>
      <c r="M284" s="2" t="s">
        <v>18</v>
      </c>
      <c r="N284" s="10">
        <v>25</v>
      </c>
    </row>
    <row r="285" spans="1:14" x14ac:dyDescent="0.2">
      <c r="A285" s="9" t="s">
        <v>18</v>
      </c>
      <c r="B285" s="3">
        <v>45609</v>
      </c>
      <c r="C285" s="2">
        <v>28</v>
      </c>
      <c r="D285" s="2">
        <v>68</v>
      </c>
      <c r="E285" s="4" t="s">
        <v>15</v>
      </c>
      <c r="F285" s="4">
        <v>5</v>
      </c>
      <c r="G285" s="4">
        <v>2</v>
      </c>
      <c r="H285" s="2">
        <v>0</v>
      </c>
      <c r="I285" s="2">
        <v>0.46429999999999999</v>
      </c>
      <c r="J285" s="2" t="s">
        <v>24</v>
      </c>
      <c r="K285" s="2">
        <v>1969.5</v>
      </c>
      <c r="L285" s="2">
        <v>2</v>
      </c>
      <c r="M285" s="2" t="s">
        <v>18</v>
      </c>
      <c r="N285" s="10">
        <v>26</v>
      </c>
    </row>
    <row r="286" spans="1:14" x14ac:dyDescent="0.2">
      <c r="A286" s="9" t="s">
        <v>18</v>
      </c>
      <c r="B286" s="3">
        <v>45609</v>
      </c>
      <c r="C286" s="2">
        <v>28</v>
      </c>
      <c r="D286" s="2">
        <v>69</v>
      </c>
      <c r="E286" s="4" t="s">
        <v>15</v>
      </c>
      <c r="F286" s="4">
        <v>6</v>
      </c>
      <c r="G286" s="4">
        <v>1</v>
      </c>
      <c r="H286" s="2">
        <v>0</v>
      </c>
      <c r="I286" s="2">
        <v>0.8256</v>
      </c>
      <c r="J286" s="2" t="s">
        <v>24</v>
      </c>
      <c r="K286" s="2">
        <v>2218.1999999999998</v>
      </c>
      <c r="L286" s="2">
        <v>2</v>
      </c>
      <c r="M286" s="2" t="s">
        <v>18</v>
      </c>
      <c r="N286" s="10">
        <v>19</v>
      </c>
    </row>
    <row r="287" spans="1:14" x14ac:dyDescent="0.2">
      <c r="A287" s="9" t="s">
        <v>18</v>
      </c>
      <c r="B287" s="3">
        <v>45609</v>
      </c>
      <c r="C287" s="2">
        <v>28</v>
      </c>
      <c r="D287" s="2">
        <v>70</v>
      </c>
      <c r="E287" s="4" t="s">
        <v>15</v>
      </c>
      <c r="F287" s="4">
        <v>6</v>
      </c>
      <c r="G287" s="4">
        <v>2</v>
      </c>
      <c r="H287" s="2">
        <v>0</v>
      </c>
      <c r="I287" s="2">
        <v>0.8256</v>
      </c>
      <c r="J287" s="2" t="s">
        <v>19</v>
      </c>
      <c r="K287" s="2">
        <v>1809.8</v>
      </c>
      <c r="L287" s="2">
        <v>2</v>
      </c>
      <c r="M287" s="2" t="s">
        <v>18</v>
      </c>
      <c r="N287" s="10">
        <v>13</v>
      </c>
    </row>
    <row r="288" spans="1:14" x14ac:dyDescent="0.2">
      <c r="A288" s="9" t="s">
        <v>18</v>
      </c>
      <c r="B288" s="3">
        <v>45609</v>
      </c>
      <c r="C288" s="2">
        <v>28</v>
      </c>
      <c r="D288" s="2">
        <v>71</v>
      </c>
      <c r="E288" s="4" t="s">
        <v>15</v>
      </c>
      <c r="F288" s="4">
        <v>7</v>
      </c>
      <c r="G288" s="4">
        <v>1</v>
      </c>
      <c r="H288" s="2">
        <v>0</v>
      </c>
      <c r="I288" s="2">
        <v>1.4681999999999999</v>
      </c>
      <c r="J288" s="2" t="s">
        <v>19</v>
      </c>
      <c r="K288" s="2">
        <v>1667.7</v>
      </c>
      <c r="L288" s="2">
        <v>2</v>
      </c>
      <c r="M288" s="2" t="s">
        <v>18</v>
      </c>
      <c r="N288" s="10">
        <v>25</v>
      </c>
    </row>
    <row r="289" spans="1:15" ht="17" thickBot="1" x14ac:dyDescent="0.25">
      <c r="A289" s="15" t="s">
        <v>18</v>
      </c>
      <c r="B289" s="16">
        <v>45609</v>
      </c>
      <c r="C289" s="17">
        <v>28</v>
      </c>
      <c r="D289" s="17">
        <v>72</v>
      </c>
      <c r="E289" s="18" t="s">
        <v>15</v>
      </c>
      <c r="F289" s="18">
        <v>7</v>
      </c>
      <c r="G289" s="18">
        <v>2</v>
      </c>
      <c r="H289" s="17">
        <v>0</v>
      </c>
      <c r="I289" s="17">
        <v>1.4681999999999999</v>
      </c>
      <c r="J289" s="17" t="s">
        <v>26</v>
      </c>
      <c r="K289" s="17">
        <v>1678.9</v>
      </c>
      <c r="L289" s="17">
        <v>2</v>
      </c>
      <c r="M289" s="17" t="s">
        <v>18</v>
      </c>
      <c r="N289" s="19">
        <v>16</v>
      </c>
    </row>
    <row r="290" spans="1:15" x14ac:dyDescent="0.2">
      <c r="A290" s="5" t="s">
        <v>30</v>
      </c>
      <c r="B290" s="6">
        <v>45616</v>
      </c>
      <c r="C290" s="7">
        <v>28</v>
      </c>
      <c r="D290" s="7">
        <v>73</v>
      </c>
      <c r="E290" s="7" t="s">
        <v>16</v>
      </c>
      <c r="F290" s="7">
        <v>0</v>
      </c>
      <c r="G290" s="7">
        <v>3</v>
      </c>
      <c r="H290" s="7">
        <v>0</v>
      </c>
      <c r="I290" s="7">
        <v>0</v>
      </c>
      <c r="J290" s="7" t="s">
        <v>24</v>
      </c>
      <c r="K290" s="7">
        <v>1702</v>
      </c>
      <c r="L290" s="7">
        <v>2</v>
      </c>
      <c r="M290" s="7" t="s">
        <v>18</v>
      </c>
      <c r="N290" s="22">
        <v>0</v>
      </c>
    </row>
    <row r="291" spans="1:15" ht="17" thickBot="1" x14ac:dyDescent="0.25">
      <c r="A291" s="9" t="s">
        <v>30</v>
      </c>
      <c r="B291" s="3">
        <v>45616</v>
      </c>
      <c r="C291" s="2">
        <v>28</v>
      </c>
      <c r="D291" s="2">
        <v>74</v>
      </c>
      <c r="E291" s="2" t="s">
        <v>16</v>
      </c>
      <c r="F291" s="2">
        <v>0</v>
      </c>
      <c r="G291" s="2">
        <v>4</v>
      </c>
      <c r="H291" s="2">
        <v>0</v>
      </c>
      <c r="I291" s="2">
        <v>0</v>
      </c>
      <c r="J291" s="2" t="s">
        <v>19</v>
      </c>
      <c r="K291" s="2">
        <v>1910.9</v>
      </c>
      <c r="L291" s="2">
        <v>2</v>
      </c>
      <c r="M291" s="2" t="s">
        <v>18</v>
      </c>
      <c r="N291" s="21">
        <v>5</v>
      </c>
    </row>
    <row r="292" spans="1:15" x14ac:dyDescent="0.2">
      <c r="A292" s="9" t="s">
        <v>30</v>
      </c>
      <c r="B292" s="3">
        <v>45616</v>
      </c>
      <c r="C292" s="2">
        <v>28</v>
      </c>
      <c r="D292" s="2">
        <v>75</v>
      </c>
      <c r="E292" s="2" t="s">
        <v>11</v>
      </c>
      <c r="F292" s="2">
        <v>1</v>
      </c>
      <c r="G292" s="2">
        <v>3</v>
      </c>
      <c r="H292" s="2">
        <v>0.94179999999999997</v>
      </c>
      <c r="I292" s="2">
        <v>0</v>
      </c>
      <c r="J292" s="2" t="s">
        <v>21</v>
      </c>
      <c r="K292" s="2">
        <v>1584</v>
      </c>
      <c r="L292" s="2">
        <v>2</v>
      </c>
      <c r="M292" s="2" t="s">
        <v>18</v>
      </c>
      <c r="N292" s="8">
        <v>20</v>
      </c>
    </row>
    <row r="293" spans="1:15" x14ac:dyDescent="0.2">
      <c r="A293" s="9" t="s">
        <v>30</v>
      </c>
      <c r="B293" s="3">
        <v>45616</v>
      </c>
      <c r="C293" s="2">
        <v>28</v>
      </c>
      <c r="D293" s="2">
        <v>76</v>
      </c>
      <c r="E293" s="2" t="s">
        <v>11</v>
      </c>
      <c r="F293" s="2">
        <v>1</v>
      </c>
      <c r="G293" s="2">
        <v>4</v>
      </c>
      <c r="H293" s="2">
        <v>0.94179999999999997</v>
      </c>
      <c r="I293" s="2">
        <v>0</v>
      </c>
      <c r="J293" s="2" t="s">
        <v>24</v>
      </c>
      <c r="K293" s="2">
        <v>2008.2</v>
      </c>
      <c r="L293" s="2">
        <v>2</v>
      </c>
      <c r="M293" s="2" t="s">
        <v>18</v>
      </c>
      <c r="N293" s="10">
        <v>10</v>
      </c>
    </row>
    <row r="294" spans="1:15" x14ac:dyDescent="0.2">
      <c r="A294" s="9" t="s">
        <v>30</v>
      </c>
      <c r="B294" s="3">
        <v>45616</v>
      </c>
      <c r="C294" s="2">
        <v>28</v>
      </c>
      <c r="D294" s="2">
        <v>77</v>
      </c>
      <c r="E294" s="2" t="s">
        <v>11</v>
      </c>
      <c r="F294" s="2">
        <v>2</v>
      </c>
      <c r="G294" s="2">
        <v>3</v>
      </c>
      <c r="H294" s="2">
        <v>9.4181000000000008</v>
      </c>
      <c r="I294" s="2">
        <v>0</v>
      </c>
      <c r="J294" s="2" t="s">
        <v>24</v>
      </c>
      <c r="K294" s="2">
        <v>1697</v>
      </c>
      <c r="L294" s="2">
        <v>2</v>
      </c>
      <c r="M294" s="2" t="s">
        <v>18</v>
      </c>
      <c r="N294" s="10">
        <v>21</v>
      </c>
    </row>
    <row r="295" spans="1:15" x14ac:dyDescent="0.2">
      <c r="A295" s="9" t="s">
        <v>30</v>
      </c>
      <c r="B295" s="3">
        <v>45616</v>
      </c>
      <c r="C295" s="2">
        <v>28</v>
      </c>
      <c r="D295" s="2">
        <v>78</v>
      </c>
      <c r="E295" s="2" t="s">
        <v>11</v>
      </c>
      <c r="F295" s="2">
        <v>2</v>
      </c>
      <c r="G295" s="2">
        <v>4</v>
      </c>
      <c r="H295" s="2">
        <v>9.4181000000000008</v>
      </c>
      <c r="I295" s="2">
        <v>0</v>
      </c>
      <c r="J295" s="2" t="s">
        <v>19</v>
      </c>
      <c r="K295" s="2">
        <v>1650.4</v>
      </c>
      <c r="L295" s="2">
        <v>2</v>
      </c>
      <c r="M295" s="2" t="s">
        <v>18</v>
      </c>
      <c r="N295" s="10">
        <v>20</v>
      </c>
    </row>
    <row r="296" spans="1:15" x14ac:dyDescent="0.2">
      <c r="A296" s="9" t="s">
        <v>30</v>
      </c>
      <c r="B296" s="3">
        <v>45616</v>
      </c>
      <c r="C296" s="2">
        <v>28</v>
      </c>
      <c r="D296" s="2">
        <v>79</v>
      </c>
      <c r="E296" s="2" t="s">
        <v>11</v>
      </c>
      <c r="F296" s="2">
        <v>3</v>
      </c>
      <c r="G296" s="2">
        <v>3</v>
      </c>
      <c r="H296" s="2">
        <v>52.9619</v>
      </c>
      <c r="I296" s="2">
        <v>0</v>
      </c>
      <c r="J296" s="2" t="s">
        <v>19</v>
      </c>
      <c r="K296" s="2">
        <v>1326.9</v>
      </c>
      <c r="L296" s="2">
        <v>2</v>
      </c>
      <c r="M296" s="2" t="s">
        <v>18</v>
      </c>
      <c r="N296" s="10">
        <v>9</v>
      </c>
    </row>
    <row r="297" spans="1:15" x14ac:dyDescent="0.2">
      <c r="A297" s="9" t="s">
        <v>30</v>
      </c>
      <c r="B297" s="3">
        <v>45616</v>
      </c>
      <c r="C297" s="2">
        <v>28</v>
      </c>
      <c r="D297" s="2">
        <v>80</v>
      </c>
      <c r="E297" s="2" t="s">
        <v>11</v>
      </c>
      <c r="F297" s="2">
        <v>3</v>
      </c>
      <c r="G297" s="2">
        <v>4</v>
      </c>
      <c r="H297" s="2">
        <v>52.9619</v>
      </c>
      <c r="I297" s="2">
        <v>0</v>
      </c>
      <c r="J297" s="2" t="s">
        <v>21</v>
      </c>
      <c r="K297" s="2">
        <v>1472.9</v>
      </c>
      <c r="L297" s="2">
        <v>2</v>
      </c>
      <c r="M297" s="2" t="s">
        <v>18</v>
      </c>
      <c r="N297" s="10">
        <v>7</v>
      </c>
    </row>
    <row r="298" spans="1:15" x14ac:dyDescent="0.2">
      <c r="A298" s="9" t="s">
        <v>30</v>
      </c>
      <c r="B298" s="3">
        <v>45616</v>
      </c>
      <c r="C298" s="2">
        <v>28</v>
      </c>
      <c r="D298" s="2">
        <v>81</v>
      </c>
      <c r="E298" s="2" t="s">
        <v>11</v>
      </c>
      <c r="F298" s="2">
        <v>4</v>
      </c>
      <c r="G298" s="2">
        <v>3</v>
      </c>
      <c r="H298" s="2">
        <v>94.180999999999997</v>
      </c>
      <c r="I298" s="2">
        <v>0</v>
      </c>
      <c r="J298" s="2" t="s">
        <v>20</v>
      </c>
      <c r="K298" s="2">
        <v>1289</v>
      </c>
      <c r="L298" s="2">
        <v>2</v>
      </c>
      <c r="M298" s="2" t="s">
        <v>18</v>
      </c>
      <c r="N298" s="10">
        <v>11</v>
      </c>
      <c r="O298" t="s">
        <v>33</v>
      </c>
    </row>
    <row r="299" spans="1:15" x14ac:dyDescent="0.2">
      <c r="A299" s="9" t="s">
        <v>30</v>
      </c>
      <c r="B299" s="3">
        <v>45616</v>
      </c>
      <c r="C299" s="2">
        <v>28</v>
      </c>
      <c r="D299" s="2">
        <v>82</v>
      </c>
      <c r="E299" s="2" t="s">
        <v>11</v>
      </c>
      <c r="F299" s="2">
        <v>4</v>
      </c>
      <c r="G299" s="2">
        <v>4</v>
      </c>
      <c r="H299" s="2">
        <v>94.180999999999997</v>
      </c>
      <c r="I299" s="2">
        <v>0</v>
      </c>
      <c r="J299" s="2" t="s">
        <v>22</v>
      </c>
      <c r="K299" s="2">
        <v>1370.1</v>
      </c>
      <c r="L299" s="2">
        <v>2</v>
      </c>
      <c r="M299" s="2" t="s">
        <v>18</v>
      </c>
      <c r="N299" s="10">
        <v>19</v>
      </c>
    </row>
    <row r="300" spans="1:15" x14ac:dyDescent="0.2">
      <c r="A300" s="9" t="s">
        <v>30</v>
      </c>
      <c r="B300" s="3">
        <v>45616</v>
      </c>
      <c r="C300" s="2">
        <v>28</v>
      </c>
      <c r="D300" s="2">
        <v>83</v>
      </c>
      <c r="E300" s="2" t="s">
        <v>11</v>
      </c>
      <c r="F300" s="2">
        <v>5</v>
      </c>
      <c r="G300" s="2">
        <v>3</v>
      </c>
      <c r="H300" s="2">
        <v>167.48009999999999</v>
      </c>
      <c r="I300" s="2">
        <v>0</v>
      </c>
      <c r="J300" s="2" t="s">
        <v>22</v>
      </c>
      <c r="K300" s="2">
        <v>1325.6</v>
      </c>
      <c r="L300" s="2">
        <v>2</v>
      </c>
      <c r="M300" s="2" t="s">
        <v>18</v>
      </c>
      <c r="N300" s="10">
        <v>6</v>
      </c>
    </row>
    <row r="301" spans="1:15" x14ac:dyDescent="0.2">
      <c r="A301" s="9" t="s">
        <v>30</v>
      </c>
      <c r="B301" s="3">
        <v>45616</v>
      </c>
      <c r="C301" s="2">
        <v>28</v>
      </c>
      <c r="D301" s="2">
        <v>84</v>
      </c>
      <c r="E301" s="2" t="s">
        <v>11</v>
      </c>
      <c r="F301" s="2">
        <v>5</v>
      </c>
      <c r="G301" s="2">
        <v>4</v>
      </c>
      <c r="H301" s="2">
        <v>167.48009999999999</v>
      </c>
      <c r="I301" s="2">
        <v>0</v>
      </c>
      <c r="J301" s="2" t="s">
        <v>25</v>
      </c>
      <c r="K301" s="2">
        <v>909.4</v>
      </c>
      <c r="L301" s="2">
        <v>2</v>
      </c>
      <c r="M301" s="2" t="s">
        <v>18</v>
      </c>
      <c r="N301" s="10">
        <v>13</v>
      </c>
    </row>
    <row r="302" spans="1:15" x14ac:dyDescent="0.2">
      <c r="A302" s="9" t="s">
        <v>30</v>
      </c>
      <c r="B302" s="3">
        <v>45616</v>
      </c>
      <c r="C302" s="2">
        <v>28</v>
      </c>
      <c r="D302" s="2">
        <v>85</v>
      </c>
      <c r="E302" s="2" t="s">
        <v>11</v>
      </c>
      <c r="F302" s="2">
        <v>6</v>
      </c>
      <c r="G302" s="2">
        <v>3</v>
      </c>
      <c r="H302" s="2">
        <v>297.82639999999998</v>
      </c>
      <c r="I302" s="2">
        <v>0</v>
      </c>
      <c r="J302" s="2" t="s">
        <v>23</v>
      </c>
      <c r="K302" s="2">
        <v>1019.1</v>
      </c>
      <c r="L302" s="2">
        <v>2</v>
      </c>
      <c r="M302" s="2" t="s">
        <v>18</v>
      </c>
      <c r="N302" s="10">
        <v>7</v>
      </c>
    </row>
    <row r="303" spans="1:15" x14ac:dyDescent="0.2">
      <c r="A303" s="9" t="s">
        <v>30</v>
      </c>
      <c r="B303" s="3">
        <v>45616</v>
      </c>
      <c r="C303" s="2">
        <v>28</v>
      </c>
      <c r="D303" s="2">
        <v>86</v>
      </c>
      <c r="E303" s="2" t="s">
        <v>11</v>
      </c>
      <c r="F303" s="2">
        <v>6</v>
      </c>
      <c r="G303" s="2">
        <v>4</v>
      </c>
      <c r="H303" s="2">
        <v>297.82639999999998</v>
      </c>
      <c r="I303" s="2">
        <v>0</v>
      </c>
      <c r="J303" s="2" t="s">
        <v>21</v>
      </c>
      <c r="K303" s="2">
        <v>1208.8</v>
      </c>
      <c r="L303" s="2">
        <v>2</v>
      </c>
      <c r="M303" s="2" t="s">
        <v>18</v>
      </c>
      <c r="N303" s="10">
        <v>9</v>
      </c>
    </row>
    <row r="304" spans="1:15" x14ac:dyDescent="0.2">
      <c r="A304" s="9" t="s">
        <v>30</v>
      </c>
      <c r="B304" s="3">
        <v>45616</v>
      </c>
      <c r="C304" s="2">
        <v>28</v>
      </c>
      <c r="D304" s="2">
        <v>87</v>
      </c>
      <c r="E304" s="2" t="s">
        <v>11</v>
      </c>
      <c r="F304" s="2">
        <v>7</v>
      </c>
      <c r="G304" s="2">
        <v>3</v>
      </c>
      <c r="H304" s="2">
        <v>529.61860000000001</v>
      </c>
      <c r="I304" s="2">
        <v>0</v>
      </c>
      <c r="J304" s="2" t="s">
        <v>21</v>
      </c>
      <c r="K304" s="2">
        <v>638.29999999999995</v>
      </c>
      <c r="L304" s="2">
        <v>2</v>
      </c>
      <c r="M304" s="2" t="s">
        <v>18</v>
      </c>
      <c r="N304" s="10">
        <v>0</v>
      </c>
    </row>
    <row r="305" spans="1:14" x14ac:dyDescent="0.2">
      <c r="A305" s="9" t="s">
        <v>30</v>
      </c>
      <c r="B305" s="3">
        <v>45616</v>
      </c>
      <c r="C305" s="2">
        <v>28</v>
      </c>
      <c r="D305" s="2">
        <v>88</v>
      </c>
      <c r="E305" s="2" t="s">
        <v>11</v>
      </c>
      <c r="F305" s="2">
        <v>7</v>
      </c>
      <c r="G305" s="2">
        <v>4</v>
      </c>
      <c r="H305" s="2">
        <v>529.61860000000001</v>
      </c>
      <c r="I305" s="2">
        <v>0</v>
      </c>
      <c r="J305" s="2" t="s">
        <v>19</v>
      </c>
      <c r="K305" s="2">
        <v>941.3</v>
      </c>
      <c r="L305" s="2">
        <v>2</v>
      </c>
      <c r="M305" s="2" t="s">
        <v>18</v>
      </c>
      <c r="N305" s="10">
        <v>0</v>
      </c>
    </row>
    <row r="306" spans="1:14" x14ac:dyDescent="0.2">
      <c r="A306" s="9" t="s">
        <v>30</v>
      </c>
      <c r="B306" s="3">
        <v>45616</v>
      </c>
      <c r="C306" s="2">
        <v>28</v>
      </c>
      <c r="D306" s="2">
        <v>89</v>
      </c>
      <c r="E306" s="2" t="s">
        <v>12</v>
      </c>
      <c r="F306" s="2">
        <v>1</v>
      </c>
      <c r="G306" s="2">
        <v>3</v>
      </c>
      <c r="H306" s="2">
        <v>0.70640000000000003</v>
      </c>
      <c r="I306" s="2">
        <v>6.9999999999999999E-4</v>
      </c>
      <c r="J306" s="2" t="s">
        <v>19</v>
      </c>
      <c r="K306" s="2">
        <v>1208.5</v>
      </c>
      <c r="L306" s="2">
        <v>2</v>
      </c>
      <c r="M306" s="2" t="s">
        <v>18</v>
      </c>
      <c r="N306" s="10">
        <v>16</v>
      </c>
    </row>
    <row r="307" spans="1:14" x14ac:dyDescent="0.2">
      <c r="A307" s="9" t="s">
        <v>30</v>
      </c>
      <c r="B307" s="3">
        <v>45616</v>
      </c>
      <c r="C307" s="2">
        <v>28</v>
      </c>
      <c r="D307" s="2">
        <v>90</v>
      </c>
      <c r="E307" s="2" t="s">
        <v>12</v>
      </c>
      <c r="F307" s="2">
        <v>1</v>
      </c>
      <c r="G307" s="2">
        <v>4</v>
      </c>
      <c r="H307" s="2">
        <v>0.70640000000000003</v>
      </c>
      <c r="I307" s="2">
        <v>6.9999999999999999E-4</v>
      </c>
      <c r="J307" s="2" t="s">
        <v>24</v>
      </c>
      <c r="K307" s="2">
        <v>1456.5</v>
      </c>
      <c r="L307" s="2">
        <v>2</v>
      </c>
      <c r="M307" s="2" t="s">
        <v>18</v>
      </c>
      <c r="N307" s="10">
        <v>17</v>
      </c>
    </row>
    <row r="308" spans="1:14" x14ac:dyDescent="0.2">
      <c r="A308" s="9" t="s">
        <v>30</v>
      </c>
      <c r="B308" s="3">
        <v>45616</v>
      </c>
      <c r="C308" s="2">
        <v>28</v>
      </c>
      <c r="D308" s="2">
        <v>91</v>
      </c>
      <c r="E308" s="2" t="s">
        <v>12</v>
      </c>
      <c r="F308" s="2">
        <v>2</v>
      </c>
      <c r="G308" s="2">
        <v>3</v>
      </c>
      <c r="H308" s="2">
        <v>7.0636000000000001</v>
      </c>
      <c r="I308" s="2">
        <v>6.4999999999999997E-3</v>
      </c>
      <c r="J308" s="2" t="s">
        <v>24</v>
      </c>
      <c r="K308" s="2">
        <v>1814.9</v>
      </c>
      <c r="L308" s="2">
        <v>2</v>
      </c>
      <c r="M308" s="2" t="s">
        <v>18</v>
      </c>
      <c r="N308" s="10">
        <v>21</v>
      </c>
    </row>
    <row r="309" spans="1:14" x14ac:dyDescent="0.2">
      <c r="A309" s="9" t="s">
        <v>30</v>
      </c>
      <c r="B309" s="3">
        <v>45616</v>
      </c>
      <c r="C309" s="2">
        <v>28</v>
      </c>
      <c r="D309" s="2">
        <v>92</v>
      </c>
      <c r="E309" s="2" t="s">
        <v>12</v>
      </c>
      <c r="F309" s="2">
        <v>2</v>
      </c>
      <c r="G309" s="2">
        <v>4</v>
      </c>
      <c r="H309" s="2">
        <v>7.0636000000000001</v>
      </c>
      <c r="I309" s="2">
        <v>6.4999999999999997E-3</v>
      </c>
      <c r="J309" s="2" t="s">
        <v>21</v>
      </c>
      <c r="K309" s="2">
        <v>1479.6</v>
      </c>
      <c r="L309" s="2">
        <v>2</v>
      </c>
      <c r="M309" s="2" t="s">
        <v>18</v>
      </c>
      <c r="N309" s="10">
        <v>16</v>
      </c>
    </row>
    <row r="310" spans="1:14" x14ac:dyDescent="0.2">
      <c r="A310" s="9" t="s">
        <v>30</v>
      </c>
      <c r="B310" s="3">
        <v>45616</v>
      </c>
      <c r="C310" s="2">
        <v>28</v>
      </c>
      <c r="D310" s="2">
        <v>93</v>
      </c>
      <c r="E310" s="2" t="s">
        <v>12</v>
      </c>
      <c r="F310" s="2">
        <v>3</v>
      </c>
      <c r="G310" s="2">
        <v>3</v>
      </c>
      <c r="H310" s="2">
        <v>39.721400000000003</v>
      </c>
      <c r="I310" s="2">
        <v>3.6700000000000003E-2</v>
      </c>
      <c r="J310" s="2" t="s">
        <v>21</v>
      </c>
      <c r="K310" s="2">
        <v>1445.3</v>
      </c>
      <c r="L310" s="2">
        <v>2</v>
      </c>
      <c r="M310" s="2" t="s">
        <v>18</v>
      </c>
      <c r="N310" s="10">
        <v>13</v>
      </c>
    </row>
    <row r="311" spans="1:14" x14ac:dyDescent="0.2">
      <c r="A311" s="9" t="s">
        <v>30</v>
      </c>
      <c r="B311" s="3">
        <v>45616</v>
      </c>
      <c r="C311" s="2">
        <v>28</v>
      </c>
      <c r="D311" s="2">
        <v>94</v>
      </c>
      <c r="E311" s="2" t="s">
        <v>12</v>
      </c>
      <c r="F311" s="2">
        <v>3</v>
      </c>
      <c r="G311" s="2">
        <v>4</v>
      </c>
      <c r="H311" s="2">
        <v>39.721400000000003</v>
      </c>
      <c r="I311" s="2">
        <v>3.6700000000000003E-2</v>
      </c>
      <c r="J311" s="2" t="s">
        <v>20</v>
      </c>
      <c r="K311" s="2">
        <v>1418</v>
      </c>
      <c r="L311" s="2">
        <v>2</v>
      </c>
      <c r="M311" s="2" t="s">
        <v>18</v>
      </c>
      <c r="N311" s="10">
        <v>7</v>
      </c>
    </row>
    <row r="312" spans="1:14" x14ac:dyDescent="0.2">
      <c r="A312" s="9" t="s">
        <v>30</v>
      </c>
      <c r="B312" s="3">
        <v>45616</v>
      </c>
      <c r="C312" s="2">
        <v>28</v>
      </c>
      <c r="D312" s="2">
        <v>95</v>
      </c>
      <c r="E312" s="2" t="s">
        <v>12</v>
      </c>
      <c r="F312" s="2">
        <v>4</v>
      </c>
      <c r="G312" s="4">
        <v>3</v>
      </c>
      <c r="H312" s="2">
        <v>70.6357</v>
      </c>
      <c r="I312" s="2">
        <v>6.5299999999999997E-2</v>
      </c>
      <c r="J312" s="2" t="s">
        <v>20</v>
      </c>
      <c r="K312" s="2">
        <v>1486.2</v>
      </c>
      <c r="L312" s="2">
        <v>2</v>
      </c>
      <c r="M312" s="2" t="s">
        <v>18</v>
      </c>
      <c r="N312" s="10">
        <v>13</v>
      </c>
    </row>
    <row r="313" spans="1:14" x14ac:dyDescent="0.2">
      <c r="A313" s="9" t="s">
        <v>30</v>
      </c>
      <c r="B313" s="3">
        <v>45616</v>
      </c>
      <c r="C313" s="2">
        <v>28</v>
      </c>
      <c r="D313" s="2">
        <v>96</v>
      </c>
      <c r="E313" s="2" t="s">
        <v>12</v>
      </c>
      <c r="F313" s="2">
        <v>4</v>
      </c>
      <c r="G313" s="4">
        <v>4</v>
      </c>
      <c r="H313" s="2">
        <v>70.6357</v>
      </c>
      <c r="I313" s="2">
        <v>6.5299999999999997E-2</v>
      </c>
      <c r="J313" s="2" t="s">
        <v>22</v>
      </c>
      <c r="K313" s="2">
        <v>1388.5</v>
      </c>
      <c r="L313" s="2">
        <v>2</v>
      </c>
      <c r="M313" s="2" t="s">
        <v>18</v>
      </c>
      <c r="N313" s="10">
        <v>0</v>
      </c>
    </row>
    <row r="314" spans="1:14" x14ac:dyDescent="0.2">
      <c r="A314" s="9" t="s">
        <v>30</v>
      </c>
      <c r="B314" s="3">
        <v>45616</v>
      </c>
      <c r="C314" s="2">
        <v>28</v>
      </c>
      <c r="D314" s="2">
        <v>97</v>
      </c>
      <c r="E314" s="2" t="s">
        <v>12</v>
      </c>
      <c r="F314" s="2">
        <v>5</v>
      </c>
      <c r="G314" s="4">
        <v>3</v>
      </c>
      <c r="H314" s="2">
        <v>125.6101</v>
      </c>
      <c r="I314" s="2">
        <v>0.11609999999999999</v>
      </c>
      <c r="J314" s="2" t="s">
        <v>22</v>
      </c>
      <c r="K314" s="2">
        <v>1187</v>
      </c>
      <c r="L314" s="2">
        <v>2</v>
      </c>
      <c r="M314" s="2" t="s">
        <v>18</v>
      </c>
      <c r="N314" s="10">
        <v>11</v>
      </c>
    </row>
    <row r="315" spans="1:14" x14ac:dyDescent="0.2">
      <c r="A315" s="9" t="s">
        <v>30</v>
      </c>
      <c r="B315" s="3">
        <v>45616</v>
      </c>
      <c r="C315" s="2">
        <v>28</v>
      </c>
      <c r="D315" s="2">
        <v>98</v>
      </c>
      <c r="E315" s="2" t="s">
        <v>12</v>
      </c>
      <c r="F315" s="2">
        <v>5</v>
      </c>
      <c r="G315" s="4">
        <v>4</v>
      </c>
      <c r="H315" s="2">
        <v>125.6101</v>
      </c>
      <c r="I315" s="2">
        <v>0.11609999999999999</v>
      </c>
      <c r="J315" s="2" t="s">
        <v>23</v>
      </c>
      <c r="K315" s="2">
        <v>1032.3</v>
      </c>
      <c r="L315" s="2">
        <v>2</v>
      </c>
      <c r="M315" s="2" t="s">
        <v>18</v>
      </c>
      <c r="N315" s="10">
        <v>3</v>
      </c>
    </row>
    <row r="316" spans="1:14" x14ac:dyDescent="0.2">
      <c r="A316" s="9" t="s">
        <v>30</v>
      </c>
      <c r="B316" s="3">
        <v>45616</v>
      </c>
      <c r="C316" s="2">
        <v>28</v>
      </c>
      <c r="D316" s="2">
        <v>99</v>
      </c>
      <c r="E316" s="2" t="s">
        <v>12</v>
      </c>
      <c r="F316" s="2">
        <v>6</v>
      </c>
      <c r="G316" s="4">
        <v>3</v>
      </c>
      <c r="H316" s="2">
        <v>223.3698</v>
      </c>
      <c r="I316" s="2">
        <v>0.2064</v>
      </c>
      <c r="J316" s="2" t="s">
        <v>23</v>
      </c>
      <c r="K316" s="2">
        <v>1185.7</v>
      </c>
      <c r="L316" s="2">
        <v>2</v>
      </c>
      <c r="M316" s="2" t="s">
        <v>18</v>
      </c>
      <c r="N316" s="10">
        <v>10</v>
      </c>
    </row>
    <row r="317" spans="1:14" x14ac:dyDescent="0.2">
      <c r="A317" s="9" t="s">
        <v>30</v>
      </c>
      <c r="B317" s="3">
        <v>45616</v>
      </c>
      <c r="C317" s="2">
        <v>28</v>
      </c>
      <c r="D317" s="2">
        <v>100</v>
      </c>
      <c r="E317" s="2" t="s">
        <v>12</v>
      </c>
      <c r="F317" s="2">
        <v>6</v>
      </c>
      <c r="G317" s="4">
        <v>4</v>
      </c>
      <c r="H317" s="2">
        <v>223.3698</v>
      </c>
      <c r="I317" s="2">
        <v>0.2064</v>
      </c>
      <c r="J317" s="2" t="s">
        <v>19</v>
      </c>
      <c r="K317" s="2">
        <v>1319.1</v>
      </c>
      <c r="L317" s="2">
        <v>2</v>
      </c>
      <c r="M317" s="2" t="s">
        <v>18</v>
      </c>
      <c r="N317" s="10">
        <v>3</v>
      </c>
    </row>
    <row r="318" spans="1:14" x14ac:dyDescent="0.2">
      <c r="A318" s="9" t="s">
        <v>30</v>
      </c>
      <c r="B318" s="3">
        <v>45616</v>
      </c>
      <c r="C318" s="2">
        <v>28</v>
      </c>
      <c r="D318" s="2">
        <v>101</v>
      </c>
      <c r="E318" s="2" t="s">
        <v>12</v>
      </c>
      <c r="F318" s="2">
        <v>7</v>
      </c>
      <c r="G318" s="4">
        <v>3</v>
      </c>
      <c r="H318" s="2">
        <v>397.214</v>
      </c>
      <c r="I318" s="2">
        <v>0.36709999999999998</v>
      </c>
      <c r="J318" s="2"/>
      <c r="K318" s="2">
        <v>979.5</v>
      </c>
      <c r="L318" s="2">
        <v>2</v>
      </c>
      <c r="M318" s="2" t="s">
        <v>18</v>
      </c>
      <c r="N318" s="10">
        <v>0</v>
      </c>
    </row>
    <row r="319" spans="1:14" x14ac:dyDescent="0.2">
      <c r="A319" s="9" t="s">
        <v>30</v>
      </c>
      <c r="B319" s="3">
        <v>45616</v>
      </c>
      <c r="C319" s="2">
        <v>28</v>
      </c>
      <c r="D319" s="2">
        <v>102</v>
      </c>
      <c r="E319" s="2" t="s">
        <v>12</v>
      </c>
      <c r="F319" s="2">
        <v>7</v>
      </c>
      <c r="G319" s="4">
        <v>4</v>
      </c>
      <c r="H319" s="2">
        <v>397.214</v>
      </c>
      <c r="I319" s="2">
        <v>0.36709999999999998</v>
      </c>
      <c r="J319" s="2" t="s">
        <v>24</v>
      </c>
      <c r="K319" s="2">
        <v>957.8</v>
      </c>
      <c r="L319" s="2">
        <v>2</v>
      </c>
      <c r="M319" s="2" t="s">
        <v>18</v>
      </c>
      <c r="N319" s="10">
        <v>1</v>
      </c>
    </row>
    <row r="320" spans="1:14" x14ac:dyDescent="0.2">
      <c r="A320" s="9" t="s">
        <v>30</v>
      </c>
      <c r="B320" s="3">
        <v>45616</v>
      </c>
      <c r="C320" s="2">
        <v>28</v>
      </c>
      <c r="D320" s="2">
        <v>103</v>
      </c>
      <c r="E320" s="2" t="s">
        <v>13</v>
      </c>
      <c r="F320" s="2">
        <v>1</v>
      </c>
      <c r="G320" s="4">
        <v>3</v>
      </c>
      <c r="H320" s="2">
        <v>0.47089999999999999</v>
      </c>
      <c r="I320" s="2">
        <v>1.2999999999999999E-3</v>
      </c>
      <c r="J320" s="2" t="s">
        <v>19</v>
      </c>
      <c r="K320" s="2">
        <v>1805.1</v>
      </c>
      <c r="L320" s="2">
        <v>2</v>
      </c>
      <c r="M320" s="2" t="s">
        <v>18</v>
      </c>
      <c r="N320" s="10">
        <v>27</v>
      </c>
    </row>
    <row r="321" spans="1:14" x14ac:dyDescent="0.2">
      <c r="A321" s="9" t="s">
        <v>30</v>
      </c>
      <c r="B321" s="3">
        <v>45616</v>
      </c>
      <c r="C321" s="2">
        <v>28</v>
      </c>
      <c r="D321" s="2">
        <v>104</v>
      </c>
      <c r="E321" s="2" t="s">
        <v>13</v>
      </c>
      <c r="F321" s="2">
        <v>1</v>
      </c>
      <c r="G321" s="4">
        <v>4</v>
      </c>
      <c r="H321" s="2">
        <v>0.47089999999999999</v>
      </c>
      <c r="I321" s="2">
        <v>1.2999999999999999E-3</v>
      </c>
      <c r="J321" s="2" t="s">
        <v>21</v>
      </c>
      <c r="K321" s="2">
        <v>1558</v>
      </c>
      <c r="L321" s="2">
        <v>2</v>
      </c>
      <c r="M321" s="2" t="s">
        <v>18</v>
      </c>
      <c r="N321" s="10">
        <v>12</v>
      </c>
    </row>
    <row r="322" spans="1:14" x14ac:dyDescent="0.2">
      <c r="A322" s="9" t="s">
        <v>30</v>
      </c>
      <c r="B322" s="3">
        <v>45616</v>
      </c>
      <c r="C322" s="2">
        <v>28</v>
      </c>
      <c r="D322" s="2">
        <v>105</v>
      </c>
      <c r="E322" s="2" t="s">
        <v>13</v>
      </c>
      <c r="F322" s="2">
        <v>2</v>
      </c>
      <c r="G322" s="4">
        <v>3</v>
      </c>
      <c r="H322" s="2">
        <v>4.7089999999999996</v>
      </c>
      <c r="I322" s="2">
        <v>1.3100000000000001E-2</v>
      </c>
      <c r="J322" s="2" t="s">
        <v>21</v>
      </c>
      <c r="K322" s="2">
        <v>1587.7</v>
      </c>
      <c r="L322" s="2">
        <v>2</v>
      </c>
      <c r="M322" s="2" t="s">
        <v>18</v>
      </c>
      <c r="N322" s="10">
        <v>11</v>
      </c>
    </row>
    <row r="323" spans="1:14" x14ac:dyDescent="0.2">
      <c r="A323" s="9" t="s">
        <v>30</v>
      </c>
      <c r="B323" s="3">
        <v>45616</v>
      </c>
      <c r="C323" s="2">
        <v>28</v>
      </c>
      <c r="D323" s="2">
        <v>106</v>
      </c>
      <c r="E323" s="2" t="s">
        <v>13</v>
      </c>
      <c r="F323" s="2">
        <v>2</v>
      </c>
      <c r="G323" s="4">
        <v>4</v>
      </c>
      <c r="H323" s="2">
        <v>4.7089999999999996</v>
      </c>
      <c r="I323" s="2">
        <v>1.3100000000000001E-2</v>
      </c>
      <c r="J323" s="2" t="s">
        <v>22</v>
      </c>
      <c r="K323" s="2">
        <v>1540.9</v>
      </c>
      <c r="L323" s="2">
        <v>2</v>
      </c>
      <c r="M323" s="2" t="s">
        <v>18</v>
      </c>
      <c r="N323" s="10">
        <v>5</v>
      </c>
    </row>
    <row r="324" spans="1:14" x14ac:dyDescent="0.2">
      <c r="A324" s="9" t="s">
        <v>30</v>
      </c>
      <c r="B324" s="3">
        <v>45616</v>
      </c>
      <c r="C324" s="2">
        <v>28</v>
      </c>
      <c r="D324" s="2">
        <v>107</v>
      </c>
      <c r="E324" s="2" t="s">
        <v>13</v>
      </c>
      <c r="F324" s="2">
        <v>3</v>
      </c>
      <c r="G324" s="4">
        <v>3</v>
      </c>
      <c r="H324" s="2">
        <v>26.480899999999998</v>
      </c>
      <c r="I324" s="2">
        <v>7.3400000000000007E-2</v>
      </c>
      <c r="J324" s="2" t="s">
        <v>22</v>
      </c>
      <c r="K324" s="2">
        <v>1327.8</v>
      </c>
      <c r="L324" s="2">
        <v>2</v>
      </c>
      <c r="M324" s="2" t="s">
        <v>18</v>
      </c>
      <c r="N324" s="10">
        <v>12</v>
      </c>
    </row>
    <row r="325" spans="1:14" x14ac:dyDescent="0.2">
      <c r="A325" s="9" t="s">
        <v>30</v>
      </c>
      <c r="B325" s="3">
        <v>45616</v>
      </c>
      <c r="C325" s="2">
        <v>28</v>
      </c>
      <c r="D325" s="2">
        <v>108</v>
      </c>
      <c r="E325" s="2" t="s">
        <v>13</v>
      </c>
      <c r="F325" s="2">
        <v>3</v>
      </c>
      <c r="G325" s="4">
        <v>4</v>
      </c>
      <c r="H325" s="2">
        <v>26.480899999999998</v>
      </c>
      <c r="I325" s="2">
        <v>7.3400000000000007E-2</v>
      </c>
      <c r="J325" s="2" t="s">
        <v>24</v>
      </c>
      <c r="K325" s="2">
        <v>1436.8</v>
      </c>
      <c r="L325" s="2">
        <v>2</v>
      </c>
      <c r="M325" s="2" t="s">
        <v>18</v>
      </c>
      <c r="N325" s="10">
        <v>17</v>
      </c>
    </row>
    <row r="326" spans="1:14" x14ac:dyDescent="0.2">
      <c r="A326" s="9" t="s">
        <v>30</v>
      </c>
      <c r="B326" s="3">
        <v>45616</v>
      </c>
      <c r="C326" s="2">
        <v>28</v>
      </c>
      <c r="D326" s="2">
        <v>109</v>
      </c>
      <c r="E326" s="2" t="s">
        <v>13</v>
      </c>
      <c r="F326" s="2">
        <v>4</v>
      </c>
      <c r="G326" s="4">
        <v>3</v>
      </c>
      <c r="H326" s="2">
        <v>47.090499999999999</v>
      </c>
      <c r="I326" s="2">
        <v>0.1305</v>
      </c>
      <c r="J326" s="2" t="s">
        <v>24</v>
      </c>
      <c r="K326" s="2">
        <v>1720.7</v>
      </c>
      <c r="L326" s="2">
        <v>2</v>
      </c>
      <c r="M326" s="2" t="s">
        <v>18</v>
      </c>
      <c r="N326" s="10">
        <v>12</v>
      </c>
    </row>
    <row r="327" spans="1:14" x14ac:dyDescent="0.2">
      <c r="A327" s="9" t="s">
        <v>30</v>
      </c>
      <c r="B327" s="3">
        <v>45616</v>
      </c>
      <c r="C327" s="2">
        <v>28</v>
      </c>
      <c r="D327" s="2">
        <v>110</v>
      </c>
      <c r="E327" s="2" t="s">
        <v>13</v>
      </c>
      <c r="F327" s="2">
        <v>4</v>
      </c>
      <c r="G327" s="4">
        <v>4</v>
      </c>
      <c r="H327" s="2">
        <v>47.090499999999999</v>
      </c>
      <c r="I327" s="2">
        <v>0.1305</v>
      </c>
      <c r="J327" s="2" t="s">
        <v>19</v>
      </c>
      <c r="K327" s="2">
        <v>1484.3</v>
      </c>
      <c r="L327" s="2">
        <v>2</v>
      </c>
      <c r="M327" s="2" t="s">
        <v>18</v>
      </c>
      <c r="N327" s="10">
        <v>15</v>
      </c>
    </row>
    <row r="328" spans="1:14" x14ac:dyDescent="0.2">
      <c r="A328" s="9" t="s">
        <v>30</v>
      </c>
      <c r="B328" s="3">
        <v>45616</v>
      </c>
      <c r="C328" s="2">
        <v>28</v>
      </c>
      <c r="D328" s="2">
        <v>111</v>
      </c>
      <c r="E328" s="2" t="s">
        <v>13</v>
      </c>
      <c r="F328" s="2">
        <v>5</v>
      </c>
      <c r="G328" s="4">
        <v>3</v>
      </c>
      <c r="H328" s="2">
        <v>83.740099999999998</v>
      </c>
      <c r="I328" s="2">
        <v>0.2321</v>
      </c>
      <c r="J328" s="2" t="s">
        <v>19</v>
      </c>
      <c r="K328" s="2">
        <v>1411.3</v>
      </c>
      <c r="L328" s="2">
        <v>2</v>
      </c>
      <c r="M328" s="2" t="s">
        <v>18</v>
      </c>
      <c r="N328" s="10">
        <v>16</v>
      </c>
    </row>
    <row r="329" spans="1:14" x14ac:dyDescent="0.2">
      <c r="A329" s="9" t="s">
        <v>30</v>
      </c>
      <c r="B329" s="3">
        <v>45616</v>
      </c>
      <c r="C329" s="2">
        <v>28</v>
      </c>
      <c r="D329" s="2">
        <v>112</v>
      </c>
      <c r="E329" s="2" t="s">
        <v>13</v>
      </c>
      <c r="F329" s="2">
        <v>5</v>
      </c>
      <c r="G329" s="4">
        <v>4</v>
      </c>
      <c r="H329" s="2">
        <v>83.740099999999998</v>
      </c>
      <c r="I329" s="2">
        <v>0.2321</v>
      </c>
      <c r="J329" s="2" t="s">
        <v>21</v>
      </c>
      <c r="K329" s="2">
        <v>1449.9</v>
      </c>
      <c r="L329" s="2">
        <v>2</v>
      </c>
      <c r="M329" s="2" t="s">
        <v>18</v>
      </c>
      <c r="N329" s="10">
        <v>11</v>
      </c>
    </row>
    <row r="330" spans="1:14" x14ac:dyDescent="0.2">
      <c r="A330" s="9" t="s">
        <v>30</v>
      </c>
      <c r="B330" s="3">
        <v>45616</v>
      </c>
      <c r="C330" s="2">
        <v>28</v>
      </c>
      <c r="D330" s="2">
        <v>113</v>
      </c>
      <c r="E330" s="2" t="s">
        <v>13</v>
      </c>
      <c r="F330" s="2">
        <v>6</v>
      </c>
      <c r="G330" s="4">
        <v>3</v>
      </c>
      <c r="H330" s="2">
        <v>148.91319999999999</v>
      </c>
      <c r="I330" s="2">
        <v>0.4128</v>
      </c>
      <c r="J330" s="2" t="s">
        <v>21</v>
      </c>
      <c r="K330" s="2">
        <v>1377.3</v>
      </c>
      <c r="L330" s="2">
        <v>2</v>
      </c>
      <c r="M330" s="2" t="s">
        <v>18</v>
      </c>
      <c r="N330" s="10">
        <v>4</v>
      </c>
    </row>
    <row r="331" spans="1:14" x14ac:dyDescent="0.2">
      <c r="A331" s="9" t="s">
        <v>30</v>
      </c>
      <c r="B331" s="3">
        <v>45616</v>
      </c>
      <c r="C331" s="2">
        <v>28</v>
      </c>
      <c r="D331" s="2">
        <v>114</v>
      </c>
      <c r="E331" s="2" t="s">
        <v>13</v>
      </c>
      <c r="F331" s="2">
        <v>6</v>
      </c>
      <c r="G331" s="4">
        <v>4</v>
      </c>
      <c r="H331" s="2">
        <v>148.91319999999999</v>
      </c>
      <c r="I331" s="2">
        <v>0.4128</v>
      </c>
      <c r="J331" s="2" t="s">
        <v>24</v>
      </c>
      <c r="K331" s="2">
        <v>1091.7</v>
      </c>
      <c r="L331" s="2">
        <v>2</v>
      </c>
      <c r="M331" s="2" t="s">
        <v>18</v>
      </c>
      <c r="N331" s="10">
        <v>18</v>
      </c>
    </row>
    <row r="332" spans="1:14" x14ac:dyDescent="0.2">
      <c r="A332" s="9" t="s">
        <v>30</v>
      </c>
      <c r="B332" s="3">
        <v>45616</v>
      </c>
      <c r="C332" s="2">
        <v>28</v>
      </c>
      <c r="D332" s="2">
        <v>115</v>
      </c>
      <c r="E332" s="2" t="s">
        <v>13</v>
      </c>
      <c r="F332" s="2">
        <v>7</v>
      </c>
      <c r="G332" s="4">
        <v>3</v>
      </c>
      <c r="H332" s="2">
        <v>264.80930000000001</v>
      </c>
      <c r="I332" s="2">
        <v>0.73409999999999997</v>
      </c>
      <c r="J332" s="2" t="s">
        <v>24</v>
      </c>
      <c r="K332" s="2">
        <v>873.6</v>
      </c>
      <c r="L332" s="2">
        <v>2</v>
      </c>
      <c r="M332" s="2" t="s">
        <v>18</v>
      </c>
      <c r="N332" s="10">
        <v>0</v>
      </c>
    </row>
    <row r="333" spans="1:14" x14ac:dyDescent="0.2">
      <c r="A333" s="9" t="s">
        <v>30</v>
      </c>
      <c r="B333" s="3">
        <v>45616</v>
      </c>
      <c r="C333" s="2">
        <v>28</v>
      </c>
      <c r="D333" s="2">
        <v>116</v>
      </c>
      <c r="E333" s="2" t="s">
        <v>13</v>
      </c>
      <c r="F333" s="2">
        <v>7</v>
      </c>
      <c r="G333" s="4">
        <v>4</v>
      </c>
      <c r="H333" s="2">
        <v>264.80930000000001</v>
      </c>
      <c r="I333" s="2">
        <v>0.73409999999999997</v>
      </c>
      <c r="J333" s="2" t="s">
        <v>19</v>
      </c>
      <c r="K333" s="2">
        <v>799.7</v>
      </c>
      <c r="L333" s="2">
        <v>2</v>
      </c>
      <c r="M333" s="2" t="s">
        <v>18</v>
      </c>
      <c r="N333" s="10">
        <v>0</v>
      </c>
    </row>
    <row r="334" spans="1:14" x14ac:dyDescent="0.2">
      <c r="A334" s="9" t="s">
        <v>30</v>
      </c>
      <c r="B334" s="3">
        <v>45616</v>
      </c>
      <c r="C334" s="2">
        <v>28</v>
      </c>
      <c r="D334" s="2">
        <v>117</v>
      </c>
      <c r="E334" s="2" t="s">
        <v>14</v>
      </c>
      <c r="F334" s="2">
        <v>1</v>
      </c>
      <c r="G334" s="4">
        <v>3</v>
      </c>
      <c r="H334" s="2">
        <v>0.23549999999999999</v>
      </c>
      <c r="I334" s="2">
        <v>2E-3</v>
      </c>
      <c r="J334" s="2" t="s">
        <v>19</v>
      </c>
      <c r="K334" s="2">
        <v>1926.3</v>
      </c>
      <c r="L334" s="2">
        <v>2</v>
      </c>
      <c r="M334" s="2" t="s">
        <v>18</v>
      </c>
      <c r="N334" s="10">
        <v>13</v>
      </c>
    </row>
    <row r="335" spans="1:14" x14ac:dyDescent="0.2">
      <c r="A335" s="9" t="s">
        <v>30</v>
      </c>
      <c r="B335" s="3">
        <v>45616</v>
      </c>
      <c r="C335" s="2">
        <v>28</v>
      </c>
      <c r="D335" s="2">
        <v>118</v>
      </c>
      <c r="E335" s="2" t="s">
        <v>14</v>
      </c>
      <c r="F335" s="2">
        <v>1</v>
      </c>
      <c r="G335" s="4">
        <v>4</v>
      </c>
      <c r="H335" s="2">
        <v>0.23549999999999999</v>
      </c>
      <c r="I335" s="2">
        <v>2E-3</v>
      </c>
      <c r="J335" s="2" t="s">
        <v>21</v>
      </c>
      <c r="K335" s="2">
        <v>1629.7</v>
      </c>
      <c r="L335" s="2">
        <v>2</v>
      </c>
      <c r="M335" s="2" t="s">
        <v>18</v>
      </c>
      <c r="N335" s="10">
        <v>14</v>
      </c>
    </row>
    <row r="336" spans="1:14" x14ac:dyDescent="0.2">
      <c r="A336" s="9" t="s">
        <v>30</v>
      </c>
      <c r="B336" s="3">
        <v>45616</v>
      </c>
      <c r="C336" s="2">
        <v>28</v>
      </c>
      <c r="D336" s="2">
        <v>119</v>
      </c>
      <c r="E336" s="2" t="s">
        <v>14</v>
      </c>
      <c r="F336" s="2">
        <v>2</v>
      </c>
      <c r="G336" s="4">
        <v>3</v>
      </c>
      <c r="H336" s="2">
        <v>2.3544999999999998</v>
      </c>
      <c r="I336" s="2">
        <v>1.9599999999999999E-2</v>
      </c>
      <c r="J336" s="2" t="s">
        <v>21</v>
      </c>
      <c r="K336" s="2">
        <v>1652.8</v>
      </c>
      <c r="L336" s="2">
        <v>2</v>
      </c>
      <c r="M336" s="2" t="s">
        <v>18</v>
      </c>
      <c r="N336" s="10">
        <v>18</v>
      </c>
    </row>
    <row r="337" spans="1:14" x14ac:dyDescent="0.2">
      <c r="A337" s="9" t="s">
        <v>30</v>
      </c>
      <c r="B337" s="3">
        <v>45616</v>
      </c>
      <c r="C337" s="2">
        <v>28</v>
      </c>
      <c r="D337" s="2">
        <v>120</v>
      </c>
      <c r="E337" s="2" t="s">
        <v>14</v>
      </c>
      <c r="F337" s="2">
        <v>2</v>
      </c>
      <c r="G337" s="4">
        <v>4</v>
      </c>
      <c r="H337" s="2">
        <v>2.3544999999999998</v>
      </c>
      <c r="I337" s="2">
        <v>1.9599999999999999E-2</v>
      </c>
      <c r="J337" s="2" t="s">
        <v>22</v>
      </c>
      <c r="K337" s="2">
        <v>1363.7</v>
      </c>
      <c r="L337" s="2">
        <v>2</v>
      </c>
      <c r="M337" s="2" t="s">
        <v>18</v>
      </c>
      <c r="N337" s="10">
        <v>17</v>
      </c>
    </row>
    <row r="338" spans="1:14" x14ac:dyDescent="0.2">
      <c r="A338" s="9" t="s">
        <v>30</v>
      </c>
      <c r="B338" s="3">
        <v>45616</v>
      </c>
      <c r="C338" s="2">
        <v>28</v>
      </c>
      <c r="D338" s="2">
        <v>121</v>
      </c>
      <c r="E338" s="2" t="s">
        <v>14</v>
      </c>
      <c r="F338" s="2">
        <v>3</v>
      </c>
      <c r="G338" s="4">
        <v>3</v>
      </c>
      <c r="H338" s="2">
        <v>13.240500000000001</v>
      </c>
      <c r="I338" s="2">
        <v>0.1101</v>
      </c>
      <c r="J338" s="2" t="s">
        <v>22</v>
      </c>
      <c r="K338" s="2">
        <v>1790.3</v>
      </c>
      <c r="L338" s="2">
        <v>2</v>
      </c>
      <c r="M338" s="2" t="s">
        <v>18</v>
      </c>
      <c r="N338" s="10">
        <v>11</v>
      </c>
    </row>
    <row r="339" spans="1:14" x14ac:dyDescent="0.2">
      <c r="A339" s="9" t="s">
        <v>30</v>
      </c>
      <c r="B339" s="3">
        <v>45616</v>
      </c>
      <c r="C339" s="2">
        <v>28</v>
      </c>
      <c r="D339" s="2">
        <v>122</v>
      </c>
      <c r="E339" s="2" t="s">
        <v>14</v>
      </c>
      <c r="F339" s="2">
        <v>3</v>
      </c>
      <c r="G339" s="4">
        <v>4</v>
      </c>
      <c r="H339" s="2">
        <v>13.240500000000001</v>
      </c>
      <c r="I339" s="2">
        <v>0.1101</v>
      </c>
      <c r="J339" s="2" t="s">
        <v>19</v>
      </c>
      <c r="K339" s="2">
        <v>1359</v>
      </c>
      <c r="L339" s="2">
        <v>2</v>
      </c>
      <c r="M339" s="2" t="s">
        <v>18</v>
      </c>
      <c r="N339" s="10">
        <v>17</v>
      </c>
    </row>
    <row r="340" spans="1:14" x14ac:dyDescent="0.2">
      <c r="A340" s="9" t="s">
        <v>30</v>
      </c>
      <c r="B340" s="3">
        <v>45616</v>
      </c>
      <c r="C340" s="2">
        <v>28</v>
      </c>
      <c r="D340" s="2">
        <v>123</v>
      </c>
      <c r="E340" s="2" t="s">
        <v>14</v>
      </c>
      <c r="F340" s="2">
        <v>4</v>
      </c>
      <c r="G340" s="4">
        <v>3</v>
      </c>
      <c r="H340" s="2">
        <v>23.545200000000001</v>
      </c>
      <c r="I340" s="2">
        <v>0.1958</v>
      </c>
      <c r="J340" s="2" t="s">
        <v>19</v>
      </c>
      <c r="K340" s="2">
        <v>1599.4</v>
      </c>
      <c r="L340" s="2">
        <v>2</v>
      </c>
      <c r="M340" s="2" t="s">
        <v>18</v>
      </c>
      <c r="N340" s="10">
        <v>19</v>
      </c>
    </row>
    <row r="341" spans="1:14" x14ac:dyDescent="0.2">
      <c r="A341" s="9" t="s">
        <v>30</v>
      </c>
      <c r="B341" s="3">
        <v>45616</v>
      </c>
      <c r="C341" s="2">
        <v>28</v>
      </c>
      <c r="D341" s="2">
        <v>124</v>
      </c>
      <c r="E341" s="2" t="s">
        <v>14</v>
      </c>
      <c r="F341" s="2">
        <v>4</v>
      </c>
      <c r="G341" s="4">
        <v>4</v>
      </c>
      <c r="H341" s="2">
        <v>23.545200000000001</v>
      </c>
      <c r="I341" s="2">
        <v>0.1958</v>
      </c>
      <c r="J341" s="2" t="s">
        <v>23</v>
      </c>
      <c r="K341" s="2">
        <v>1299</v>
      </c>
      <c r="L341" s="2">
        <v>2</v>
      </c>
      <c r="M341" s="2" t="s">
        <v>18</v>
      </c>
      <c r="N341" s="10">
        <v>23</v>
      </c>
    </row>
    <row r="342" spans="1:14" x14ac:dyDescent="0.2">
      <c r="A342" s="9" t="s">
        <v>30</v>
      </c>
      <c r="B342" s="3">
        <v>45616</v>
      </c>
      <c r="C342" s="2">
        <v>28</v>
      </c>
      <c r="D342" s="2">
        <v>125</v>
      </c>
      <c r="E342" s="2" t="s">
        <v>14</v>
      </c>
      <c r="F342" s="2">
        <v>5</v>
      </c>
      <c r="G342" s="4">
        <v>3</v>
      </c>
      <c r="H342" s="2">
        <v>41.87</v>
      </c>
      <c r="I342" s="2">
        <v>0.34820000000000001</v>
      </c>
      <c r="J342" s="2" t="s">
        <v>20</v>
      </c>
      <c r="K342" s="2">
        <v>1478.6</v>
      </c>
      <c r="L342" s="2">
        <v>2</v>
      </c>
      <c r="M342" s="2" t="s">
        <v>18</v>
      </c>
      <c r="N342" s="10">
        <v>15</v>
      </c>
    </row>
    <row r="343" spans="1:14" x14ac:dyDescent="0.2">
      <c r="A343" s="9" t="s">
        <v>30</v>
      </c>
      <c r="B343" s="3">
        <v>45616</v>
      </c>
      <c r="C343" s="2">
        <v>28</v>
      </c>
      <c r="D343" s="2">
        <v>126</v>
      </c>
      <c r="E343" s="2" t="s">
        <v>14</v>
      </c>
      <c r="F343" s="2">
        <v>5</v>
      </c>
      <c r="G343" s="4">
        <v>4</v>
      </c>
      <c r="H343" s="2">
        <v>41.87</v>
      </c>
      <c r="I343" s="2">
        <v>0.34820000000000001</v>
      </c>
      <c r="J343" s="2" t="s">
        <v>24</v>
      </c>
      <c r="K343" s="2">
        <v>1651.4</v>
      </c>
      <c r="L343" s="2">
        <v>2</v>
      </c>
      <c r="M343" s="2" t="s">
        <v>18</v>
      </c>
      <c r="N343" s="10">
        <v>20</v>
      </c>
    </row>
    <row r="344" spans="1:14" x14ac:dyDescent="0.2">
      <c r="A344" s="9" t="s">
        <v>30</v>
      </c>
      <c r="B344" s="3">
        <v>45616</v>
      </c>
      <c r="C344" s="2">
        <v>28</v>
      </c>
      <c r="D344" s="2">
        <v>127</v>
      </c>
      <c r="E344" s="2" t="s">
        <v>14</v>
      </c>
      <c r="F344" s="2">
        <v>6</v>
      </c>
      <c r="G344" s="4">
        <v>3</v>
      </c>
      <c r="H344" s="2">
        <v>74.456599999999995</v>
      </c>
      <c r="I344" s="2">
        <v>0.61919999999999997</v>
      </c>
      <c r="J344" s="2" t="s">
        <v>24</v>
      </c>
      <c r="K344" s="2">
        <v>1356.2</v>
      </c>
      <c r="L344" s="2">
        <v>2</v>
      </c>
      <c r="M344" s="2" t="s">
        <v>18</v>
      </c>
      <c r="N344" s="10">
        <v>15</v>
      </c>
    </row>
    <row r="345" spans="1:14" x14ac:dyDescent="0.2">
      <c r="A345" s="9" t="s">
        <v>30</v>
      </c>
      <c r="B345" s="3">
        <v>45616</v>
      </c>
      <c r="C345" s="2">
        <v>28</v>
      </c>
      <c r="D345" s="2">
        <v>128</v>
      </c>
      <c r="E345" s="2" t="s">
        <v>14</v>
      </c>
      <c r="F345" s="2">
        <v>6</v>
      </c>
      <c r="G345" s="4">
        <v>4</v>
      </c>
      <c r="H345" s="2">
        <v>74.456599999999995</v>
      </c>
      <c r="I345" s="2">
        <v>0.61919999999999997</v>
      </c>
      <c r="J345" s="2" t="s">
        <v>22</v>
      </c>
      <c r="K345" s="2">
        <v>1111.5</v>
      </c>
      <c r="L345" s="2">
        <v>2</v>
      </c>
      <c r="M345" s="2" t="s">
        <v>18</v>
      </c>
      <c r="N345" s="10">
        <v>5</v>
      </c>
    </row>
    <row r="346" spans="1:14" x14ac:dyDescent="0.2">
      <c r="A346" s="9" t="s">
        <v>30</v>
      </c>
      <c r="B346" s="3">
        <v>45616</v>
      </c>
      <c r="C346" s="2">
        <v>28</v>
      </c>
      <c r="D346" s="2">
        <v>129</v>
      </c>
      <c r="E346" s="2" t="s">
        <v>14</v>
      </c>
      <c r="F346" s="2">
        <v>7</v>
      </c>
      <c r="G346" s="4">
        <v>3</v>
      </c>
      <c r="H346" s="2">
        <v>132.40469999999999</v>
      </c>
      <c r="I346" s="2">
        <v>1.1012</v>
      </c>
      <c r="J346" s="2" t="s">
        <v>22</v>
      </c>
      <c r="K346" s="2">
        <v>1136.5999999999999</v>
      </c>
      <c r="L346" s="2">
        <v>2</v>
      </c>
      <c r="M346" s="2" t="s">
        <v>18</v>
      </c>
      <c r="N346" s="10">
        <v>8</v>
      </c>
    </row>
    <row r="347" spans="1:14" x14ac:dyDescent="0.2">
      <c r="A347" s="9" t="s">
        <v>30</v>
      </c>
      <c r="B347" s="3">
        <v>45616</v>
      </c>
      <c r="C347" s="2">
        <v>28</v>
      </c>
      <c r="D347" s="2">
        <v>130</v>
      </c>
      <c r="E347" s="2" t="s">
        <v>14</v>
      </c>
      <c r="F347" s="2">
        <v>7</v>
      </c>
      <c r="G347" s="4">
        <v>4</v>
      </c>
      <c r="H347" s="2">
        <v>132.40469999999999</v>
      </c>
      <c r="I347" s="2">
        <v>1.1012</v>
      </c>
      <c r="J347" s="2" t="s">
        <v>24</v>
      </c>
      <c r="K347" s="2">
        <v>1021.9</v>
      </c>
      <c r="L347" s="2">
        <v>2</v>
      </c>
      <c r="M347" s="2" t="s">
        <v>18</v>
      </c>
      <c r="N347" s="10">
        <v>0</v>
      </c>
    </row>
    <row r="348" spans="1:14" x14ac:dyDescent="0.2">
      <c r="A348" s="9" t="s">
        <v>30</v>
      </c>
      <c r="B348" s="3">
        <v>45616</v>
      </c>
      <c r="C348" s="2">
        <v>28</v>
      </c>
      <c r="D348" s="2">
        <v>131</v>
      </c>
      <c r="E348" s="4" t="s">
        <v>15</v>
      </c>
      <c r="F348" s="4">
        <v>1</v>
      </c>
      <c r="G348" s="4">
        <v>3</v>
      </c>
      <c r="H348" s="2">
        <v>0</v>
      </c>
      <c r="I348" s="2">
        <v>2.5999999999999999E-3</v>
      </c>
      <c r="J348" s="2" t="s">
        <v>19</v>
      </c>
      <c r="K348" s="2">
        <v>1752.2</v>
      </c>
      <c r="L348" s="2">
        <v>2</v>
      </c>
      <c r="M348" s="2" t="s">
        <v>18</v>
      </c>
      <c r="N348" s="10">
        <v>19</v>
      </c>
    </row>
    <row r="349" spans="1:14" x14ac:dyDescent="0.2">
      <c r="A349" s="9" t="s">
        <v>30</v>
      </c>
      <c r="B349" s="3">
        <v>45616</v>
      </c>
      <c r="C349" s="2">
        <v>28</v>
      </c>
      <c r="D349" s="2">
        <v>132</v>
      </c>
      <c r="E349" s="4" t="s">
        <v>15</v>
      </c>
      <c r="F349" s="4">
        <v>1</v>
      </c>
      <c r="G349" s="4">
        <v>4</v>
      </c>
      <c r="H349" s="2">
        <v>0</v>
      </c>
      <c r="I349" s="2">
        <v>2.5999999999999999E-3</v>
      </c>
      <c r="J349" s="2" t="s">
        <v>21</v>
      </c>
      <c r="K349" s="2">
        <v>1383</v>
      </c>
      <c r="L349" s="2">
        <v>2</v>
      </c>
      <c r="M349" s="2" t="s">
        <v>18</v>
      </c>
      <c r="N349" s="10">
        <v>16</v>
      </c>
    </row>
    <row r="350" spans="1:14" x14ac:dyDescent="0.2">
      <c r="A350" s="9" t="s">
        <v>30</v>
      </c>
      <c r="B350" s="3">
        <v>45616</v>
      </c>
      <c r="C350" s="2">
        <v>28</v>
      </c>
      <c r="D350" s="2">
        <v>133</v>
      </c>
      <c r="E350" s="4" t="s">
        <v>15</v>
      </c>
      <c r="F350" s="4">
        <v>2</v>
      </c>
      <c r="G350" s="4">
        <v>3</v>
      </c>
      <c r="H350" s="2">
        <v>0</v>
      </c>
      <c r="I350" s="2">
        <v>2.6100000000000002E-2</v>
      </c>
      <c r="J350" s="2" t="s">
        <v>21</v>
      </c>
      <c r="K350" s="2">
        <v>1500.3</v>
      </c>
      <c r="L350" s="2">
        <v>2</v>
      </c>
      <c r="M350" s="2" t="s">
        <v>18</v>
      </c>
      <c r="N350" s="10">
        <v>18</v>
      </c>
    </row>
    <row r="351" spans="1:14" x14ac:dyDescent="0.2">
      <c r="A351" s="9" t="s">
        <v>30</v>
      </c>
      <c r="B351" s="3">
        <v>45616</v>
      </c>
      <c r="C351" s="2">
        <v>28</v>
      </c>
      <c r="D351" s="2">
        <v>134</v>
      </c>
      <c r="E351" s="4" t="s">
        <v>15</v>
      </c>
      <c r="F351" s="4">
        <v>2</v>
      </c>
      <c r="G351" s="4">
        <v>4</v>
      </c>
      <c r="H351" s="2">
        <v>0</v>
      </c>
      <c r="I351" s="2">
        <v>2.6100000000000002E-2</v>
      </c>
      <c r="J351" s="2" t="s">
        <v>19</v>
      </c>
      <c r="K351" s="2">
        <v>1769.2</v>
      </c>
      <c r="L351" s="2">
        <v>2</v>
      </c>
      <c r="M351" s="2" t="s">
        <v>18</v>
      </c>
      <c r="N351" s="10">
        <v>17</v>
      </c>
    </row>
    <row r="352" spans="1:14" x14ac:dyDescent="0.2">
      <c r="A352" s="9" t="s">
        <v>30</v>
      </c>
      <c r="B352" s="3">
        <v>45616</v>
      </c>
      <c r="C352" s="2">
        <v>28</v>
      </c>
      <c r="D352" s="2">
        <v>135</v>
      </c>
      <c r="E352" s="4" t="s">
        <v>15</v>
      </c>
      <c r="F352" s="4">
        <v>3</v>
      </c>
      <c r="G352" s="4">
        <v>3</v>
      </c>
      <c r="H352" s="2">
        <v>0</v>
      </c>
      <c r="I352" s="2">
        <v>0.14680000000000001</v>
      </c>
      <c r="J352" s="2" t="s">
        <v>20</v>
      </c>
      <c r="K352" s="2">
        <v>1854.6</v>
      </c>
      <c r="L352" s="2">
        <v>2</v>
      </c>
      <c r="M352" s="2" t="s">
        <v>18</v>
      </c>
      <c r="N352" s="10">
        <v>16</v>
      </c>
    </row>
    <row r="353" spans="1:15" x14ac:dyDescent="0.2">
      <c r="A353" s="9" t="s">
        <v>30</v>
      </c>
      <c r="B353" s="3">
        <v>45616</v>
      </c>
      <c r="C353" s="2">
        <v>28</v>
      </c>
      <c r="D353" s="2">
        <v>136</v>
      </c>
      <c r="E353" s="4" t="s">
        <v>15</v>
      </c>
      <c r="F353" s="4">
        <v>3</v>
      </c>
      <c r="G353" s="4">
        <v>4</v>
      </c>
      <c r="H353" s="2">
        <v>0</v>
      </c>
      <c r="I353" s="2">
        <v>0.14680000000000001</v>
      </c>
      <c r="J353" s="2" t="s">
        <v>24</v>
      </c>
      <c r="K353" s="2">
        <v>1984.3</v>
      </c>
      <c r="L353" s="2">
        <v>2</v>
      </c>
      <c r="M353" s="2" t="s">
        <v>18</v>
      </c>
      <c r="N353" s="10">
        <v>4</v>
      </c>
    </row>
    <row r="354" spans="1:15" x14ac:dyDescent="0.2">
      <c r="A354" s="9" t="s">
        <v>30</v>
      </c>
      <c r="B354" s="3">
        <v>45616</v>
      </c>
      <c r="C354" s="2">
        <v>28</v>
      </c>
      <c r="D354" s="2">
        <v>137</v>
      </c>
      <c r="E354" s="4" t="s">
        <v>15</v>
      </c>
      <c r="F354" s="4">
        <v>4</v>
      </c>
      <c r="G354" s="4">
        <v>3</v>
      </c>
      <c r="H354" s="2">
        <v>0</v>
      </c>
      <c r="I354" s="2">
        <v>0.2611</v>
      </c>
      <c r="J354" s="2" t="s">
        <v>24</v>
      </c>
      <c r="K354" s="2">
        <v>1936.9</v>
      </c>
      <c r="L354" s="2">
        <v>2</v>
      </c>
      <c r="M354" s="2" t="s">
        <v>18</v>
      </c>
      <c r="N354" s="10">
        <v>15</v>
      </c>
    </row>
    <row r="355" spans="1:15" x14ac:dyDescent="0.2">
      <c r="A355" s="9" t="s">
        <v>30</v>
      </c>
      <c r="B355" s="3">
        <v>45616</v>
      </c>
      <c r="C355" s="2">
        <v>28</v>
      </c>
      <c r="D355" s="2">
        <v>138</v>
      </c>
      <c r="E355" s="4" t="s">
        <v>15</v>
      </c>
      <c r="F355" s="4">
        <v>4</v>
      </c>
      <c r="G355" s="4">
        <v>4</v>
      </c>
      <c r="H355" s="2">
        <v>0</v>
      </c>
      <c r="I355" s="2">
        <v>0.2611</v>
      </c>
      <c r="J355" s="2" t="s">
        <v>20</v>
      </c>
      <c r="K355" s="2">
        <v>1660.9</v>
      </c>
      <c r="L355" s="2">
        <v>2</v>
      </c>
      <c r="M355" s="2" t="s">
        <v>18</v>
      </c>
      <c r="N355" s="10">
        <v>18</v>
      </c>
    </row>
    <row r="356" spans="1:15" x14ac:dyDescent="0.2">
      <c r="A356" s="9" t="s">
        <v>30</v>
      </c>
      <c r="B356" s="3">
        <v>45616</v>
      </c>
      <c r="C356" s="2">
        <v>28</v>
      </c>
      <c r="D356" s="2">
        <v>139</v>
      </c>
      <c r="E356" s="4" t="s">
        <v>15</v>
      </c>
      <c r="F356" s="4">
        <v>5</v>
      </c>
      <c r="G356" s="4">
        <v>3</v>
      </c>
      <c r="H356" s="2">
        <v>0</v>
      </c>
      <c r="I356" s="2">
        <v>0.46429999999999999</v>
      </c>
      <c r="J356" s="2" t="s">
        <v>21</v>
      </c>
      <c r="K356" s="2">
        <v>1605.5</v>
      </c>
      <c r="L356" s="2">
        <v>2</v>
      </c>
      <c r="M356" s="2" t="s">
        <v>18</v>
      </c>
      <c r="N356" s="10">
        <v>22</v>
      </c>
    </row>
    <row r="357" spans="1:15" x14ac:dyDescent="0.2">
      <c r="A357" s="9" t="s">
        <v>30</v>
      </c>
      <c r="B357" s="3">
        <v>45616</v>
      </c>
      <c r="C357" s="2">
        <v>28</v>
      </c>
      <c r="D357" s="2">
        <v>140</v>
      </c>
      <c r="E357" s="4" t="s">
        <v>15</v>
      </c>
      <c r="F357" s="4">
        <v>5</v>
      </c>
      <c r="G357" s="4">
        <v>4</v>
      </c>
      <c r="H357" s="2">
        <v>0</v>
      </c>
      <c r="I357" s="2">
        <v>0.46429999999999999</v>
      </c>
      <c r="J357" s="2" t="s">
        <v>19</v>
      </c>
      <c r="K357" s="2">
        <v>1589.7</v>
      </c>
      <c r="L357" s="2">
        <v>2</v>
      </c>
      <c r="M357" s="2" t="s">
        <v>18</v>
      </c>
      <c r="N357" s="10">
        <v>19</v>
      </c>
    </row>
    <row r="358" spans="1:15" x14ac:dyDescent="0.2">
      <c r="A358" s="9" t="s">
        <v>30</v>
      </c>
      <c r="B358" s="3">
        <v>45616</v>
      </c>
      <c r="C358" s="2">
        <v>28</v>
      </c>
      <c r="D358" s="2">
        <v>141</v>
      </c>
      <c r="E358" s="4" t="s">
        <v>15</v>
      </c>
      <c r="F358" s="4">
        <v>6</v>
      </c>
      <c r="G358" s="4">
        <v>3</v>
      </c>
      <c r="H358" s="2">
        <v>0</v>
      </c>
      <c r="I358" s="2">
        <v>0.8256</v>
      </c>
      <c r="J358" s="2" t="s">
        <v>24</v>
      </c>
      <c r="K358" s="2">
        <v>1514</v>
      </c>
      <c r="L358" s="2">
        <v>2</v>
      </c>
      <c r="M358" s="2" t="s">
        <v>18</v>
      </c>
      <c r="N358" s="10">
        <v>2</v>
      </c>
    </row>
    <row r="359" spans="1:15" x14ac:dyDescent="0.2">
      <c r="A359" s="9" t="s">
        <v>30</v>
      </c>
      <c r="B359" s="3">
        <v>45616</v>
      </c>
      <c r="C359" s="2">
        <v>28</v>
      </c>
      <c r="D359" s="2">
        <v>142</v>
      </c>
      <c r="E359" s="4" t="s">
        <v>15</v>
      </c>
      <c r="F359" s="4">
        <v>6</v>
      </c>
      <c r="G359" s="4">
        <v>4</v>
      </c>
      <c r="H359" s="2">
        <v>0</v>
      </c>
      <c r="I359" s="2">
        <v>0.8256</v>
      </c>
      <c r="J359" s="2" t="s">
        <v>23</v>
      </c>
      <c r="K359" s="2">
        <v>1451</v>
      </c>
      <c r="L359" s="2">
        <v>2</v>
      </c>
      <c r="M359" s="2" t="s">
        <v>18</v>
      </c>
      <c r="N359" s="10">
        <v>19</v>
      </c>
    </row>
    <row r="360" spans="1:15" x14ac:dyDescent="0.2">
      <c r="A360" s="9" t="s">
        <v>30</v>
      </c>
      <c r="B360" s="3">
        <v>45616</v>
      </c>
      <c r="C360" s="2">
        <v>28</v>
      </c>
      <c r="D360" s="2">
        <v>143</v>
      </c>
      <c r="E360" s="4" t="s">
        <v>15</v>
      </c>
      <c r="F360" s="4">
        <v>7</v>
      </c>
      <c r="G360" s="4">
        <v>3</v>
      </c>
      <c r="H360" s="2">
        <v>0</v>
      </c>
      <c r="I360" s="2">
        <v>1.4681999999999999</v>
      </c>
      <c r="J360" s="2" t="s">
        <v>23</v>
      </c>
      <c r="K360" s="2">
        <v>1505.5</v>
      </c>
      <c r="L360" s="2">
        <v>2</v>
      </c>
      <c r="M360" s="2" t="s">
        <v>18</v>
      </c>
      <c r="N360" s="10">
        <v>15</v>
      </c>
    </row>
    <row r="361" spans="1:15" ht="17" thickBot="1" x14ac:dyDescent="0.25">
      <c r="A361" s="20" t="s">
        <v>30</v>
      </c>
      <c r="B361" s="11">
        <v>45616</v>
      </c>
      <c r="C361" s="12">
        <v>28</v>
      </c>
      <c r="D361" s="12">
        <v>144</v>
      </c>
      <c r="E361" s="13" t="s">
        <v>15</v>
      </c>
      <c r="F361" s="13">
        <v>7</v>
      </c>
      <c r="G361" s="13">
        <v>4</v>
      </c>
      <c r="H361" s="12">
        <v>0</v>
      </c>
      <c r="I361" s="12">
        <v>1.4681999999999999</v>
      </c>
      <c r="J361" s="12" t="s">
        <v>20</v>
      </c>
      <c r="K361" s="12">
        <v>1307.5999999999999</v>
      </c>
      <c r="L361" s="12">
        <v>2</v>
      </c>
      <c r="M361" s="12" t="s">
        <v>18</v>
      </c>
      <c r="N361" s="14">
        <v>13</v>
      </c>
      <c r="O361" t="s">
        <v>34</v>
      </c>
    </row>
    <row r="362" spans="1:15" x14ac:dyDescent="0.2">
      <c r="A362" s="5" t="s">
        <v>31</v>
      </c>
      <c r="B362" s="6">
        <v>45643</v>
      </c>
      <c r="C362" s="7">
        <v>28</v>
      </c>
      <c r="D362" s="7">
        <v>145</v>
      </c>
      <c r="E362" s="7" t="s">
        <v>16</v>
      </c>
      <c r="F362" s="7">
        <v>0</v>
      </c>
      <c r="G362" s="7">
        <v>5</v>
      </c>
      <c r="H362" s="7">
        <v>0</v>
      </c>
      <c r="I362" s="7">
        <v>0</v>
      </c>
      <c r="J362" s="7" t="s">
        <v>25</v>
      </c>
      <c r="K362" s="7"/>
      <c r="L362" s="7">
        <v>2</v>
      </c>
      <c r="M362" s="7" t="s">
        <v>18</v>
      </c>
      <c r="N362" s="8"/>
    </row>
    <row r="363" spans="1:15" x14ac:dyDescent="0.2">
      <c r="A363" s="9" t="s">
        <v>31</v>
      </c>
      <c r="B363" s="3">
        <v>45613</v>
      </c>
      <c r="C363" s="2">
        <v>28</v>
      </c>
      <c r="D363" s="2">
        <v>146</v>
      </c>
      <c r="E363" s="2" t="s">
        <v>16</v>
      </c>
      <c r="F363" s="2">
        <v>0</v>
      </c>
      <c r="G363" s="2">
        <v>6</v>
      </c>
      <c r="H363" s="2">
        <v>0</v>
      </c>
      <c r="I363" s="2">
        <v>0</v>
      </c>
      <c r="J363" s="2" t="s">
        <v>24</v>
      </c>
      <c r="K363" s="2"/>
      <c r="L363" s="2">
        <v>2</v>
      </c>
      <c r="M363" s="2" t="s">
        <v>18</v>
      </c>
      <c r="N363" s="10"/>
    </row>
    <row r="364" spans="1:15" x14ac:dyDescent="0.2">
      <c r="A364" s="9" t="s">
        <v>31</v>
      </c>
      <c r="B364" s="3">
        <v>45613</v>
      </c>
      <c r="C364" s="2">
        <v>28</v>
      </c>
      <c r="D364" s="2">
        <v>147</v>
      </c>
      <c r="E364" s="2" t="s">
        <v>11</v>
      </c>
      <c r="F364" s="2">
        <v>1</v>
      </c>
      <c r="G364" s="2">
        <v>5</v>
      </c>
      <c r="H364" s="2">
        <v>0.94179999999999997</v>
      </c>
      <c r="I364" s="2">
        <v>0</v>
      </c>
      <c r="J364" s="2" t="s">
        <v>20</v>
      </c>
      <c r="K364" s="2"/>
      <c r="L364" s="2">
        <v>2</v>
      </c>
      <c r="M364" s="2" t="s">
        <v>18</v>
      </c>
      <c r="N364" s="10"/>
    </row>
    <row r="365" spans="1:15" x14ac:dyDescent="0.2">
      <c r="A365" s="9" t="s">
        <v>31</v>
      </c>
      <c r="B365" s="3">
        <v>45613</v>
      </c>
      <c r="C365" s="2">
        <v>28</v>
      </c>
      <c r="D365" s="2">
        <v>148</v>
      </c>
      <c r="E365" s="2" t="s">
        <v>11</v>
      </c>
      <c r="F365" s="2">
        <v>1</v>
      </c>
      <c r="G365" s="2">
        <v>6</v>
      </c>
      <c r="H365" s="2">
        <v>0.94179999999999997</v>
      </c>
      <c r="I365" s="2">
        <v>0</v>
      </c>
      <c r="J365" s="2" t="s">
        <v>25</v>
      </c>
      <c r="K365" s="21"/>
      <c r="L365" s="2">
        <v>2</v>
      </c>
      <c r="M365" s="2" t="s">
        <v>18</v>
      </c>
      <c r="N365" s="10"/>
    </row>
    <row r="366" spans="1:15" x14ac:dyDescent="0.2">
      <c r="A366" s="9" t="s">
        <v>31</v>
      </c>
      <c r="B366" s="3">
        <v>45613</v>
      </c>
      <c r="C366" s="2">
        <v>28</v>
      </c>
      <c r="D366" s="2">
        <v>149</v>
      </c>
      <c r="E366" s="2" t="s">
        <v>11</v>
      </c>
      <c r="F366" s="2">
        <v>2</v>
      </c>
      <c r="G366" s="2">
        <v>5</v>
      </c>
      <c r="H366" s="2">
        <v>9.4181000000000008</v>
      </c>
      <c r="I366" s="2">
        <v>0</v>
      </c>
      <c r="J366" s="2" t="s">
        <v>25</v>
      </c>
      <c r="K366" s="2"/>
      <c r="L366" s="2">
        <v>2</v>
      </c>
      <c r="M366" s="2" t="s">
        <v>18</v>
      </c>
      <c r="N366" s="10"/>
    </row>
    <row r="367" spans="1:15" x14ac:dyDescent="0.2">
      <c r="A367" s="9" t="s">
        <v>31</v>
      </c>
      <c r="B367" s="3">
        <v>45613</v>
      </c>
      <c r="C367" s="2">
        <v>28</v>
      </c>
      <c r="D367" s="2">
        <v>150</v>
      </c>
      <c r="E367" s="2" t="s">
        <v>11</v>
      </c>
      <c r="F367" s="2">
        <v>2</v>
      </c>
      <c r="G367" s="2">
        <v>6</v>
      </c>
      <c r="H367" s="2">
        <v>9.4181000000000008</v>
      </c>
      <c r="I367" s="2">
        <v>0</v>
      </c>
      <c r="J367" s="2" t="s">
        <v>20</v>
      </c>
      <c r="K367" s="21"/>
      <c r="L367" s="2">
        <v>2</v>
      </c>
      <c r="M367" s="2" t="s">
        <v>18</v>
      </c>
      <c r="N367" s="10"/>
    </row>
    <row r="368" spans="1:15" x14ac:dyDescent="0.2">
      <c r="A368" s="9" t="s">
        <v>31</v>
      </c>
      <c r="B368" s="3">
        <v>45613</v>
      </c>
      <c r="C368" s="2">
        <v>28</v>
      </c>
      <c r="D368" s="2">
        <v>151</v>
      </c>
      <c r="E368" s="2" t="s">
        <v>11</v>
      </c>
      <c r="F368" s="2">
        <v>3</v>
      </c>
      <c r="G368" s="2">
        <v>5</v>
      </c>
      <c r="H368" s="2">
        <v>52.9619</v>
      </c>
      <c r="I368" s="2">
        <v>0</v>
      </c>
      <c r="J368" s="2" t="s">
        <v>24</v>
      </c>
      <c r="K368" s="2"/>
      <c r="L368" s="2">
        <v>2</v>
      </c>
      <c r="M368" s="2" t="s">
        <v>18</v>
      </c>
      <c r="N368" s="10"/>
    </row>
    <row r="369" spans="1:14" x14ac:dyDescent="0.2">
      <c r="A369" s="9" t="s">
        <v>31</v>
      </c>
      <c r="B369" s="3">
        <v>45613</v>
      </c>
      <c r="C369" s="2">
        <v>28</v>
      </c>
      <c r="D369" s="2">
        <v>152</v>
      </c>
      <c r="E369" s="2" t="s">
        <v>11</v>
      </c>
      <c r="F369" s="2">
        <v>3</v>
      </c>
      <c r="G369" s="2">
        <v>6</v>
      </c>
      <c r="H369" s="2">
        <v>52.9619</v>
      </c>
      <c r="I369" s="2">
        <v>0</v>
      </c>
      <c r="J369" s="2" t="s">
        <v>25</v>
      </c>
      <c r="K369" s="21"/>
      <c r="L369" s="2">
        <v>2</v>
      </c>
      <c r="M369" s="2" t="s">
        <v>18</v>
      </c>
      <c r="N369" s="10"/>
    </row>
    <row r="370" spans="1:14" x14ac:dyDescent="0.2">
      <c r="A370" s="9" t="s">
        <v>31</v>
      </c>
      <c r="B370" s="3">
        <v>45613</v>
      </c>
      <c r="C370" s="2">
        <v>28</v>
      </c>
      <c r="D370" s="2">
        <v>153</v>
      </c>
      <c r="E370" s="2" t="s">
        <v>11</v>
      </c>
      <c r="F370" s="2">
        <v>4</v>
      </c>
      <c r="G370" s="2">
        <v>5</v>
      </c>
      <c r="H370" s="2">
        <v>94.180999999999997</v>
      </c>
      <c r="I370" s="2">
        <v>0</v>
      </c>
      <c r="J370" s="2" t="s">
        <v>19</v>
      </c>
      <c r="K370" s="2"/>
      <c r="L370" s="2">
        <v>2</v>
      </c>
      <c r="M370" s="2" t="s">
        <v>18</v>
      </c>
      <c r="N370" s="10"/>
    </row>
    <row r="371" spans="1:14" x14ac:dyDescent="0.2">
      <c r="A371" s="9" t="s">
        <v>31</v>
      </c>
      <c r="B371" s="3">
        <v>45613</v>
      </c>
      <c r="C371" s="2">
        <v>28</v>
      </c>
      <c r="D371" s="2">
        <v>154</v>
      </c>
      <c r="E371" s="2" t="s">
        <v>11</v>
      </c>
      <c r="F371" s="2">
        <v>4</v>
      </c>
      <c r="G371" s="2">
        <v>6</v>
      </c>
      <c r="H371" s="2">
        <v>94.180999999999997</v>
      </c>
      <c r="I371" s="2">
        <v>0</v>
      </c>
      <c r="J371" s="2" t="s">
        <v>24</v>
      </c>
      <c r="K371" s="21"/>
      <c r="L371" s="2">
        <v>2</v>
      </c>
      <c r="M371" s="2" t="s">
        <v>18</v>
      </c>
      <c r="N371" s="10"/>
    </row>
    <row r="372" spans="1:14" x14ac:dyDescent="0.2">
      <c r="A372" s="9" t="s">
        <v>31</v>
      </c>
      <c r="B372" s="3">
        <v>45613</v>
      </c>
      <c r="C372" s="2">
        <v>28</v>
      </c>
      <c r="D372" s="2">
        <v>155</v>
      </c>
      <c r="E372" s="2" t="s">
        <v>11</v>
      </c>
      <c r="F372" s="2">
        <v>5</v>
      </c>
      <c r="G372" s="2">
        <v>5</v>
      </c>
      <c r="H372" s="2">
        <v>167.48009999999999</v>
      </c>
      <c r="I372" s="2">
        <v>0</v>
      </c>
      <c r="J372" s="2" t="s">
        <v>24</v>
      </c>
      <c r="K372" s="2"/>
      <c r="L372" s="2">
        <v>2</v>
      </c>
      <c r="M372" s="2" t="s">
        <v>18</v>
      </c>
      <c r="N372" s="10"/>
    </row>
    <row r="373" spans="1:14" x14ac:dyDescent="0.2">
      <c r="A373" s="9" t="s">
        <v>31</v>
      </c>
      <c r="B373" s="3">
        <v>45613</v>
      </c>
      <c r="C373" s="2">
        <v>28</v>
      </c>
      <c r="D373" s="2">
        <v>156</v>
      </c>
      <c r="E373" s="2" t="s">
        <v>11</v>
      </c>
      <c r="F373" s="2">
        <v>5</v>
      </c>
      <c r="G373" s="2">
        <v>6</v>
      </c>
      <c r="H373" s="2">
        <v>167.48009999999999</v>
      </c>
      <c r="I373" s="2">
        <v>0</v>
      </c>
      <c r="J373" s="2" t="s">
        <v>32</v>
      </c>
      <c r="K373" s="21"/>
      <c r="L373" s="2">
        <v>2</v>
      </c>
      <c r="M373" s="2" t="s">
        <v>18</v>
      </c>
      <c r="N373" s="10"/>
    </row>
    <row r="374" spans="1:14" x14ac:dyDescent="0.2">
      <c r="A374" s="9" t="s">
        <v>31</v>
      </c>
      <c r="B374" s="3">
        <v>45613</v>
      </c>
      <c r="C374" s="2">
        <v>28</v>
      </c>
      <c r="D374" s="2">
        <v>157</v>
      </c>
      <c r="E374" s="2" t="s">
        <v>11</v>
      </c>
      <c r="F374" s="2">
        <v>6</v>
      </c>
      <c r="G374" s="2">
        <v>5</v>
      </c>
      <c r="H374" s="2">
        <v>297.82639999999998</v>
      </c>
      <c r="I374" s="2">
        <v>0</v>
      </c>
      <c r="J374" s="2" t="s">
        <v>19</v>
      </c>
      <c r="K374" s="2"/>
      <c r="L374" s="2">
        <v>2</v>
      </c>
      <c r="M374" s="2" t="s">
        <v>18</v>
      </c>
      <c r="N374" s="10"/>
    </row>
    <row r="375" spans="1:14" x14ac:dyDescent="0.2">
      <c r="A375" s="9" t="s">
        <v>31</v>
      </c>
      <c r="B375" s="3">
        <v>45613</v>
      </c>
      <c r="C375" s="2">
        <v>28</v>
      </c>
      <c r="D375" s="2">
        <v>158</v>
      </c>
      <c r="E375" s="2" t="s">
        <v>11</v>
      </c>
      <c r="F375" s="2">
        <v>6</v>
      </c>
      <c r="G375" s="2">
        <v>6</v>
      </c>
      <c r="H375" s="2">
        <v>297.82639999999998</v>
      </c>
      <c r="I375" s="2">
        <v>0</v>
      </c>
      <c r="J375" s="2" t="s">
        <v>22</v>
      </c>
      <c r="K375" s="21"/>
      <c r="L375" s="2">
        <v>2</v>
      </c>
      <c r="M375" s="2" t="s">
        <v>18</v>
      </c>
      <c r="N375" s="10"/>
    </row>
    <row r="376" spans="1:14" x14ac:dyDescent="0.2">
      <c r="A376" s="9" t="s">
        <v>31</v>
      </c>
      <c r="B376" s="3">
        <v>45613</v>
      </c>
      <c r="C376" s="2">
        <v>28</v>
      </c>
      <c r="D376" s="2">
        <v>159</v>
      </c>
      <c r="E376" s="2" t="s">
        <v>11</v>
      </c>
      <c r="F376" s="2">
        <v>7</v>
      </c>
      <c r="G376" s="2">
        <v>5</v>
      </c>
      <c r="H376" s="2">
        <v>529.61860000000001</v>
      </c>
      <c r="I376" s="2">
        <v>0</v>
      </c>
      <c r="J376" s="2" t="s">
        <v>20</v>
      </c>
      <c r="K376" s="2"/>
      <c r="L376" s="2">
        <v>2</v>
      </c>
      <c r="M376" s="2" t="s">
        <v>18</v>
      </c>
      <c r="N376" s="10"/>
    </row>
    <row r="377" spans="1:14" x14ac:dyDescent="0.2">
      <c r="A377" s="9" t="s">
        <v>31</v>
      </c>
      <c r="B377" s="3">
        <v>45613</v>
      </c>
      <c r="C377" s="2">
        <v>28</v>
      </c>
      <c r="D377" s="2">
        <v>160</v>
      </c>
      <c r="E377" s="2" t="s">
        <v>11</v>
      </c>
      <c r="F377" s="2">
        <v>7</v>
      </c>
      <c r="G377" s="2">
        <v>6</v>
      </c>
      <c r="H377" s="2">
        <v>529.61860000000001</v>
      </c>
      <c r="I377" s="2">
        <v>0</v>
      </c>
      <c r="J377" s="2" t="s">
        <v>24</v>
      </c>
      <c r="K377" s="21"/>
      <c r="L377" s="2">
        <v>2</v>
      </c>
      <c r="M377" s="2" t="s">
        <v>18</v>
      </c>
      <c r="N377" s="10"/>
    </row>
    <row r="378" spans="1:14" x14ac:dyDescent="0.2">
      <c r="A378" s="9" t="s">
        <v>31</v>
      </c>
      <c r="B378" s="3">
        <v>45613</v>
      </c>
      <c r="C378" s="2">
        <v>28</v>
      </c>
      <c r="D378" s="2">
        <v>161</v>
      </c>
      <c r="E378" s="2" t="s">
        <v>12</v>
      </c>
      <c r="F378" s="2">
        <v>1</v>
      </c>
      <c r="G378" s="2">
        <v>5</v>
      </c>
      <c r="H378" s="2">
        <v>0.70640000000000003</v>
      </c>
      <c r="I378" s="2">
        <v>6.9999999999999999E-4</v>
      </c>
      <c r="J378" s="2" t="s">
        <v>22</v>
      </c>
      <c r="K378" s="2"/>
      <c r="L378" s="2">
        <v>2</v>
      </c>
      <c r="M378" s="2" t="s">
        <v>18</v>
      </c>
      <c r="N378" s="10"/>
    </row>
    <row r="379" spans="1:14" x14ac:dyDescent="0.2">
      <c r="A379" s="9" t="s">
        <v>31</v>
      </c>
      <c r="B379" s="3">
        <v>45613</v>
      </c>
      <c r="C379" s="2">
        <v>28</v>
      </c>
      <c r="D379" s="2">
        <v>162</v>
      </c>
      <c r="E379" s="2" t="s">
        <v>12</v>
      </c>
      <c r="F379" s="2">
        <v>1</v>
      </c>
      <c r="G379" s="2">
        <v>6</v>
      </c>
      <c r="H379" s="2">
        <v>0.70640000000000003</v>
      </c>
      <c r="I379" s="2">
        <v>6.9999999999999999E-4</v>
      </c>
      <c r="J379" s="2" t="s">
        <v>25</v>
      </c>
      <c r="K379" s="21"/>
      <c r="L379" s="2">
        <v>2</v>
      </c>
      <c r="M379" s="2" t="s">
        <v>18</v>
      </c>
      <c r="N379" s="10"/>
    </row>
    <row r="380" spans="1:14" x14ac:dyDescent="0.2">
      <c r="A380" s="9" t="s">
        <v>31</v>
      </c>
      <c r="B380" s="3">
        <v>45613</v>
      </c>
      <c r="C380" s="2">
        <v>28</v>
      </c>
      <c r="D380" s="2">
        <v>163</v>
      </c>
      <c r="E380" s="2" t="s">
        <v>12</v>
      </c>
      <c r="F380" s="2">
        <v>2</v>
      </c>
      <c r="G380" s="2">
        <v>5</v>
      </c>
      <c r="H380" s="2">
        <v>7.0636000000000001</v>
      </c>
      <c r="I380" s="2">
        <v>6.4999999999999997E-3</v>
      </c>
      <c r="J380" s="2" t="s">
        <v>20</v>
      </c>
      <c r="K380" s="2"/>
      <c r="L380" s="2">
        <v>2</v>
      </c>
      <c r="M380" s="2" t="s">
        <v>18</v>
      </c>
      <c r="N380" s="10"/>
    </row>
    <row r="381" spans="1:14" x14ac:dyDescent="0.2">
      <c r="A381" s="9" t="s">
        <v>31</v>
      </c>
      <c r="B381" s="3">
        <v>45613</v>
      </c>
      <c r="C381" s="2">
        <v>28</v>
      </c>
      <c r="D381" s="2">
        <v>164</v>
      </c>
      <c r="E381" s="2" t="s">
        <v>12</v>
      </c>
      <c r="F381" s="2">
        <v>2</v>
      </c>
      <c r="G381" s="2">
        <v>6</v>
      </c>
      <c r="H381" s="2">
        <v>7.0636000000000001</v>
      </c>
      <c r="I381" s="2">
        <v>6.4999999999999997E-3</v>
      </c>
      <c r="J381" s="2" t="s">
        <v>25</v>
      </c>
      <c r="K381" s="21"/>
      <c r="L381" s="2">
        <v>2</v>
      </c>
      <c r="M381" s="2" t="s">
        <v>18</v>
      </c>
      <c r="N381" s="10"/>
    </row>
    <row r="382" spans="1:14" x14ac:dyDescent="0.2">
      <c r="A382" s="9" t="s">
        <v>31</v>
      </c>
      <c r="B382" s="3">
        <v>45613</v>
      </c>
      <c r="C382" s="2">
        <v>28</v>
      </c>
      <c r="D382" s="2">
        <v>165</v>
      </c>
      <c r="E382" s="2" t="s">
        <v>12</v>
      </c>
      <c r="F382" s="2">
        <v>3</v>
      </c>
      <c r="G382" s="2">
        <v>5</v>
      </c>
      <c r="H382" s="2">
        <v>39.721400000000003</v>
      </c>
      <c r="I382" s="2">
        <v>3.6700000000000003E-2</v>
      </c>
      <c r="J382" s="2" t="s">
        <v>19</v>
      </c>
      <c r="K382" s="2"/>
      <c r="L382" s="2">
        <v>2</v>
      </c>
      <c r="M382" s="2" t="s">
        <v>18</v>
      </c>
      <c r="N382" s="10"/>
    </row>
    <row r="383" spans="1:14" x14ac:dyDescent="0.2">
      <c r="A383" s="9" t="s">
        <v>31</v>
      </c>
      <c r="B383" s="3">
        <v>45613</v>
      </c>
      <c r="C383" s="2">
        <v>28</v>
      </c>
      <c r="D383" s="2">
        <v>166</v>
      </c>
      <c r="E383" s="2" t="s">
        <v>12</v>
      </c>
      <c r="F383" s="2">
        <v>3</v>
      </c>
      <c r="G383" s="2">
        <v>6</v>
      </c>
      <c r="H383" s="2">
        <v>39.721400000000003</v>
      </c>
      <c r="I383" s="2">
        <v>3.6700000000000003E-2</v>
      </c>
      <c r="J383" s="2" t="s">
        <v>20</v>
      </c>
      <c r="K383" s="2"/>
      <c r="L383" s="2">
        <v>2</v>
      </c>
      <c r="M383" s="2" t="s">
        <v>18</v>
      </c>
      <c r="N383" s="10"/>
    </row>
    <row r="384" spans="1:14" x14ac:dyDescent="0.2">
      <c r="A384" s="9" t="s">
        <v>31</v>
      </c>
      <c r="B384" s="3">
        <v>45613</v>
      </c>
      <c r="C384" s="2">
        <v>28</v>
      </c>
      <c r="D384" s="2">
        <v>167</v>
      </c>
      <c r="E384" s="2" t="s">
        <v>12</v>
      </c>
      <c r="F384" s="2">
        <v>4</v>
      </c>
      <c r="G384" s="2">
        <v>5</v>
      </c>
      <c r="H384" s="2">
        <v>70.6357</v>
      </c>
      <c r="I384" s="2">
        <v>6.5299999999999997E-2</v>
      </c>
      <c r="J384" s="2" t="s">
        <v>25</v>
      </c>
      <c r="K384" s="2"/>
      <c r="L384" s="2">
        <v>2</v>
      </c>
      <c r="M384" s="2" t="s">
        <v>18</v>
      </c>
      <c r="N384" s="10"/>
    </row>
    <row r="385" spans="1:14" x14ac:dyDescent="0.2">
      <c r="A385" s="9" t="s">
        <v>31</v>
      </c>
      <c r="B385" s="3">
        <v>45613</v>
      </c>
      <c r="C385" s="2">
        <v>28</v>
      </c>
      <c r="D385" s="2">
        <v>168</v>
      </c>
      <c r="E385" s="2" t="s">
        <v>12</v>
      </c>
      <c r="F385" s="2">
        <v>4</v>
      </c>
      <c r="G385" s="2">
        <v>6</v>
      </c>
      <c r="H385" s="2">
        <v>70.6357</v>
      </c>
      <c r="I385" s="2">
        <v>6.5299999999999997E-2</v>
      </c>
      <c r="J385" s="2" t="s">
        <v>19</v>
      </c>
      <c r="K385" s="2"/>
      <c r="L385" s="2">
        <v>2</v>
      </c>
      <c r="M385" s="2" t="s">
        <v>18</v>
      </c>
      <c r="N385" s="10"/>
    </row>
    <row r="386" spans="1:14" x14ac:dyDescent="0.2">
      <c r="A386" s="9" t="s">
        <v>31</v>
      </c>
      <c r="B386" s="3">
        <v>45613</v>
      </c>
      <c r="C386" s="2">
        <v>28</v>
      </c>
      <c r="D386" s="2">
        <v>169</v>
      </c>
      <c r="E386" s="2" t="s">
        <v>12</v>
      </c>
      <c r="F386" s="2">
        <v>5</v>
      </c>
      <c r="G386" s="2">
        <v>5</v>
      </c>
      <c r="H386" s="2">
        <v>125.6101</v>
      </c>
      <c r="I386" s="2">
        <v>0.11609999999999999</v>
      </c>
      <c r="J386" s="2" t="s">
        <v>23</v>
      </c>
      <c r="K386" s="2"/>
      <c r="L386" s="2">
        <v>2</v>
      </c>
      <c r="M386" s="2" t="s">
        <v>18</v>
      </c>
      <c r="N386" s="10"/>
    </row>
    <row r="387" spans="1:14" x14ac:dyDescent="0.2">
      <c r="A387" s="9" t="s">
        <v>31</v>
      </c>
      <c r="B387" s="3">
        <v>45613</v>
      </c>
      <c r="C387" s="2">
        <v>28</v>
      </c>
      <c r="D387" s="2">
        <v>170</v>
      </c>
      <c r="E387" s="2" t="s">
        <v>12</v>
      </c>
      <c r="F387" s="2">
        <v>5</v>
      </c>
      <c r="G387" s="2">
        <v>6</v>
      </c>
      <c r="H387" s="2">
        <v>125.6101</v>
      </c>
      <c r="I387" s="2">
        <v>0.11609999999999999</v>
      </c>
      <c r="J387" s="2" t="s">
        <v>21</v>
      </c>
      <c r="K387" s="2"/>
      <c r="L387" s="2">
        <v>2</v>
      </c>
      <c r="M387" s="2" t="s">
        <v>18</v>
      </c>
      <c r="N387" s="10"/>
    </row>
    <row r="388" spans="1:14" x14ac:dyDescent="0.2">
      <c r="A388" s="9" t="s">
        <v>31</v>
      </c>
      <c r="B388" s="3">
        <v>45613</v>
      </c>
      <c r="C388" s="2">
        <v>28</v>
      </c>
      <c r="D388" s="2">
        <v>171</v>
      </c>
      <c r="E388" s="2" t="s">
        <v>12</v>
      </c>
      <c r="F388" s="2">
        <v>6</v>
      </c>
      <c r="G388" s="2">
        <v>5</v>
      </c>
      <c r="H388" s="2">
        <v>223.3698</v>
      </c>
      <c r="I388" s="2">
        <v>0.2064</v>
      </c>
      <c r="J388" s="2" t="s">
        <v>22</v>
      </c>
      <c r="K388" s="2"/>
      <c r="L388" s="2">
        <v>2</v>
      </c>
      <c r="M388" s="2" t="s">
        <v>18</v>
      </c>
      <c r="N388" s="10"/>
    </row>
    <row r="389" spans="1:14" x14ac:dyDescent="0.2">
      <c r="A389" s="9" t="s">
        <v>31</v>
      </c>
      <c r="B389" s="3">
        <v>45613</v>
      </c>
      <c r="C389" s="2">
        <v>28</v>
      </c>
      <c r="D389" s="2">
        <v>172</v>
      </c>
      <c r="E389" s="2" t="s">
        <v>12</v>
      </c>
      <c r="F389" s="2">
        <v>6</v>
      </c>
      <c r="G389" s="2">
        <v>6</v>
      </c>
      <c r="H389" s="2">
        <v>223.3698</v>
      </c>
      <c r="I389" s="2">
        <v>0.2064</v>
      </c>
      <c r="J389" s="2" t="s">
        <v>24</v>
      </c>
      <c r="K389" s="2"/>
      <c r="L389" s="2">
        <v>2</v>
      </c>
      <c r="M389" s="2" t="s">
        <v>18</v>
      </c>
      <c r="N389" s="10"/>
    </row>
    <row r="390" spans="1:14" x14ac:dyDescent="0.2">
      <c r="A390" s="9" t="s">
        <v>31</v>
      </c>
      <c r="B390" s="3">
        <v>45613</v>
      </c>
      <c r="C390" s="2">
        <v>28</v>
      </c>
      <c r="D390" s="2">
        <v>173</v>
      </c>
      <c r="E390" s="2" t="s">
        <v>12</v>
      </c>
      <c r="F390" s="2">
        <v>7</v>
      </c>
      <c r="G390" s="2">
        <v>5</v>
      </c>
      <c r="H390" s="2">
        <v>397.214</v>
      </c>
      <c r="I390" s="2">
        <v>0.36709999999999998</v>
      </c>
      <c r="J390" s="2" t="s">
        <v>24</v>
      </c>
      <c r="K390" s="2"/>
      <c r="L390" s="2">
        <v>2</v>
      </c>
      <c r="M390" s="2" t="s">
        <v>18</v>
      </c>
      <c r="N390" s="10"/>
    </row>
    <row r="391" spans="1:14" x14ac:dyDescent="0.2">
      <c r="A391" s="9" t="s">
        <v>31</v>
      </c>
      <c r="B391" s="3">
        <v>45613</v>
      </c>
      <c r="C391" s="2">
        <v>28</v>
      </c>
      <c r="D391" s="2">
        <v>174</v>
      </c>
      <c r="E391" s="2" t="s">
        <v>12</v>
      </c>
      <c r="F391" s="2">
        <v>7</v>
      </c>
      <c r="G391" s="2">
        <v>6</v>
      </c>
      <c r="H391" s="2">
        <v>397.214</v>
      </c>
      <c r="I391" s="2">
        <v>0.36709999999999998</v>
      </c>
      <c r="J391" s="2" t="s">
        <v>19</v>
      </c>
      <c r="K391" s="2"/>
      <c r="L391" s="2">
        <v>2</v>
      </c>
      <c r="M391" s="2" t="s">
        <v>18</v>
      </c>
      <c r="N391" s="10"/>
    </row>
    <row r="392" spans="1:14" x14ac:dyDescent="0.2">
      <c r="A392" s="9" t="s">
        <v>31</v>
      </c>
      <c r="B392" s="3">
        <v>45613</v>
      </c>
      <c r="C392" s="2">
        <v>28</v>
      </c>
      <c r="D392" s="2">
        <v>175</v>
      </c>
      <c r="E392" s="2" t="s">
        <v>13</v>
      </c>
      <c r="F392" s="2">
        <v>1</v>
      </c>
      <c r="G392" s="2">
        <v>5</v>
      </c>
      <c r="H392" s="2">
        <v>0.47089999999999999</v>
      </c>
      <c r="I392" s="2">
        <v>1.2999999999999999E-3</v>
      </c>
      <c r="J392" s="2" t="s">
        <v>19</v>
      </c>
      <c r="K392" s="2"/>
      <c r="L392" s="2">
        <v>2</v>
      </c>
      <c r="M392" s="2" t="s">
        <v>18</v>
      </c>
      <c r="N392" s="10"/>
    </row>
    <row r="393" spans="1:14" x14ac:dyDescent="0.2">
      <c r="A393" s="9" t="s">
        <v>31</v>
      </c>
      <c r="B393" s="3">
        <v>45613</v>
      </c>
      <c r="C393" s="2">
        <v>28</v>
      </c>
      <c r="D393" s="2">
        <v>176</v>
      </c>
      <c r="E393" s="2" t="s">
        <v>13</v>
      </c>
      <c r="F393" s="2">
        <v>1</v>
      </c>
      <c r="G393" s="2">
        <v>6</v>
      </c>
      <c r="H393" s="2">
        <v>0.47089999999999999</v>
      </c>
      <c r="I393" s="2">
        <v>1.2999999999999999E-3</v>
      </c>
      <c r="J393" s="2" t="s">
        <v>24</v>
      </c>
      <c r="K393" s="2"/>
      <c r="L393" s="2">
        <v>2</v>
      </c>
      <c r="M393" s="2" t="s">
        <v>18</v>
      </c>
      <c r="N393" s="10"/>
    </row>
    <row r="394" spans="1:14" x14ac:dyDescent="0.2">
      <c r="A394" s="9" t="s">
        <v>31</v>
      </c>
      <c r="B394" s="3">
        <v>45613</v>
      </c>
      <c r="C394" s="2">
        <v>28</v>
      </c>
      <c r="D394" s="2">
        <v>177</v>
      </c>
      <c r="E394" s="2" t="s">
        <v>13</v>
      </c>
      <c r="F394" s="2">
        <v>2</v>
      </c>
      <c r="G394" s="2">
        <v>5</v>
      </c>
      <c r="H394" s="2">
        <v>4.7089999999999996</v>
      </c>
      <c r="I394" s="2">
        <v>1.3100000000000001E-2</v>
      </c>
      <c r="J394" s="2" t="s">
        <v>24</v>
      </c>
      <c r="K394" s="2"/>
      <c r="L394" s="2">
        <v>2</v>
      </c>
      <c r="M394" s="2" t="s">
        <v>18</v>
      </c>
      <c r="N394" s="10"/>
    </row>
    <row r="395" spans="1:14" x14ac:dyDescent="0.2">
      <c r="A395" s="9" t="s">
        <v>31</v>
      </c>
      <c r="B395" s="3">
        <v>45613</v>
      </c>
      <c r="C395" s="2">
        <v>28</v>
      </c>
      <c r="D395" s="2">
        <v>178</v>
      </c>
      <c r="E395" s="2" t="s">
        <v>13</v>
      </c>
      <c r="F395" s="2">
        <v>2</v>
      </c>
      <c r="G395" s="2">
        <v>6</v>
      </c>
      <c r="H395" s="2">
        <v>4.7089999999999996</v>
      </c>
      <c r="I395" s="2">
        <v>1.3100000000000001E-2</v>
      </c>
      <c r="J395" s="2" t="s">
        <v>25</v>
      </c>
      <c r="K395" s="2"/>
      <c r="L395" s="2">
        <v>2</v>
      </c>
      <c r="M395" s="2" t="s">
        <v>18</v>
      </c>
      <c r="N395" s="10"/>
    </row>
    <row r="396" spans="1:14" x14ac:dyDescent="0.2">
      <c r="A396" s="9" t="s">
        <v>31</v>
      </c>
      <c r="B396" s="3">
        <v>45613</v>
      </c>
      <c r="C396" s="2">
        <v>28</v>
      </c>
      <c r="D396" s="2">
        <v>179</v>
      </c>
      <c r="E396" s="2" t="s">
        <v>13</v>
      </c>
      <c r="F396" s="2">
        <v>3</v>
      </c>
      <c r="G396" s="2">
        <v>5</v>
      </c>
      <c r="H396" s="2">
        <v>26.480899999999998</v>
      </c>
      <c r="I396" s="2">
        <v>7.3400000000000007E-2</v>
      </c>
      <c r="J396" s="2" t="s">
        <v>25</v>
      </c>
      <c r="K396" s="2"/>
      <c r="L396" s="2">
        <v>2</v>
      </c>
      <c r="M396" s="2" t="s">
        <v>18</v>
      </c>
      <c r="N396" s="10"/>
    </row>
    <row r="397" spans="1:14" x14ac:dyDescent="0.2">
      <c r="A397" s="9" t="s">
        <v>31</v>
      </c>
      <c r="B397" s="3">
        <v>45613</v>
      </c>
      <c r="C397" s="2">
        <v>28</v>
      </c>
      <c r="D397" s="2">
        <v>180</v>
      </c>
      <c r="E397" s="2" t="s">
        <v>13</v>
      </c>
      <c r="F397" s="2">
        <v>3</v>
      </c>
      <c r="G397" s="2">
        <v>6</v>
      </c>
      <c r="H397" s="2">
        <v>26.480899999999998</v>
      </c>
      <c r="I397" s="2">
        <v>7.3400000000000007E-2</v>
      </c>
      <c r="J397" s="2" t="s">
        <v>19</v>
      </c>
      <c r="K397" s="2"/>
      <c r="L397" s="2">
        <v>2</v>
      </c>
      <c r="M397" s="2" t="s">
        <v>18</v>
      </c>
      <c r="N397" s="10"/>
    </row>
    <row r="398" spans="1:14" x14ac:dyDescent="0.2">
      <c r="A398" s="9" t="s">
        <v>31</v>
      </c>
      <c r="B398" s="3">
        <v>45613</v>
      </c>
      <c r="C398" s="2">
        <v>28</v>
      </c>
      <c r="D398" s="2">
        <v>181</v>
      </c>
      <c r="E398" s="2" t="s">
        <v>13</v>
      </c>
      <c r="F398" s="2">
        <v>4</v>
      </c>
      <c r="G398" s="2">
        <v>5</v>
      </c>
      <c r="H398" s="2">
        <v>47.090499999999999</v>
      </c>
      <c r="I398" s="2">
        <v>0.1305</v>
      </c>
      <c r="J398" s="2" t="s">
        <v>19</v>
      </c>
      <c r="K398" s="2"/>
      <c r="L398" s="2">
        <v>2</v>
      </c>
      <c r="M398" s="2" t="s">
        <v>18</v>
      </c>
      <c r="N398" s="10"/>
    </row>
    <row r="399" spans="1:14" x14ac:dyDescent="0.2">
      <c r="A399" s="9" t="s">
        <v>31</v>
      </c>
      <c r="B399" s="3">
        <v>45613</v>
      </c>
      <c r="C399" s="2">
        <v>28</v>
      </c>
      <c r="D399" s="2">
        <v>182</v>
      </c>
      <c r="E399" s="2" t="s">
        <v>13</v>
      </c>
      <c r="F399" s="2">
        <v>4</v>
      </c>
      <c r="G399" s="2">
        <v>6</v>
      </c>
      <c r="H399" s="2">
        <v>47.090499999999999</v>
      </c>
      <c r="I399" s="2">
        <v>0.1305</v>
      </c>
      <c r="J399" s="2" t="s">
        <v>24</v>
      </c>
      <c r="K399" s="2"/>
      <c r="L399" s="2">
        <v>2</v>
      </c>
      <c r="M399" s="2" t="s">
        <v>18</v>
      </c>
      <c r="N399" s="10"/>
    </row>
    <row r="400" spans="1:14" x14ac:dyDescent="0.2">
      <c r="A400" s="9" t="s">
        <v>31</v>
      </c>
      <c r="B400" s="3">
        <v>45613</v>
      </c>
      <c r="C400" s="2">
        <v>28</v>
      </c>
      <c r="D400" s="2">
        <v>183</v>
      </c>
      <c r="E400" s="2" t="s">
        <v>13</v>
      </c>
      <c r="F400" s="2">
        <v>5</v>
      </c>
      <c r="G400" s="2">
        <v>5</v>
      </c>
      <c r="H400" s="2">
        <v>83.740099999999998</v>
      </c>
      <c r="I400" s="2">
        <v>0.2321</v>
      </c>
      <c r="J400" s="2" t="s">
        <v>20</v>
      </c>
      <c r="K400" s="2"/>
      <c r="L400" s="2">
        <v>2</v>
      </c>
      <c r="M400" s="2" t="s">
        <v>18</v>
      </c>
      <c r="N400" s="10"/>
    </row>
    <row r="401" spans="1:14" x14ac:dyDescent="0.2">
      <c r="A401" s="9" t="s">
        <v>31</v>
      </c>
      <c r="B401" s="3">
        <v>45613</v>
      </c>
      <c r="C401" s="2">
        <v>28</v>
      </c>
      <c r="D401" s="2">
        <v>184</v>
      </c>
      <c r="E401" s="2" t="s">
        <v>13</v>
      </c>
      <c r="F401" s="2">
        <v>5</v>
      </c>
      <c r="G401" s="2">
        <v>6</v>
      </c>
      <c r="H401" s="2">
        <v>83.740099999999998</v>
      </c>
      <c r="I401" s="2">
        <v>0.2321</v>
      </c>
      <c r="J401" s="2" t="s">
        <v>25</v>
      </c>
      <c r="K401" s="2"/>
      <c r="L401" s="2">
        <v>2</v>
      </c>
      <c r="M401" s="2" t="s">
        <v>18</v>
      </c>
      <c r="N401" s="10"/>
    </row>
    <row r="402" spans="1:14" x14ac:dyDescent="0.2">
      <c r="A402" s="9" t="s">
        <v>31</v>
      </c>
      <c r="B402" s="3">
        <v>45613</v>
      </c>
      <c r="C402" s="2">
        <v>28</v>
      </c>
      <c r="D402" s="2">
        <v>185</v>
      </c>
      <c r="E402" s="2" t="s">
        <v>13</v>
      </c>
      <c r="F402" s="2">
        <v>6</v>
      </c>
      <c r="G402" s="2">
        <v>5</v>
      </c>
      <c r="H402" s="2">
        <v>148.91319999999999</v>
      </c>
      <c r="I402" s="2">
        <v>0.4128</v>
      </c>
      <c r="J402" s="2" t="s">
        <v>19</v>
      </c>
      <c r="K402" s="2"/>
      <c r="L402" s="2">
        <v>2</v>
      </c>
      <c r="M402" s="2" t="s">
        <v>18</v>
      </c>
      <c r="N402" s="10"/>
    </row>
    <row r="403" spans="1:14" x14ac:dyDescent="0.2">
      <c r="A403" s="9" t="s">
        <v>31</v>
      </c>
      <c r="B403" s="3">
        <v>45613</v>
      </c>
      <c r="C403" s="2">
        <v>28</v>
      </c>
      <c r="D403" s="2">
        <v>186</v>
      </c>
      <c r="E403" s="2" t="s">
        <v>13</v>
      </c>
      <c r="F403" s="2">
        <v>6</v>
      </c>
      <c r="G403" s="2">
        <v>6</v>
      </c>
      <c r="H403" s="2">
        <v>148.91319999999999</v>
      </c>
      <c r="I403" s="2">
        <v>0.4128</v>
      </c>
      <c r="J403" s="2" t="s">
        <v>20</v>
      </c>
      <c r="K403" s="2"/>
      <c r="L403" s="2">
        <v>2</v>
      </c>
      <c r="M403" s="2" t="s">
        <v>18</v>
      </c>
      <c r="N403" s="10"/>
    </row>
    <row r="404" spans="1:14" x14ac:dyDescent="0.2">
      <c r="A404" s="9" t="s">
        <v>31</v>
      </c>
      <c r="B404" s="3">
        <v>45613</v>
      </c>
      <c r="C404" s="2">
        <v>28</v>
      </c>
      <c r="D404" s="2">
        <v>187</v>
      </c>
      <c r="E404" s="2" t="s">
        <v>13</v>
      </c>
      <c r="F404" s="2">
        <v>7</v>
      </c>
      <c r="G404" s="2">
        <v>5</v>
      </c>
      <c r="H404" s="2">
        <v>264.80930000000001</v>
      </c>
      <c r="I404" s="2">
        <v>0.73409999999999997</v>
      </c>
      <c r="J404" s="2" t="s">
        <v>24</v>
      </c>
      <c r="K404" s="2"/>
      <c r="L404" s="2">
        <v>2</v>
      </c>
      <c r="M404" s="2" t="s">
        <v>18</v>
      </c>
      <c r="N404" s="10"/>
    </row>
    <row r="405" spans="1:14" x14ac:dyDescent="0.2">
      <c r="A405" s="9" t="s">
        <v>31</v>
      </c>
      <c r="B405" s="3">
        <v>45613</v>
      </c>
      <c r="C405" s="2">
        <v>28</v>
      </c>
      <c r="D405" s="2">
        <v>188</v>
      </c>
      <c r="E405" s="2" t="s">
        <v>13</v>
      </c>
      <c r="F405" s="2">
        <v>7</v>
      </c>
      <c r="G405" s="2">
        <v>6</v>
      </c>
      <c r="H405" s="2">
        <v>264.80930000000001</v>
      </c>
      <c r="I405" s="2">
        <v>0.73409999999999997</v>
      </c>
      <c r="J405" s="2" t="s">
        <v>19</v>
      </c>
      <c r="K405" s="2"/>
      <c r="L405" s="2">
        <v>2</v>
      </c>
      <c r="M405" s="2" t="s">
        <v>18</v>
      </c>
      <c r="N405" s="10"/>
    </row>
    <row r="406" spans="1:14" x14ac:dyDescent="0.2">
      <c r="A406" s="9" t="s">
        <v>31</v>
      </c>
      <c r="B406" s="3">
        <v>45613</v>
      </c>
      <c r="C406" s="2">
        <v>28</v>
      </c>
      <c r="D406" s="2">
        <v>189</v>
      </c>
      <c r="E406" s="2" t="s">
        <v>14</v>
      </c>
      <c r="F406" s="2">
        <v>1</v>
      </c>
      <c r="G406" s="2">
        <v>5</v>
      </c>
      <c r="H406" s="2">
        <v>0.23549999999999999</v>
      </c>
      <c r="I406" s="2">
        <v>2E-3</v>
      </c>
      <c r="J406" s="2" t="s">
        <v>19</v>
      </c>
      <c r="K406" s="2"/>
      <c r="L406" s="2">
        <v>2</v>
      </c>
      <c r="M406" s="2" t="s">
        <v>18</v>
      </c>
      <c r="N406" s="10"/>
    </row>
    <row r="407" spans="1:14" x14ac:dyDescent="0.2">
      <c r="A407" s="9" t="s">
        <v>31</v>
      </c>
      <c r="B407" s="3">
        <v>45613</v>
      </c>
      <c r="C407" s="2">
        <v>28</v>
      </c>
      <c r="D407" s="2">
        <v>190</v>
      </c>
      <c r="E407" s="2" t="s">
        <v>14</v>
      </c>
      <c r="F407" s="2">
        <v>1</v>
      </c>
      <c r="G407" s="2">
        <v>6</v>
      </c>
      <c r="H407" s="2">
        <v>0.23549999999999999</v>
      </c>
      <c r="I407" s="2">
        <v>2E-3</v>
      </c>
      <c r="J407" s="2" t="s">
        <v>25</v>
      </c>
      <c r="K407" s="2"/>
      <c r="L407" s="2">
        <v>2</v>
      </c>
      <c r="M407" s="2" t="s">
        <v>18</v>
      </c>
      <c r="N407" s="10"/>
    </row>
    <row r="408" spans="1:14" x14ac:dyDescent="0.2">
      <c r="A408" s="9" t="s">
        <v>31</v>
      </c>
      <c r="B408" s="3">
        <v>45613</v>
      </c>
      <c r="C408" s="2">
        <v>28</v>
      </c>
      <c r="D408" s="2">
        <v>191</v>
      </c>
      <c r="E408" s="2" t="s">
        <v>14</v>
      </c>
      <c r="F408" s="2">
        <v>2</v>
      </c>
      <c r="G408" s="2">
        <v>5</v>
      </c>
      <c r="H408" s="2">
        <v>2.3544999999999998</v>
      </c>
      <c r="I408" s="2">
        <v>1.9599999999999999E-2</v>
      </c>
      <c r="J408" s="2" t="s">
        <v>24</v>
      </c>
      <c r="K408" s="2"/>
      <c r="L408" s="2">
        <v>2</v>
      </c>
      <c r="M408" s="2" t="s">
        <v>18</v>
      </c>
      <c r="N408" s="10"/>
    </row>
    <row r="409" spans="1:14" x14ac:dyDescent="0.2">
      <c r="A409" s="9" t="s">
        <v>31</v>
      </c>
      <c r="B409" s="3">
        <v>45613</v>
      </c>
      <c r="C409" s="2">
        <v>28</v>
      </c>
      <c r="D409" s="2">
        <v>192</v>
      </c>
      <c r="E409" s="2" t="s">
        <v>14</v>
      </c>
      <c r="F409" s="2">
        <v>2</v>
      </c>
      <c r="G409" s="2">
        <v>6</v>
      </c>
      <c r="H409" s="2">
        <v>2.3544999999999998</v>
      </c>
      <c r="I409" s="2">
        <v>1.9599999999999999E-2</v>
      </c>
      <c r="J409" s="2" t="s">
        <v>24</v>
      </c>
      <c r="K409" s="2"/>
      <c r="L409" s="2">
        <v>2</v>
      </c>
      <c r="M409" s="2" t="s">
        <v>18</v>
      </c>
      <c r="N409" s="10"/>
    </row>
    <row r="410" spans="1:14" x14ac:dyDescent="0.2">
      <c r="A410" s="9" t="s">
        <v>31</v>
      </c>
      <c r="B410" s="3">
        <v>45613</v>
      </c>
      <c r="C410" s="2">
        <v>28</v>
      </c>
      <c r="D410" s="2">
        <v>193</v>
      </c>
      <c r="E410" s="2" t="s">
        <v>14</v>
      </c>
      <c r="F410" s="2">
        <v>3</v>
      </c>
      <c r="G410" s="2">
        <v>5</v>
      </c>
      <c r="H410" s="2">
        <v>13.240500000000001</v>
      </c>
      <c r="I410" s="2">
        <v>0.1101</v>
      </c>
      <c r="J410" s="2" t="s">
        <v>25</v>
      </c>
      <c r="K410" s="2"/>
      <c r="L410" s="2">
        <v>2</v>
      </c>
      <c r="M410" s="2" t="s">
        <v>18</v>
      </c>
      <c r="N410" s="10"/>
    </row>
    <row r="411" spans="1:14" x14ac:dyDescent="0.2">
      <c r="A411" s="9" t="s">
        <v>31</v>
      </c>
      <c r="B411" s="3">
        <v>45613</v>
      </c>
      <c r="C411" s="2">
        <v>28</v>
      </c>
      <c r="D411" s="2">
        <v>194</v>
      </c>
      <c r="E411" s="2" t="s">
        <v>14</v>
      </c>
      <c r="F411" s="2">
        <v>3</v>
      </c>
      <c r="G411" s="2">
        <v>6</v>
      </c>
      <c r="H411" s="2">
        <v>13.240500000000001</v>
      </c>
      <c r="I411" s="2">
        <v>0.1101</v>
      </c>
      <c r="J411" s="2" t="s">
        <v>19</v>
      </c>
      <c r="K411" s="2"/>
      <c r="L411" s="2">
        <v>2</v>
      </c>
      <c r="M411" s="2" t="s">
        <v>18</v>
      </c>
      <c r="N411" s="10"/>
    </row>
    <row r="412" spans="1:14" x14ac:dyDescent="0.2">
      <c r="A412" s="9" t="s">
        <v>31</v>
      </c>
      <c r="B412" s="3">
        <v>45613</v>
      </c>
      <c r="C412" s="2">
        <v>28</v>
      </c>
      <c r="D412" s="2">
        <v>195</v>
      </c>
      <c r="E412" s="2" t="s">
        <v>14</v>
      </c>
      <c r="F412" s="2">
        <v>4</v>
      </c>
      <c r="G412" s="2">
        <v>5</v>
      </c>
      <c r="H412" s="2">
        <v>23.545200000000001</v>
      </c>
      <c r="I412" s="2">
        <v>0.1958</v>
      </c>
      <c r="J412" s="2" t="s">
        <v>19</v>
      </c>
      <c r="K412" s="2"/>
      <c r="L412" s="2">
        <v>2</v>
      </c>
      <c r="M412" s="2" t="s">
        <v>18</v>
      </c>
      <c r="N412" s="10"/>
    </row>
    <row r="413" spans="1:14" x14ac:dyDescent="0.2">
      <c r="A413" s="9" t="s">
        <v>31</v>
      </c>
      <c r="B413" s="3">
        <v>45613</v>
      </c>
      <c r="C413" s="2">
        <v>28</v>
      </c>
      <c r="D413" s="2">
        <v>196</v>
      </c>
      <c r="E413" s="2" t="s">
        <v>14</v>
      </c>
      <c r="F413" s="2">
        <v>4</v>
      </c>
      <c r="G413" s="2">
        <v>6</v>
      </c>
      <c r="H413" s="2">
        <v>23.545200000000001</v>
      </c>
      <c r="I413" s="2">
        <v>0.1958</v>
      </c>
      <c r="J413" s="2" t="s">
        <v>25</v>
      </c>
      <c r="K413" s="2"/>
      <c r="L413" s="2">
        <v>2</v>
      </c>
      <c r="M413" s="2" t="s">
        <v>18</v>
      </c>
      <c r="N413" s="10"/>
    </row>
    <row r="414" spans="1:14" x14ac:dyDescent="0.2">
      <c r="A414" s="9" t="s">
        <v>31</v>
      </c>
      <c r="B414" s="3">
        <v>45613</v>
      </c>
      <c r="C414" s="2">
        <v>28</v>
      </c>
      <c r="D414" s="2">
        <v>197</v>
      </c>
      <c r="E414" s="2" t="s">
        <v>14</v>
      </c>
      <c r="F414" s="2">
        <v>5</v>
      </c>
      <c r="G414" s="2">
        <v>5</v>
      </c>
      <c r="H414" s="2">
        <v>41.87</v>
      </c>
      <c r="I414" s="2">
        <v>0.34820000000000001</v>
      </c>
      <c r="J414" s="2" t="s">
        <v>25</v>
      </c>
      <c r="K414" s="2"/>
      <c r="L414" s="2">
        <v>2</v>
      </c>
      <c r="M414" s="2" t="s">
        <v>18</v>
      </c>
      <c r="N414" s="10"/>
    </row>
    <row r="415" spans="1:14" x14ac:dyDescent="0.2">
      <c r="A415" s="9" t="s">
        <v>31</v>
      </c>
      <c r="B415" s="3">
        <v>45613</v>
      </c>
      <c r="C415" s="2">
        <v>28</v>
      </c>
      <c r="D415" s="2">
        <v>198</v>
      </c>
      <c r="E415" s="2" t="s">
        <v>14</v>
      </c>
      <c r="F415" s="2">
        <v>5</v>
      </c>
      <c r="G415" s="2">
        <v>6</v>
      </c>
      <c r="H415" s="2">
        <v>41.87</v>
      </c>
      <c r="I415" s="2">
        <v>0.34820000000000001</v>
      </c>
      <c r="J415" s="2" t="s">
        <v>24</v>
      </c>
      <c r="K415" s="2"/>
      <c r="L415" s="2">
        <v>2</v>
      </c>
      <c r="M415" s="2" t="s">
        <v>18</v>
      </c>
      <c r="N415" s="10"/>
    </row>
    <row r="416" spans="1:14" x14ac:dyDescent="0.2">
      <c r="A416" s="9" t="s">
        <v>31</v>
      </c>
      <c r="B416" s="3">
        <v>45613</v>
      </c>
      <c r="C416" s="2">
        <v>28</v>
      </c>
      <c r="D416" s="2">
        <v>199</v>
      </c>
      <c r="E416" s="2" t="s">
        <v>14</v>
      </c>
      <c r="F416" s="2">
        <v>6</v>
      </c>
      <c r="G416" s="2">
        <v>5</v>
      </c>
      <c r="H416" s="2">
        <v>74.456599999999995</v>
      </c>
      <c r="I416" s="2">
        <v>0.61919999999999997</v>
      </c>
      <c r="J416" s="2" t="s">
        <v>24</v>
      </c>
      <c r="K416" s="2"/>
      <c r="L416" s="2">
        <v>2</v>
      </c>
      <c r="M416" s="2" t="s">
        <v>18</v>
      </c>
      <c r="N416" s="10"/>
    </row>
    <row r="417" spans="1:14" x14ac:dyDescent="0.2">
      <c r="A417" s="9" t="s">
        <v>31</v>
      </c>
      <c r="B417" s="3">
        <v>45613</v>
      </c>
      <c r="C417" s="2">
        <v>28</v>
      </c>
      <c r="D417" s="2">
        <v>200</v>
      </c>
      <c r="E417" s="2" t="s">
        <v>14</v>
      </c>
      <c r="F417" s="2">
        <v>6</v>
      </c>
      <c r="G417" s="2">
        <v>6</v>
      </c>
      <c r="H417" s="2">
        <v>74.456599999999995</v>
      </c>
      <c r="I417" s="2">
        <v>0.61919999999999997</v>
      </c>
      <c r="J417" s="2" t="s">
        <v>25</v>
      </c>
      <c r="K417" s="2"/>
      <c r="L417" s="2">
        <v>2</v>
      </c>
      <c r="M417" s="2" t="s">
        <v>18</v>
      </c>
      <c r="N417" s="10"/>
    </row>
    <row r="418" spans="1:14" x14ac:dyDescent="0.2">
      <c r="A418" s="9" t="s">
        <v>31</v>
      </c>
      <c r="B418" s="3">
        <v>45613</v>
      </c>
      <c r="C418" s="2">
        <v>28</v>
      </c>
      <c r="D418" s="2">
        <v>201</v>
      </c>
      <c r="E418" s="2" t="s">
        <v>14</v>
      </c>
      <c r="F418" s="2">
        <v>7</v>
      </c>
      <c r="G418" s="2">
        <v>5</v>
      </c>
      <c r="H418" s="2">
        <v>132.40469999999999</v>
      </c>
      <c r="I418" s="2">
        <v>1.1012</v>
      </c>
      <c r="J418" s="2" t="s">
        <v>19</v>
      </c>
      <c r="K418" s="2"/>
      <c r="L418" s="2">
        <v>2</v>
      </c>
      <c r="M418" s="2" t="s">
        <v>18</v>
      </c>
      <c r="N418" s="10"/>
    </row>
    <row r="419" spans="1:14" x14ac:dyDescent="0.2">
      <c r="A419" s="9" t="s">
        <v>31</v>
      </c>
      <c r="B419" s="3">
        <v>45613</v>
      </c>
      <c r="C419" s="2">
        <v>28</v>
      </c>
      <c r="D419" s="2">
        <v>202</v>
      </c>
      <c r="E419" s="2" t="s">
        <v>14</v>
      </c>
      <c r="F419" s="2">
        <v>7</v>
      </c>
      <c r="G419" s="2">
        <v>6</v>
      </c>
      <c r="H419" s="2">
        <v>132.40469999999999</v>
      </c>
      <c r="I419" s="2">
        <v>1.1012</v>
      </c>
      <c r="J419" s="2" t="s">
        <v>24</v>
      </c>
      <c r="K419" s="2"/>
      <c r="L419" s="2">
        <v>2</v>
      </c>
      <c r="M419" s="2" t="s">
        <v>18</v>
      </c>
      <c r="N419" s="10"/>
    </row>
    <row r="420" spans="1:14" x14ac:dyDescent="0.2">
      <c r="A420" s="9" t="s">
        <v>31</v>
      </c>
      <c r="B420" s="3">
        <v>45613</v>
      </c>
      <c r="C420" s="2">
        <v>28</v>
      </c>
      <c r="D420" s="2">
        <v>203</v>
      </c>
      <c r="E420" s="4" t="s">
        <v>15</v>
      </c>
      <c r="F420" s="4">
        <v>1</v>
      </c>
      <c r="G420" s="2">
        <v>5</v>
      </c>
      <c r="H420" s="2">
        <v>0</v>
      </c>
      <c r="I420" s="2">
        <v>2.5999999999999999E-3</v>
      </c>
      <c r="J420" s="2" t="s">
        <v>19</v>
      </c>
      <c r="K420" s="2"/>
      <c r="L420" s="2">
        <v>2</v>
      </c>
      <c r="M420" s="2" t="s">
        <v>18</v>
      </c>
      <c r="N420" s="10"/>
    </row>
    <row r="421" spans="1:14" x14ac:dyDescent="0.2">
      <c r="A421" s="9" t="s">
        <v>31</v>
      </c>
      <c r="B421" s="3">
        <v>45613</v>
      </c>
      <c r="C421" s="2">
        <v>28</v>
      </c>
      <c r="D421" s="2">
        <v>204</v>
      </c>
      <c r="E421" s="4" t="s">
        <v>15</v>
      </c>
      <c r="F421" s="4">
        <v>1</v>
      </c>
      <c r="G421" s="2">
        <v>6</v>
      </c>
      <c r="H421" s="2">
        <v>0</v>
      </c>
      <c r="I421" s="2">
        <v>2.5999999999999999E-3</v>
      </c>
      <c r="J421" s="2" t="s">
        <v>25</v>
      </c>
      <c r="K421" s="2"/>
      <c r="L421" s="2">
        <v>2</v>
      </c>
      <c r="M421" s="2" t="s">
        <v>18</v>
      </c>
      <c r="N421" s="10"/>
    </row>
    <row r="422" spans="1:14" x14ac:dyDescent="0.2">
      <c r="A422" s="9" t="s">
        <v>31</v>
      </c>
      <c r="B422" s="3">
        <v>45613</v>
      </c>
      <c r="C422" s="2">
        <v>28</v>
      </c>
      <c r="D422" s="2">
        <v>205</v>
      </c>
      <c r="E422" s="4" t="s">
        <v>15</v>
      </c>
      <c r="F422" s="4">
        <v>2</v>
      </c>
      <c r="G422" s="2">
        <v>5</v>
      </c>
      <c r="H422" s="2">
        <v>0</v>
      </c>
      <c r="I422" s="2">
        <v>2.6100000000000002E-2</v>
      </c>
      <c r="J422" s="2" t="s">
        <v>25</v>
      </c>
      <c r="K422" s="2"/>
      <c r="L422" s="2">
        <v>2</v>
      </c>
      <c r="M422" s="2" t="s">
        <v>18</v>
      </c>
      <c r="N422" s="10"/>
    </row>
    <row r="423" spans="1:14" x14ac:dyDescent="0.2">
      <c r="A423" s="9" t="s">
        <v>31</v>
      </c>
      <c r="B423" s="3">
        <v>45613</v>
      </c>
      <c r="C423" s="2">
        <v>28</v>
      </c>
      <c r="D423" s="2">
        <v>206</v>
      </c>
      <c r="E423" s="4" t="s">
        <v>15</v>
      </c>
      <c r="F423" s="4">
        <v>2</v>
      </c>
      <c r="G423" s="2">
        <v>6</v>
      </c>
      <c r="H423" s="2">
        <v>0</v>
      </c>
      <c r="I423" s="2">
        <v>2.6100000000000002E-2</v>
      </c>
      <c r="J423" s="2" t="s">
        <v>22</v>
      </c>
      <c r="K423" s="2"/>
      <c r="L423" s="2">
        <v>2</v>
      </c>
      <c r="M423" s="2" t="s">
        <v>18</v>
      </c>
      <c r="N423" s="10"/>
    </row>
    <row r="424" spans="1:14" x14ac:dyDescent="0.2">
      <c r="A424" s="9" t="s">
        <v>31</v>
      </c>
      <c r="B424" s="3">
        <v>45613</v>
      </c>
      <c r="C424" s="2">
        <v>28</v>
      </c>
      <c r="D424" s="2">
        <v>207</v>
      </c>
      <c r="E424" s="4" t="s">
        <v>15</v>
      </c>
      <c r="F424" s="4">
        <v>3</v>
      </c>
      <c r="G424" s="2">
        <v>5</v>
      </c>
      <c r="H424" s="2">
        <v>0</v>
      </c>
      <c r="I424" s="2">
        <v>0.14680000000000001</v>
      </c>
      <c r="J424" s="2" t="s">
        <v>25</v>
      </c>
      <c r="K424" s="2"/>
      <c r="L424" s="2">
        <v>2</v>
      </c>
      <c r="M424" s="2" t="s">
        <v>18</v>
      </c>
      <c r="N424" s="10"/>
    </row>
    <row r="425" spans="1:14" x14ac:dyDescent="0.2">
      <c r="A425" s="9" t="s">
        <v>31</v>
      </c>
      <c r="B425" s="3">
        <v>45613</v>
      </c>
      <c r="C425" s="2">
        <v>28</v>
      </c>
      <c r="D425" s="2">
        <v>208</v>
      </c>
      <c r="E425" s="4" t="s">
        <v>15</v>
      </c>
      <c r="F425" s="4">
        <v>3</v>
      </c>
      <c r="G425" s="2">
        <v>6</v>
      </c>
      <c r="H425" s="2">
        <v>0</v>
      </c>
      <c r="I425" s="2">
        <v>0.14680000000000001</v>
      </c>
      <c r="J425" s="2" t="s">
        <v>24</v>
      </c>
      <c r="K425" s="2"/>
      <c r="L425" s="2">
        <v>2</v>
      </c>
      <c r="M425" s="2" t="s">
        <v>18</v>
      </c>
      <c r="N425" s="10"/>
    </row>
    <row r="426" spans="1:14" x14ac:dyDescent="0.2">
      <c r="A426" s="9" t="s">
        <v>31</v>
      </c>
      <c r="B426" s="3">
        <v>45613</v>
      </c>
      <c r="C426" s="2">
        <v>28</v>
      </c>
      <c r="D426" s="2">
        <v>209</v>
      </c>
      <c r="E426" s="4" t="s">
        <v>15</v>
      </c>
      <c r="F426" s="4">
        <v>4</v>
      </c>
      <c r="G426" s="2">
        <v>5</v>
      </c>
      <c r="H426" s="2">
        <v>0</v>
      </c>
      <c r="I426" s="2">
        <v>0.2611</v>
      </c>
      <c r="J426" s="2" t="s">
        <v>24</v>
      </c>
      <c r="K426" s="2"/>
      <c r="L426" s="2">
        <v>2</v>
      </c>
      <c r="M426" s="2" t="s">
        <v>18</v>
      </c>
      <c r="N426" s="10"/>
    </row>
    <row r="427" spans="1:14" x14ac:dyDescent="0.2">
      <c r="A427" s="9" t="s">
        <v>31</v>
      </c>
      <c r="B427" s="3">
        <v>45613</v>
      </c>
      <c r="C427" s="2">
        <v>28</v>
      </c>
      <c r="D427" s="2">
        <v>210</v>
      </c>
      <c r="E427" s="4" t="s">
        <v>15</v>
      </c>
      <c r="F427" s="4">
        <v>4</v>
      </c>
      <c r="G427" s="2">
        <v>6</v>
      </c>
      <c r="H427" s="2">
        <v>0</v>
      </c>
      <c r="I427" s="2">
        <v>0.2611</v>
      </c>
      <c r="J427" s="2" t="s">
        <v>25</v>
      </c>
      <c r="K427" s="2"/>
      <c r="L427" s="2">
        <v>2</v>
      </c>
      <c r="M427" s="2" t="s">
        <v>18</v>
      </c>
      <c r="N427" s="10"/>
    </row>
    <row r="428" spans="1:14" x14ac:dyDescent="0.2">
      <c r="A428" s="9" t="s">
        <v>31</v>
      </c>
      <c r="B428" s="3">
        <v>45613</v>
      </c>
      <c r="C428" s="2">
        <v>28</v>
      </c>
      <c r="D428" s="2">
        <v>211</v>
      </c>
      <c r="E428" s="4" t="s">
        <v>15</v>
      </c>
      <c r="F428" s="4">
        <v>5</v>
      </c>
      <c r="G428" s="2">
        <v>5</v>
      </c>
      <c r="H428" s="2">
        <v>0</v>
      </c>
      <c r="I428" s="2">
        <v>0.46429999999999999</v>
      </c>
      <c r="J428" s="2" t="s">
        <v>25</v>
      </c>
      <c r="K428" s="2"/>
      <c r="L428" s="2">
        <v>2</v>
      </c>
      <c r="M428" s="2" t="s">
        <v>18</v>
      </c>
      <c r="N428" s="10"/>
    </row>
    <row r="429" spans="1:14" x14ac:dyDescent="0.2">
      <c r="A429" s="9" t="s">
        <v>31</v>
      </c>
      <c r="B429" s="3">
        <v>45613</v>
      </c>
      <c r="C429" s="2">
        <v>28</v>
      </c>
      <c r="D429" s="2">
        <v>212</v>
      </c>
      <c r="E429" s="4" t="s">
        <v>15</v>
      </c>
      <c r="F429" s="4">
        <v>5</v>
      </c>
      <c r="G429" s="2">
        <v>6</v>
      </c>
      <c r="H429" s="2">
        <v>0</v>
      </c>
      <c r="I429" s="2">
        <v>0.46429999999999999</v>
      </c>
      <c r="J429" s="2" t="s">
        <v>24</v>
      </c>
      <c r="K429" s="2"/>
      <c r="L429" s="2">
        <v>2</v>
      </c>
      <c r="M429" s="2" t="s">
        <v>18</v>
      </c>
      <c r="N429" s="10"/>
    </row>
    <row r="430" spans="1:14" x14ac:dyDescent="0.2">
      <c r="A430" s="9" t="s">
        <v>31</v>
      </c>
      <c r="B430" s="3">
        <v>45613</v>
      </c>
      <c r="C430" s="2">
        <v>28</v>
      </c>
      <c r="D430" s="2">
        <v>213</v>
      </c>
      <c r="E430" s="4" t="s">
        <v>15</v>
      </c>
      <c r="F430" s="4">
        <v>6</v>
      </c>
      <c r="G430" s="2">
        <v>5</v>
      </c>
      <c r="H430" s="2">
        <v>0</v>
      </c>
      <c r="I430" s="2">
        <v>0.8256</v>
      </c>
      <c r="J430" s="2" t="s">
        <v>23</v>
      </c>
      <c r="K430" s="2"/>
      <c r="L430" s="2">
        <v>2</v>
      </c>
      <c r="M430" s="2" t="s">
        <v>18</v>
      </c>
      <c r="N430" s="10"/>
    </row>
    <row r="431" spans="1:14" x14ac:dyDescent="0.2">
      <c r="A431" s="9" t="s">
        <v>31</v>
      </c>
      <c r="B431" s="3">
        <v>45613</v>
      </c>
      <c r="C431" s="2">
        <v>28</v>
      </c>
      <c r="D431" s="2">
        <v>214</v>
      </c>
      <c r="E431" s="4" t="s">
        <v>15</v>
      </c>
      <c r="F431" s="4">
        <v>6</v>
      </c>
      <c r="G431" s="2">
        <v>6</v>
      </c>
      <c r="H431" s="2">
        <v>0</v>
      </c>
      <c r="I431" s="2">
        <v>0.8256</v>
      </c>
      <c r="J431" s="2" t="s">
        <v>25</v>
      </c>
      <c r="K431" s="2"/>
      <c r="L431" s="2">
        <v>2</v>
      </c>
      <c r="M431" s="2" t="s">
        <v>18</v>
      </c>
      <c r="N431" s="10"/>
    </row>
    <row r="432" spans="1:14" x14ac:dyDescent="0.2">
      <c r="A432" s="9" t="s">
        <v>31</v>
      </c>
      <c r="B432" s="3">
        <v>45613</v>
      </c>
      <c r="C432" s="2">
        <v>28</v>
      </c>
      <c r="D432" s="2">
        <v>215</v>
      </c>
      <c r="E432" s="4" t="s">
        <v>15</v>
      </c>
      <c r="F432" s="4">
        <v>7</v>
      </c>
      <c r="G432" s="4">
        <v>5</v>
      </c>
      <c r="H432" s="2">
        <v>0</v>
      </c>
      <c r="I432" s="2">
        <v>1.4681999999999999</v>
      </c>
      <c r="J432" s="2" t="s">
        <v>25</v>
      </c>
      <c r="K432" s="2"/>
      <c r="L432" s="2">
        <v>2</v>
      </c>
      <c r="M432" s="2" t="s">
        <v>18</v>
      </c>
      <c r="N432" s="10"/>
    </row>
    <row r="433" spans="1:14" ht="17" thickBot="1" x14ac:dyDescent="0.25">
      <c r="A433" s="15" t="s">
        <v>31</v>
      </c>
      <c r="B433" s="16">
        <v>45613</v>
      </c>
      <c r="C433" s="17">
        <v>28</v>
      </c>
      <c r="D433" s="17">
        <v>216</v>
      </c>
      <c r="E433" s="18" t="s">
        <v>15</v>
      </c>
      <c r="F433" s="18">
        <v>7</v>
      </c>
      <c r="G433" s="18">
        <v>6</v>
      </c>
      <c r="H433" s="17">
        <v>0</v>
      </c>
      <c r="I433" s="17">
        <v>1.4681999999999999</v>
      </c>
      <c r="J433" s="17" t="s">
        <v>21</v>
      </c>
      <c r="K433" s="17"/>
      <c r="L433" s="17">
        <v>2</v>
      </c>
      <c r="M433" s="17" t="s">
        <v>18</v>
      </c>
      <c r="N433" s="19"/>
    </row>
    <row r="434" spans="1:14" x14ac:dyDescent="0.2">
      <c r="A434" s="5" t="s">
        <v>35</v>
      </c>
      <c r="B434" s="6">
        <v>45665</v>
      </c>
      <c r="C434" s="7">
        <v>0</v>
      </c>
      <c r="D434" s="7">
        <v>217</v>
      </c>
      <c r="E434" s="23" t="s">
        <v>16</v>
      </c>
      <c r="F434" s="23">
        <v>0</v>
      </c>
      <c r="G434" s="7">
        <v>1</v>
      </c>
      <c r="H434" s="7">
        <v>0</v>
      </c>
      <c r="I434" s="7">
        <v>0</v>
      </c>
      <c r="J434" s="7" t="s">
        <v>24</v>
      </c>
      <c r="K434" s="7">
        <v>1358.4</v>
      </c>
      <c r="L434" s="7">
        <v>2</v>
      </c>
      <c r="M434" s="7" t="s">
        <v>18</v>
      </c>
      <c r="N434" s="8"/>
    </row>
    <row r="435" spans="1:14" x14ac:dyDescent="0.2">
      <c r="A435" s="9" t="s">
        <v>35</v>
      </c>
      <c r="B435" s="3">
        <v>45665</v>
      </c>
      <c r="C435" s="2">
        <v>0</v>
      </c>
      <c r="D435" s="2">
        <v>218</v>
      </c>
      <c r="E435" s="4" t="s">
        <v>16</v>
      </c>
      <c r="F435" s="4">
        <v>0</v>
      </c>
      <c r="G435" s="2">
        <v>2</v>
      </c>
      <c r="H435" s="2">
        <v>0</v>
      </c>
      <c r="I435" s="2">
        <v>0</v>
      </c>
      <c r="J435" s="2" t="s">
        <v>23</v>
      </c>
      <c r="K435" s="2">
        <v>1495.9</v>
      </c>
      <c r="L435" s="2">
        <v>2</v>
      </c>
      <c r="M435" s="2" t="s">
        <v>18</v>
      </c>
      <c r="N435" s="10"/>
    </row>
    <row r="436" spans="1:14" x14ac:dyDescent="0.2">
      <c r="A436" s="9" t="s">
        <v>35</v>
      </c>
      <c r="B436" s="3">
        <v>45665</v>
      </c>
      <c r="C436" s="2">
        <v>0</v>
      </c>
      <c r="D436" s="2">
        <v>219</v>
      </c>
      <c r="E436" s="4" t="s">
        <v>16</v>
      </c>
      <c r="F436" s="4">
        <v>0</v>
      </c>
      <c r="G436" s="2">
        <v>3</v>
      </c>
      <c r="H436" s="2">
        <v>0</v>
      </c>
      <c r="I436" s="2">
        <v>0</v>
      </c>
      <c r="J436" s="2" t="s">
        <v>23</v>
      </c>
      <c r="K436" s="2">
        <v>1111.5</v>
      </c>
      <c r="L436" s="2">
        <v>2</v>
      </c>
      <c r="M436" s="2" t="s">
        <v>18</v>
      </c>
      <c r="N436" s="10"/>
    </row>
    <row r="437" spans="1:14" x14ac:dyDescent="0.2">
      <c r="A437" s="9" t="s">
        <v>35</v>
      </c>
      <c r="B437" s="3">
        <v>45665</v>
      </c>
      <c r="C437" s="2">
        <v>0</v>
      </c>
      <c r="D437" s="2">
        <v>220</v>
      </c>
      <c r="E437" s="4" t="s">
        <v>15</v>
      </c>
      <c r="F437" s="4">
        <v>5</v>
      </c>
      <c r="G437" s="2">
        <v>1</v>
      </c>
      <c r="H437" s="2">
        <v>0</v>
      </c>
      <c r="I437" s="2">
        <v>0.46429999999999999</v>
      </c>
      <c r="J437" s="2" t="s">
        <v>24</v>
      </c>
      <c r="K437" s="2">
        <v>1041.8</v>
      </c>
      <c r="L437" s="2">
        <v>2</v>
      </c>
      <c r="M437" s="2" t="s">
        <v>18</v>
      </c>
      <c r="N437" s="10"/>
    </row>
    <row r="438" spans="1:14" x14ac:dyDescent="0.2">
      <c r="A438" s="9" t="s">
        <v>35</v>
      </c>
      <c r="B438" s="3">
        <v>45665</v>
      </c>
      <c r="C438" s="2">
        <v>0</v>
      </c>
      <c r="D438" s="2">
        <v>221</v>
      </c>
      <c r="E438" s="4" t="s">
        <v>15</v>
      </c>
      <c r="F438" s="4">
        <v>5</v>
      </c>
      <c r="G438" s="2">
        <v>2</v>
      </c>
      <c r="H438" s="2">
        <v>0</v>
      </c>
      <c r="I438" s="2">
        <v>0.46429999999999999</v>
      </c>
      <c r="J438" s="2" t="s">
        <v>23</v>
      </c>
      <c r="K438" s="2">
        <v>1022.9</v>
      </c>
      <c r="L438" s="2">
        <v>2</v>
      </c>
      <c r="M438" s="2" t="s">
        <v>18</v>
      </c>
      <c r="N438" s="10"/>
    </row>
    <row r="439" spans="1:14" x14ac:dyDescent="0.2">
      <c r="A439" s="9" t="s">
        <v>35</v>
      </c>
      <c r="B439" s="3">
        <v>45665</v>
      </c>
      <c r="C439" s="2">
        <v>0</v>
      </c>
      <c r="D439" s="2">
        <v>222</v>
      </c>
      <c r="E439" s="4" t="s">
        <v>15</v>
      </c>
      <c r="F439" s="4">
        <v>5</v>
      </c>
      <c r="G439" s="2">
        <v>3</v>
      </c>
      <c r="H439" s="2">
        <v>0</v>
      </c>
      <c r="I439" s="2">
        <v>0.46429999999999999</v>
      </c>
      <c r="J439" s="2" t="s">
        <v>20</v>
      </c>
      <c r="K439" s="2">
        <v>888.2</v>
      </c>
      <c r="L439" s="2">
        <v>2</v>
      </c>
      <c r="M439" s="2" t="s">
        <v>18</v>
      </c>
      <c r="N439" s="10"/>
    </row>
    <row r="440" spans="1:14" x14ac:dyDescent="0.2">
      <c r="A440" s="9" t="s">
        <v>35</v>
      </c>
      <c r="B440" s="3">
        <v>45665</v>
      </c>
      <c r="C440" s="2">
        <v>0</v>
      </c>
      <c r="D440" s="2">
        <v>223</v>
      </c>
      <c r="E440" s="4" t="s">
        <v>15</v>
      </c>
      <c r="F440" s="4">
        <v>7</v>
      </c>
      <c r="G440" s="2">
        <v>1</v>
      </c>
      <c r="H440" s="2">
        <v>0</v>
      </c>
      <c r="I440" s="2">
        <v>1.4681999999999999</v>
      </c>
      <c r="J440" s="2" t="s">
        <v>20</v>
      </c>
      <c r="K440" s="2">
        <v>1037.7</v>
      </c>
      <c r="L440" s="2">
        <v>2</v>
      </c>
      <c r="M440" s="2" t="s">
        <v>18</v>
      </c>
      <c r="N440" s="10"/>
    </row>
    <row r="441" spans="1:14" x14ac:dyDescent="0.2">
      <c r="A441" s="9" t="s">
        <v>35</v>
      </c>
      <c r="B441" s="3">
        <v>45665</v>
      </c>
      <c r="C441" s="2">
        <v>0</v>
      </c>
      <c r="D441" s="2">
        <v>224</v>
      </c>
      <c r="E441" s="4" t="s">
        <v>15</v>
      </c>
      <c r="F441" s="4">
        <v>7</v>
      </c>
      <c r="G441" s="2">
        <v>2</v>
      </c>
      <c r="H441" s="2">
        <v>0</v>
      </c>
      <c r="I441" s="2">
        <v>1.4681999999999999</v>
      </c>
      <c r="J441" s="2" t="s">
        <v>20</v>
      </c>
      <c r="K441" s="2">
        <v>876.2</v>
      </c>
      <c r="L441" s="2">
        <v>2</v>
      </c>
      <c r="M441" s="2" t="s">
        <v>18</v>
      </c>
      <c r="N441" s="10"/>
    </row>
    <row r="442" spans="1:14" x14ac:dyDescent="0.2">
      <c r="A442" s="9" t="s">
        <v>35</v>
      </c>
      <c r="B442" s="3">
        <v>45665</v>
      </c>
      <c r="C442" s="2">
        <v>0</v>
      </c>
      <c r="D442" s="2">
        <v>225</v>
      </c>
      <c r="E442" s="4" t="s">
        <v>15</v>
      </c>
      <c r="F442" s="4">
        <v>7</v>
      </c>
      <c r="G442" s="2">
        <v>3</v>
      </c>
      <c r="H442" s="2">
        <v>0</v>
      </c>
      <c r="I442" s="2">
        <v>1.4681999999999999</v>
      </c>
      <c r="J442" s="2" t="s">
        <v>36</v>
      </c>
      <c r="K442" s="2">
        <v>968.7</v>
      </c>
      <c r="L442" s="2">
        <v>2</v>
      </c>
      <c r="M442" s="2" t="s">
        <v>18</v>
      </c>
      <c r="N442" s="10"/>
    </row>
    <row r="443" spans="1:14" x14ac:dyDescent="0.2">
      <c r="A443" s="9" t="s">
        <v>35</v>
      </c>
      <c r="B443" s="3">
        <v>45693</v>
      </c>
      <c r="C443" s="2">
        <v>28</v>
      </c>
      <c r="D443" s="2">
        <v>217</v>
      </c>
      <c r="E443" s="4" t="s">
        <v>16</v>
      </c>
      <c r="F443" s="4">
        <v>0</v>
      </c>
      <c r="G443" s="2">
        <v>1</v>
      </c>
      <c r="H443" s="2">
        <v>0</v>
      </c>
      <c r="I443" s="2">
        <v>0</v>
      </c>
      <c r="J443" s="2" t="s">
        <v>24</v>
      </c>
      <c r="K443" s="2">
        <v>2103</v>
      </c>
      <c r="L443" s="2">
        <v>2</v>
      </c>
      <c r="M443" s="2" t="s">
        <v>18</v>
      </c>
      <c r="N443" s="10">
        <v>23</v>
      </c>
    </row>
    <row r="444" spans="1:14" x14ac:dyDescent="0.2">
      <c r="A444" s="9" t="s">
        <v>35</v>
      </c>
      <c r="B444" s="3">
        <v>45693</v>
      </c>
      <c r="C444" s="2">
        <v>29</v>
      </c>
      <c r="D444" s="2">
        <v>218</v>
      </c>
      <c r="E444" s="4" t="s">
        <v>16</v>
      </c>
      <c r="F444" s="4">
        <v>0</v>
      </c>
      <c r="G444" s="2">
        <v>2</v>
      </c>
      <c r="H444" s="2">
        <v>0</v>
      </c>
      <c r="I444" s="2">
        <v>0</v>
      </c>
      <c r="J444" s="2" t="s">
        <v>23</v>
      </c>
      <c r="K444" s="2">
        <v>1889.9</v>
      </c>
      <c r="L444" s="2">
        <v>2</v>
      </c>
      <c r="M444" s="2" t="s">
        <v>18</v>
      </c>
      <c r="N444" s="10">
        <v>31</v>
      </c>
    </row>
    <row r="445" spans="1:14" x14ac:dyDescent="0.2">
      <c r="A445" s="9" t="s">
        <v>35</v>
      </c>
      <c r="B445" s="3">
        <v>45693</v>
      </c>
      <c r="C445" s="2">
        <v>30</v>
      </c>
      <c r="D445" s="2">
        <v>219</v>
      </c>
      <c r="E445" s="4" t="s">
        <v>16</v>
      </c>
      <c r="F445" s="4">
        <v>0</v>
      </c>
      <c r="G445" s="2">
        <v>3</v>
      </c>
      <c r="H445" s="2">
        <v>0</v>
      </c>
      <c r="I445" s="2">
        <v>0</v>
      </c>
      <c r="J445" s="2" t="s">
        <v>23</v>
      </c>
      <c r="K445" s="2">
        <v>1481.3</v>
      </c>
      <c r="L445" s="2">
        <v>2</v>
      </c>
      <c r="M445" s="2" t="s">
        <v>18</v>
      </c>
      <c r="N445" s="10">
        <v>23</v>
      </c>
    </row>
    <row r="446" spans="1:14" x14ac:dyDescent="0.2">
      <c r="A446" s="9" t="s">
        <v>35</v>
      </c>
      <c r="B446" s="3">
        <v>45693</v>
      </c>
      <c r="C446" s="2">
        <v>31</v>
      </c>
      <c r="D446" s="2">
        <v>220</v>
      </c>
      <c r="E446" s="4" t="s">
        <v>15</v>
      </c>
      <c r="F446" s="4">
        <v>5</v>
      </c>
      <c r="G446" s="2">
        <v>1</v>
      </c>
      <c r="H446" s="2">
        <v>0</v>
      </c>
      <c r="I446" s="2">
        <v>0.46429999999999999</v>
      </c>
      <c r="J446" s="2" t="s">
        <v>24</v>
      </c>
      <c r="K446" s="2">
        <v>1345.1</v>
      </c>
      <c r="L446" s="2">
        <v>2</v>
      </c>
      <c r="M446" s="2" t="s">
        <v>18</v>
      </c>
      <c r="N446" s="10">
        <v>5</v>
      </c>
    </row>
    <row r="447" spans="1:14" x14ac:dyDescent="0.2">
      <c r="A447" s="9" t="s">
        <v>35</v>
      </c>
      <c r="B447" s="3">
        <v>45693</v>
      </c>
      <c r="C447" s="2">
        <v>32</v>
      </c>
      <c r="D447" s="2">
        <v>221</v>
      </c>
      <c r="E447" s="4" t="s">
        <v>15</v>
      </c>
      <c r="F447" s="4">
        <v>5</v>
      </c>
      <c r="G447" s="2">
        <v>2</v>
      </c>
      <c r="H447" s="2">
        <v>0</v>
      </c>
      <c r="I447" s="2">
        <v>0.46429999999999999</v>
      </c>
      <c r="J447" s="2" t="s">
        <v>23</v>
      </c>
      <c r="K447" s="2">
        <v>1378.6</v>
      </c>
      <c r="L447" s="2">
        <v>2</v>
      </c>
      <c r="M447" s="2" t="s">
        <v>18</v>
      </c>
      <c r="N447" s="10">
        <v>1</v>
      </c>
    </row>
    <row r="448" spans="1:14" x14ac:dyDescent="0.2">
      <c r="A448" s="9" t="s">
        <v>35</v>
      </c>
      <c r="B448" s="3">
        <v>45693</v>
      </c>
      <c r="C448" s="2">
        <v>33</v>
      </c>
      <c r="D448" s="2">
        <v>222</v>
      </c>
      <c r="E448" s="4" t="s">
        <v>15</v>
      </c>
      <c r="F448" s="4">
        <v>5</v>
      </c>
      <c r="G448" s="2">
        <v>3</v>
      </c>
      <c r="H448" s="2">
        <v>0</v>
      </c>
      <c r="I448" s="2">
        <v>0.46429999999999999</v>
      </c>
      <c r="J448" s="2" t="s">
        <v>20</v>
      </c>
      <c r="K448" s="2">
        <v>1262.0999999999999</v>
      </c>
      <c r="L448" s="2">
        <v>2</v>
      </c>
      <c r="M448" s="2" t="s">
        <v>18</v>
      </c>
      <c r="N448" s="10">
        <v>9</v>
      </c>
    </row>
    <row r="449" spans="1:14" x14ac:dyDescent="0.2">
      <c r="A449" s="9" t="s">
        <v>35</v>
      </c>
      <c r="B449" s="3">
        <v>45693</v>
      </c>
      <c r="C449" s="2">
        <v>34</v>
      </c>
      <c r="D449" s="2">
        <v>223</v>
      </c>
      <c r="E449" s="4" t="s">
        <v>15</v>
      </c>
      <c r="F449" s="4">
        <v>7</v>
      </c>
      <c r="G449" s="2">
        <v>1</v>
      </c>
      <c r="H449" s="2">
        <v>0</v>
      </c>
      <c r="I449" s="2">
        <v>1.4681999999999999</v>
      </c>
      <c r="J449" s="2" t="s">
        <v>20</v>
      </c>
      <c r="K449" s="2">
        <v>636.6</v>
      </c>
      <c r="L449" s="2">
        <v>2</v>
      </c>
      <c r="M449" s="2" t="s">
        <v>18</v>
      </c>
      <c r="N449" s="10">
        <v>0</v>
      </c>
    </row>
    <row r="450" spans="1:14" x14ac:dyDescent="0.2">
      <c r="A450" s="9" t="s">
        <v>35</v>
      </c>
      <c r="B450" s="3">
        <v>45693</v>
      </c>
      <c r="C450" s="2">
        <v>35</v>
      </c>
      <c r="D450" s="2">
        <v>224</v>
      </c>
      <c r="E450" s="4" t="s">
        <v>15</v>
      </c>
      <c r="F450" s="4">
        <v>7</v>
      </c>
      <c r="G450" s="2">
        <v>2</v>
      </c>
      <c r="H450" s="2">
        <v>0</v>
      </c>
      <c r="I450" s="2">
        <v>1.4681999999999999</v>
      </c>
      <c r="J450" s="2" t="s">
        <v>20</v>
      </c>
      <c r="K450" s="2">
        <v>662</v>
      </c>
      <c r="L450" s="2">
        <v>2</v>
      </c>
      <c r="M450" s="2" t="s">
        <v>18</v>
      </c>
      <c r="N450" s="10">
        <v>0</v>
      </c>
    </row>
    <row r="451" spans="1:14" ht="17" thickBot="1" x14ac:dyDescent="0.25">
      <c r="A451" s="20" t="s">
        <v>35</v>
      </c>
      <c r="B451" s="11">
        <v>45693</v>
      </c>
      <c r="C451" s="12">
        <v>36</v>
      </c>
      <c r="D451" s="12">
        <v>225</v>
      </c>
      <c r="E451" s="13" t="s">
        <v>15</v>
      </c>
      <c r="F451" s="13">
        <v>7</v>
      </c>
      <c r="G451" s="12">
        <v>3</v>
      </c>
      <c r="H451" s="12">
        <v>0</v>
      </c>
      <c r="I451" s="12">
        <v>1.4681999999999999</v>
      </c>
      <c r="J451" s="12" t="s">
        <v>36</v>
      </c>
      <c r="K451" s="12">
        <v>674</v>
      </c>
      <c r="L451" s="12">
        <v>2</v>
      </c>
      <c r="M451" s="12" t="s">
        <v>18</v>
      </c>
      <c r="N451" s="14">
        <v>0</v>
      </c>
    </row>
    <row r="452" spans="1:14" x14ac:dyDescent="0.2">
      <c r="A452" s="24"/>
      <c r="B452" s="25"/>
      <c r="C452" s="21"/>
      <c r="D452" s="21"/>
      <c r="E452" s="26"/>
      <c r="F452" s="26"/>
      <c r="G452" s="21"/>
    </row>
    <row r="453" spans="1:14" x14ac:dyDescent="0.2">
      <c r="A453" s="24"/>
      <c r="B453" s="25"/>
      <c r="C453" s="21"/>
      <c r="D453" s="21"/>
      <c r="E453" s="26"/>
      <c r="F453" s="26"/>
      <c r="G453" s="21"/>
    </row>
  </sheetData>
  <autoFilter ref="A1:O451" xr:uid="{7D187816-8F4C-A24D-9013-D6CCB511673A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65D-F359-AD49-BC7D-8ABA3238360F}">
  <sheetPr filterMode="1"/>
  <dimension ref="A1:Q587"/>
  <sheetViews>
    <sheetView zoomScale="117" zoomScaleNormal="57" workbookViewId="0">
      <selection activeCell="O451" sqref="O451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5.5" customWidth="1"/>
    <col min="4" max="4" width="5.33203125" customWidth="1"/>
    <col min="5" max="5" width="13.33203125" customWidth="1"/>
    <col min="8" max="8" width="6.6640625" customWidth="1"/>
    <col min="9" max="10" width="5.6640625" customWidth="1"/>
    <col min="11" max="12" width="6" customWidth="1"/>
    <col min="15" max="15" width="10.83203125" style="35"/>
  </cols>
  <sheetData>
    <row r="1" spans="1:16" ht="17" thickBot="1" x14ac:dyDescent="0.25">
      <c r="A1" s="36" t="s">
        <v>17</v>
      </c>
      <c r="B1" s="36" t="s">
        <v>0</v>
      </c>
      <c r="C1" s="36" t="s">
        <v>1</v>
      </c>
      <c r="D1" s="36" t="s">
        <v>38</v>
      </c>
      <c r="E1" s="36" t="s">
        <v>3</v>
      </c>
      <c r="F1" s="37" t="s">
        <v>28</v>
      </c>
      <c r="G1" s="37" t="s">
        <v>29</v>
      </c>
      <c r="H1" s="38" t="s">
        <v>5</v>
      </c>
      <c r="I1" s="38" t="s">
        <v>4</v>
      </c>
      <c r="J1" s="37" t="s">
        <v>6</v>
      </c>
      <c r="K1" s="37" t="s">
        <v>42</v>
      </c>
      <c r="L1" s="37" t="s">
        <v>40</v>
      </c>
      <c r="M1" s="37" t="s">
        <v>39</v>
      </c>
      <c r="N1" s="37" t="s">
        <v>2</v>
      </c>
      <c r="O1" s="39" t="s">
        <v>41</v>
      </c>
      <c r="P1" s="36" t="s">
        <v>9</v>
      </c>
    </row>
    <row r="2" spans="1:16" hidden="1" x14ac:dyDescent="0.2">
      <c r="A2" t="s">
        <v>37</v>
      </c>
      <c r="B2" s="25">
        <v>45742</v>
      </c>
      <c r="C2" s="29">
        <v>0</v>
      </c>
      <c r="D2" s="29">
        <v>1</v>
      </c>
      <c r="E2" s="29">
        <v>1</v>
      </c>
      <c r="F2" s="28">
        <v>0.94179999999999997</v>
      </c>
      <c r="G2" s="28">
        <v>0</v>
      </c>
      <c r="H2" s="31" t="s">
        <v>11</v>
      </c>
      <c r="I2" s="31">
        <v>1</v>
      </c>
      <c r="J2" s="28">
        <v>1</v>
      </c>
      <c r="K2" s="28">
        <v>1</v>
      </c>
      <c r="L2" s="28">
        <v>74</v>
      </c>
      <c r="M2" s="28" t="s">
        <v>43</v>
      </c>
      <c r="N2" s="28" t="s">
        <v>24</v>
      </c>
      <c r="O2" s="33">
        <v>713.7</v>
      </c>
      <c r="P2" t="s">
        <v>18</v>
      </c>
    </row>
    <row r="3" spans="1:16" hidden="1" x14ac:dyDescent="0.2">
      <c r="A3" t="s">
        <v>37</v>
      </c>
      <c r="B3" s="25">
        <v>45742</v>
      </c>
      <c r="C3" s="29">
        <v>0</v>
      </c>
      <c r="D3" s="29">
        <v>2</v>
      </c>
      <c r="E3" s="29">
        <v>1</v>
      </c>
      <c r="F3" s="28">
        <v>0.94179999999999997</v>
      </c>
      <c r="G3" s="28">
        <v>0</v>
      </c>
      <c r="H3" s="31" t="s">
        <v>11</v>
      </c>
      <c r="I3" s="31">
        <v>1</v>
      </c>
      <c r="J3" s="28">
        <v>1</v>
      </c>
      <c r="K3" s="28">
        <v>2</v>
      </c>
      <c r="L3" s="28">
        <v>69</v>
      </c>
      <c r="M3" s="28" t="s">
        <v>46</v>
      </c>
      <c r="N3" s="28" t="s">
        <v>19</v>
      </c>
      <c r="O3" s="33">
        <v>453.9</v>
      </c>
      <c r="P3" t="s">
        <v>18</v>
      </c>
    </row>
    <row r="4" spans="1:16" hidden="1" x14ac:dyDescent="0.2">
      <c r="A4" t="s">
        <v>37</v>
      </c>
      <c r="B4" s="25">
        <v>45742</v>
      </c>
      <c r="C4" s="29">
        <v>0</v>
      </c>
      <c r="D4" s="29">
        <v>3</v>
      </c>
      <c r="E4" s="29">
        <v>2</v>
      </c>
      <c r="F4" s="28">
        <v>0.94179999999999997</v>
      </c>
      <c r="G4" s="28">
        <v>0</v>
      </c>
      <c r="H4" s="31" t="s">
        <v>11</v>
      </c>
      <c r="I4" s="31">
        <v>1</v>
      </c>
      <c r="J4" s="28">
        <v>2</v>
      </c>
      <c r="K4" s="28">
        <v>1</v>
      </c>
      <c r="L4" s="28">
        <v>3</v>
      </c>
      <c r="M4" s="28" t="s">
        <v>44</v>
      </c>
      <c r="N4" s="28" t="s">
        <v>19</v>
      </c>
      <c r="O4" s="33">
        <v>495.6</v>
      </c>
      <c r="P4" t="s">
        <v>18</v>
      </c>
    </row>
    <row r="5" spans="1:16" hidden="1" x14ac:dyDescent="0.2">
      <c r="A5" t="s">
        <v>37</v>
      </c>
      <c r="B5" s="25">
        <v>45742</v>
      </c>
      <c r="C5" s="29">
        <v>0</v>
      </c>
      <c r="D5" s="29">
        <v>4</v>
      </c>
      <c r="E5" s="29">
        <v>2</v>
      </c>
      <c r="F5" s="28">
        <v>0.94179999999999997</v>
      </c>
      <c r="G5" s="28">
        <v>0</v>
      </c>
      <c r="H5" s="31" t="s">
        <v>11</v>
      </c>
      <c r="I5" s="31">
        <v>1</v>
      </c>
      <c r="J5" s="28">
        <v>2</v>
      </c>
      <c r="K5" s="28">
        <v>2</v>
      </c>
      <c r="L5" s="28">
        <v>79</v>
      </c>
      <c r="M5" s="28" t="s">
        <v>45</v>
      </c>
      <c r="N5" s="28" t="s">
        <v>49</v>
      </c>
      <c r="O5" s="33">
        <v>714.2</v>
      </c>
      <c r="P5" t="s">
        <v>18</v>
      </c>
    </row>
    <row r="6" spans="1:16" hidden="1" x14ac:dyDescent="0.2">
      <c r="A6" t="s">
        <v>37</v>
      </c>
      <c r="B6" s="25">
        <v>45742</v>
      </c>
      <c r="C6" s="29">
        <v>0</v>
      </c>
      <c r="D6" s="29">
        <v>5</v>
      </c>
      <c r="E6" s="29">
        <v>3</v>
      </c>
      <c r="F6" s="28">
        <v>9.4181000000000008</v>
      </c>
      <c r="G6" s="28">
        <v>0</v>
      </c>
      <c r="H6" s="31" t="s">
        <v>11</v>
      </c>
      <c r="I6" s="31">
        <v>2</v>
      </c>
      <c r="J6" s="28">
        <v>1</v>
      </c>
      <c r="K6" s="28">
        <v>1</v>
      </c>
      <c r="L6" s="28">
        <v>36</v>
      </c>
      <c r="M6" s="28" t="s">
        <v>44</v>
      </c>
      <c r="N6" s="28" t="s">
        <v>47</v>
      </c>
      <c r="O6" s="33">
        <v>819.5</v>
      </c>
      <c r="P6" t="s">
        <v>18</v>
      </c>
    </row>
    <row r="7" spans="1:16" hidden="1" x14ac:dyDescent="0.2">
      <c r="A7" t="s">
        <v>37</v>
      </c>
      <c r="B7" s="25">
        <v>45742</v>
      </c>
      <c r="C7" s="29">
        <v>0</v>
      </c>
      <c r="D7" s="29">
        <v>6</v>
      </c>
      <c r="E7" s="29">
        <v>3</v>
      </c>
      <c r="F7" s="28">
        <v>9.4181000000000008</v>
      </c>
      <c r="G7" s="28">
        <v>0</v>
      </c>
      <c r="H7" s="31" t="s">
        <v>11</v>
      </c>
      <c r="I7" s="31">
        <v>2</v>
      </c>
      <c r="J7" s="28">
        <v>1</v>
      </c>
      <c r="K7" s="28">
        <v>2</v>
      </c>
      <c r="L7" s="28">
        <v>45</v>
      </c>
      <c r="M7" s="28" t="s">
        <v>45</v>
      </c>
      <c r="N7" s="28" t="s">
        <v>24</v>
      </c>
      <c r="O7" s="33">
        <v>531.79999999999995</v>
      </c>
      <c r="P7" t="s">
        <v>18</v>
      </c>
    </row>
    <row r="8" spans="1:16" hidden="1" x14ac:dyDescent="0.2">
      <c r="A8" t="s">
        <v>37</v>
      </c>
      <c r="B8" s="25">
        <v>45742</v>
      </c>
      <c r="C8" s="29">
        <v>0</v>
      </c>
      <c r="D8" s="29">
        <v>7</v>
      </c>
      <c r="E8" s="29">
        <v>4</v>
      </c>
      <c r="F8" s="28">
        <v>9.4181000000000008</v>
      </c>
      <c r="G8" s="28">
        <v>0</v>
      </c>
      <c r="H8" s="31" t="s">
        <v>11</v>
      </c>
      <c r="I8" s="31">
        <v>2</v>
      </c>
      <c r="J8" s="28">
        <v>2</v>
      </c>
      <c r="K8" s="28">
        <v>1</v>
      </c>
      <c r="L8" s="28">
        <v>73</v>
      </c>
      <c r="M8" s="28" t="s">
        <v>44</v>
      </c>
      <c r="N8" s="28" t="s">
        <v>24</v>
      </c>
      <c r="O8" s="33">
        <v>783.8</v>
      </c>
      <c r="P8" t="s">
        <v>18</v>
      </c>
    </row>
    <row r="9" spans="1:16" hidden="1" x14ac:dyDescent="0.2">
      <c r="A9" t="s">
        <v>37</v>
      </c>
      <c r="B9" s="25">
        <v>45742</v>
      </c>
      <c r="C9" s="29">
        <v>0</v>
      </c>
      <c r="D9" s="29">
        <v>8</v>
      </c>
      <c r="E9" s="29">
        <v>4</v>
      </c>
      <c r="F9" s="28">
        <v>9.4181000000000008</v>
      </c>
      <c r="G9" s="28">
        <v>0</v>
      </c>
      <c r="H9" s="31" t="s">
        <v>11</v>
      </c>
      <c r="I9" s="31">
        <v>2</v>
      </c>
      <c r="J9" s="28">
        <v>2</v>
      </c>
      <c r="K9" s="28">
        <v>2</v>
      </c>
      <c r="L9" s="28">
        <v>77</v>
      </c>
      <c r="M9" s="28" t="s">
        <v>45</v>
      </c>
      <c r="N9" s="28" t="s">
        <v>25</v>
      </c>
      <c r="O9" s="33">
        <v>615.20000000000005</v>
      </c>
      <c r="P9" t="s">
        <v>18</v>
      </c>
    </row>
    <row r="10" spans="1:16" hidden="1" x14ac:dyDescent="0.2">
      <c r="A10" t="s">
        <v>37</v>
      </c>
      <c r="B10" s="25">
        <v>45742</v>
      </c>
      <c r="C10" s="29">
        <v>0</v>
      </c>
      <c r="D10" s="29">
        <v>9</v>
      </c>
      <c r="E10" s="29">
        <v>5</v>
      </c>
      <c r="F10" s="28">
        <v>52.9619</v>
      </c>
      <c r="G10" s="28">
        <v>0</v>
      </c>
      <c r="H10" s="31" t="s">
        <v>11</v>
      </c>
      <c r="I10" s="31">
        <v>3</v>
      </c>
      <c r="J10" s="28">
        <v>1</v>
      </c>
      <c r="K10" s="28">
        <v>1</v>
      </c>
      <c r="L10" s="28">
        <v>39</v>
      </c>
      <c r="M10" s="28" t="s">
        <v>43</v>
      </c>
      <c r="N10" s="28" t="s">
        <v>47</v>
      </c>
      <c r="O10" s="33">
        <v>631.9</v>
      </c>
      <c r="P10" t="s">
        <v>18</v>
      </c>
    </row>
    <row r="11" spans="1:16" hidden="1" x14ac:dyDescent="0.2">
      <c r="A11" t="s">
        <v>37</v>
      </c>
      <c r="B11" s="25">
        <v>45742</v>
      </c>
      <c r="C11" s="29">
        <v>0</v>
      </c>
      <c r="D11" s="29">
        <v>10</v>
      </c>
      <c r="E11" s="29">
        <v>5</v>
      </c>
      <c r="F11" s="28">
        <v>52.9619</v>
      </c>
      <c r="G11" s="28">
        <v>0</v>
      </c>
      <c r="H11" s="31" t="s">
        <v>11</v>
      </c>
      <c r="I11" s="31">
        <v>3</v>
      </c>
      <c r="J11" s="28">
        <v>1</v>
      </c>
      <c r="K11" s="28">
        <v>2</v>
      </c>
      <c r="L11" s="28">
        <v>31</v>
      </c>
      <c r="M11" s="28" t="s">
        <v>46</v>
      </c>
      <c r="N11" s="28" t="s">
        <v>47</v>
      </c>
      <c r="O11" s="33">
        <v>590.1</v>
      </c>
      <c r="P11" t="s">
        <v>18</v>
      </c>
    </row>
    <row r="12" spans="1:16" hidden="1" x14ac:dyDescent="0.2">
      <c r="A12" t="s">
        <v>37</v>
      </c>
      <c r="B12" s="25">
        <v>45742</v>
      </c>
      <c r="C12" s="29">
        <v>0</v>
      </c>
      <c r="D12" s="29">
        <v>11</v>
      </c>
      <c r="E12" s="29">
        <v>6</v>
      </c>
      <c r="F12" s="28">
        <v>52.9619</v>
      </c>
      <c r="G12" s="28">
        <v>0</v>
      </c>
      <c r="H12" s="31" t="s">
        <v>11</v>
      </c>
      <c r="I12" s="31">
        <v>3</v>
      </c>
      <c r="J12" s="28">
        <v>2</v>
      </c>
      <c r="K12" s="28">
        <v>1</v>
      </c>
      <c r="L12" s="28">
        <v>45</v>
      </c>
      <c r="M12" s="28" t="s">
        <v>44</v>
      </c>
      <c r="N12" s="28" t="s">
        <v>24</v>
      </c>
      <c r="O12" s="33">
        <v>568.9</v>
      </c>
      <c r="P12" t="s">
        <v>18</v>
      </c>
    </row>
    <row r="13" spans="1:16" hidden="1" x14ac:dyDescent="0.2">
      <c r="A13" t="s">
        <v>37</v>
      </c>
      <c r="B13" s="25">
        <v>45742</v>
      </c>
      <c r="C13" s="29">
        <v>0</v>
      </c>
      <c r="D13" s="29">
        <v>12</v>
      </c>
      <c r="E13" s="29">
        <v>6</v>
      </c>
      <c r="F13" s="28">
        <v>52.9619</v>
      </c>
      <c r="G13" s="28">
        <v>0</v>
      </c>
      <c r="H13" s="31" t="s">
        <v>11</v>
      </c>
      <c r="I13" s="31">
        <v>3</v>
      </c>
      <c r="J13" s="28">
        <v>2</v>
      </c>
      <c r="K13" s="28">
        <v>2</v>
      </c>
      <c r="L13" s="28">
        <v>6</v>
      </c>
      <c r="M13" s="28" t="s">
        <v>45</v>
      </c>
      <c r="N13" s="28" t="s">
        <v>19</v>
      </c>
      <c r="O13" s="33">
        <v>767.2</v>
      </c>
      <c r="P13" t="s">
        <v>18</v>
      </c>
    </row>
    <row r="14" spans="1:16" hidden="1" x14ac:dyDescent="0.2">
      <c r="A14" t="s">
        <v>37</v>
      </c>
      <c r="B14" s="25">
        <v>45742</v>
      </c>
      <c r="C14" s="29">
        <v>0</v>
      </c>
      <c r="D14" s="29">
        <v>13</v>
      </c>
      <c r="E14" s="29">
        <v>7</v>
      </c>
      <c r="F14" s="28">
        <v>94.180999999999997</v>
      </c>
      <c r="G14" s="28">
        <v>0</v>
      </c>
      <c r="H14" s="31" t="s">
        <v>11</v>
      </c>
      <c r="I14" s="31">
        <v>4</v>
      </c>
      <c r="J14" s="28">
        <v>1</v>
      </c>
      <c r="K14" s="28">
        <v>1</v>
      </c>
      <c r="L14" s="28">
        <v>21</v>
      </c>
      <c r="M14" s="28" t="s">
        <v>43</v>
      </c>
      <c r="N14" s="28" t="s">
        <v>32</v>
      </c>
      <c r="O14" s="33">
        <v>421.3</v>
      </c>
      <c r="P14" t="s">
        <v>18</v>
      </c>
    </row>
    <row r="15" spans="1:16" hidden="1" x14ac:dyDescent="0.2">
      <c r="A15" t="s">
        <v>37</v>
      </c>
      <c r="B15" s="25">
        <v>45742</v>
      </c>
      <c r="C15" s="29">
        <v>0</v>
      </c>
      <c r="D15" s="29">
        <v>14</v>
      </c>
      <c r="E15" s="29">
        <v>7</v>
      </c>
      <c r="F15" s="28">
        <v>94.180999999999997</v>
      </c>
      <c r="G15" s="28">
        <v>0</v>
      </c>
      <c r="H15" s="31" t="s">
        <v>11</v>
      </c>
      <c r="I15" s="31">
        <v>4</v>
      </c>
      <c r="J15" s="28">
        <v>1</v>
      </c>
      <c r="K15" s="28">
        <v>2</v>
      </c>
      <c r="L15" s="28">
        <v>44</v>
      </c>
      <c r="M15" s="28" t="s">
        <v>46</v>
      </c>
      <c r="N15" s="28" t="s">
        <v>24</v>
      </c>
      <c r="O15" s="33">
        <v>564.5</v>
      </c>
      <c r="P15" t="s">
        <v>18</v>
      </c>
    </row>
    <row r="16" spans="1:16" hidden="1" x14ac:dyDescent="0.2">
      <c r="A16" t="s">
        <v>37</v>
      </c>
      <c r="B16" s="25">
        <v>45742</v>
      </c>
      <c r="C16" s="29">
        <v>0</v>
      </c>
      <c r="D16" s="29">
        <v>15</v>
      </c>
      <c r="E16" s="29">
        <v>8</v>
      </c>
      <c r="F16" s="28">
        <v>94.180999999999997</v>
      </c>
      <c r="G16" s="28">
        <v>0</v>
      </c>
      <c r="H16" s="31" t="s">
        <v>11</v>
      </c>
      <c r="I16" s="31">
        <v>4</v>
      </c>
      <c r="J16" s="28">
        <v>2</v>
      </c>
      <c r="K16" s="28">
        <v>1</v>
      </c>
      <c r="L16" s="28">
        <v>67</v>
      </c>
      <c r="M16" s="28" t="s">
        <v>44</v>
      </c>
      <c r="N16" s="28" t="s">
        <v>23</v>
      </c>
      <c r="O16" s="33">
        <v>450.2</v>
      </c>
      <c r="P16" t="s">
        <v>18</v>
      </c>
    </row>
    <row r="17" spans="1:16" hidden="1" x14ac:dyDescent="0.2">
      <c r="A17" t="s">
        <v>37</v>
      </c>
      <c r="B17" s="25">
        <v>45742</v>
      </c>
      <c r="C17" s="29">
        <v>0</v>
      </c>
      <c r="D17" s="29">
        <v>16</v>
      </c>
      <c r="E17" s="29">
        <v>8</v>
      </c>
      <c r="F17" s="28">
        <v>94.180999999999997</v>
      </c>
      <c r="G17" s="28">
        <v>0</v>
      </c>
      <c r="H17" s="31" t="s">
        <v>11</v>
      </c>
      <c r="I17" s="31">
        <v>4</v>
      </c>
      <c r="J17" s="28">
        <v>2</v>
      </c>
      <c r="K17" s="28">
        <v>2</v>
      </c>
      <c r="L17" s="28">
        <v>73</v>
      </c>
      <c r="M17" s="28" t="s">
        <v>45</v>
      </c>
      <c r="N17" s="28" t="s">
        <v>24</v>
      </c>
      <c r="O17" s="33">
        <v>416.5</v>
      </c>
      <c r="P17" t="s">
        <v>18</v>
      </c>
    </row>
    <row r="18" spans="1:16" hidden="1" x14ac:dyDescent="0.2">
      <c r="A18" t="s">
        <v>37</v>
      </c>
      <c r="B18" s="25">
        <v>45742</v>
      </c>
      <c r="C18" s="29">
        <v>0</v>
      </c>
      <c r="D18" s="29">
        <v>17</v>
      </c>
      <c r="E18" s="29">
        <v>9</v>
      </c>
      <c r="F18" s="28">
        <v>167.48009999999999</v>
      </c>
      <c r="G18" s="28">
        <v>0</v>
      </c>
      <c r="H18" s="31" t="s">
        <v>11</v>
      </c>
      <c r="I18" s="31">
        <v>5</v>
      </c>
      <c r="J18" s="28">
        <v>1</v>
      </c>
      <c r="K18" s="28">
        <v>1</v>
      </c>
      <c r="L18" s="28">
        <v>31</v>
      </c>
      <c r="M18" s="28" t="s">
        <v>43</v>
      </c>
      <c r="N18" s="28" t="s">
        <v>47</v>
      </c>
      <c r="O18" s="33">
        <v>696.4</v>
      </c>
      <c r="P18" t="s">
        <v>18</v>
      </c>
    </row>
    <row r="19" spans="1:16" x14ac:dyDescent="0.2">
      <c r="A19" t="s">
        <v>37</v>
      </c>
      <c r="B19" s="25">
        <v>45742</v>
      </c>
      <c r="C19" s="29">
        <v>0</v>
      </c>
      <c r="D19" s="29">
        <v>18</v>
      </c>
      <c r="E19" s="29">
        <v>9</v>
      </c>
      <c r="F19" s="28">
        <v>167.48009999999999</v>
      </c>
      <c r="G19" s="28">
        <v>0</v>
      </c>
      <c r="H19" s="31" t="s">
        <v>11</v>
      </c>
      <c r="I19" s="31">
        <v>5</v>
      </c>
      <c r="J19" s="28">
        <v>1</v>
      </c>
      <c r="K19" s="28">
        <v>2</v>
      </c>
      <c r="L19" s="28">
        <v>20</v>
      </c>
      <c r="M19" s="28" t="s">
        <v>46</v>
      </c>
      <c r="N19" s="28" t="s">
        <v>21</v>
      </c>
      <c r="O19" s="33">
        <v>682.1</v>
      </c>
      <c r="P19" t="s">
        <v>18</v>
      </c>
    </row>
    <row r="20" spans="1:16" hidden="1" x14ac:dyDescent="0.2">
      <c r="A20" t="s">
        <v>37</v>
      </c>
      <c r="B20" s="25">
        <v>45742</v>
      </c>
      <c r="C20" s="29">
        <v>0</v>
      </c>
      <c r="D20" s="29">
        <v>19</v>
      </c>
      <c r="E20" s="29">
        <v>10</v>
      </c>
      <c r="F20" s="28">
        <v>167.48009999999999</v>
      </c>
      <c r="G20" s="28">
        <v>0</v>
      </c>
      <c r="H20" s="31" t="s">
        <v>11</v>
      </c>
      <c r="I20" s="31">
        <v>5</v>
      </c>
      <c r="J20" s="28">
        <v>2</v>
      </c>
      <c r="K20" s="28">
        <v>1</v>
      </c>
      <c r="L20" s="28">
        <v>18</v>
      </c>
      <c r="M20" s="28" t="s">
        <v>44</v>
      </c>
      <c r="N20" s="28" t="s">
        <v>21</v>
      </c>
      <c r="O20" s="33">
        <v>506.8</v>
      </c>
      <c r="P20" t="s">
        <v>18</v>
      </c>
    </row>
    <row r="21" spans="1:16" hidden="1" x14ac:dyDescent="0.2">
      <c r="A21" t="s">
        <v>37</v>
      </c>
      <c r="B21" s="25">
        <v>45742</v>
      </c>
      <c r="C21" s="29">
        <v>0</v>
      </c>
      <c r="D21" s="29">
        <v>20</v>
      </c>
      <c r="E21" s="29">
        <v>10</v>
      </c>
      <c r="F21" s="28">
        <v>167.48009999999999</v>
      </c>
      <c r="G21" s="28">
        <v>0</v>
      </c>
      <c r="H21" s="31" t="s">
        <v>11</v>
      </c>
      <c r="I21" s="31">
        <v>5</v>
      </c>
      <c r="J21" s="28">
        <v>2</v>
      </c>
      <c r="K21" s="28">
        <v>2</v>
      </c>
      <c r="L21" s="28">
        <v>26</v>
      </c>
      <c r="M21" s="28" t="s">
        <v>45</v>
      </c>
      <c r="N21" s="28" t="s">
        <v>32</v>
      </c>
      <c r="O21" s="33">
        <v>501.7</v>
      </c>
      <c r="P21" t="s">
        <v>18</v>
      </c>
    </row>
    <row r="22" spans="1:16" hidden="1" x14ac:dyDescent="0.2">
      <c r="A22" t="s">
        <v>37</v>
      </c>
      <c r="B22" s="25">
        <v>45742</v>
      </c>
      <c r="C22" s="29">
        <v>0</v>
      </c>
      <c r="D22" s="29">
        <v>21</v>
      </c>
      <c r="E22" s="29">
        <v>11</v>
      </c>
      <c r="F22" s="28">
        <v>297.82639999999998</v>
      </c>
      <c r="G22" s="28">
        <v>0</v>
      </c>
      <c r="H22" s="31" t="s">
        <v>11</v>
      </c>
      <c r="I22" s="31">
        <v>6</v>
      </c>
      <c r="J22" s="28">
        <v>1</v>
      </c>
      <c r="K22" s="28">
        <v>1</v>
      </c>
      <c r="L22" s="28">
        <v>4</v>
      </c>
      <c r="M22" s="28" t="s">
        <v>43</v>
      </c>
      <c r="N22" s="28" t="s">
        <v>19</v>
      </c>
      <c r="O22" s="33">
        <v>376.3</v>
      </c>
      <c r="P22" t="s">
        <v>18</v>
      </c>
    </row>
    <row r="23" spans="1:16" hidden="1" x14ac:dyDescent="0.2">
      <c r="A23" t="s">
        <v>37</v>
      </c>
      <c r="B23" s="25">
        <v>45742</v>
      </c>
      <c r="C23" s="29">
        <v>0</v>
      </c>
      <c r="D23" s="29">
        <v>22</v>
      </c>
      <c r="E23" s="29">
        <v>11</v>
      </c>
      <c r="F23" s="28">
        <v>297.82639999999998</v>
      </c>
      <c r="G23" s="28">
        <v>0</v>
      </c>
      <c r="H23" s="31" t="s">
        <v>11</v>
      </c>
      <c r="I23" s="31">
        <v>6</v>
      </c>
      <c r="J23" s="28">
        <v>1</v>
      </c>
      <c r="K23" s="28">
        <v>2</v>
      </c>
      <c r="L23" s="28">
        <v>43</v>
      </c>
      <c r="M23" s="28" t="s">
        <v>46</v>
      </c>
      <c r="N23" s="28" t="s">
        <v>24</v>
      </c>
      <c r="O23" s="33">
        <v>481.7</v>
      </c>
      <c r="P23" t="s">
        <v>18</v>
      </c>
    </row>
    <row r="24" spans="1:16" hidden="1" x14ac:dyDescent="0.2">
      <c r="A24" t="s">
        <v>37</v>
      </c>
      <c r="B24" s="25">
        <v>45742</v>
      </c>
      <c r="C24" s="29">
        <v>0</v>
      </c>
      <c r="D24" s="29">
        <v>23</v>
      </c>
      <c r="E24" s="29">
        <v>12</v>
      </c>
      <c r="F24" s="28">
        <v>297.82639999999998</v>
      </c>
      <c r="G24" s="28">
        <v>0</v>
      </c>
      <c r="H24" s="31" t="s">
        <v>11</v>
      </c>
      <c r="I24" s="31">
        <v>6</v>
      </c>
      <c r="J24" s="28">
        <v>2</v>
      </c>
      <c r="K24" s="28">
        <v>1</v>
      </c>
      <c r="L24" s="28">
        <v>79</v>
      </c>
      <c r="M24" s="28" t="s">
        <v>44</v>
      </c>
      <c r="N24" s="28" t="s">
        <v>49</v>
      </c>
      <c r="O24" s="33">
        <v>726.3</v>
      </c>
      <c r="P24" t="s">
        <v>18</v>
      </c>
    </row>
    <row r="25" spans="1:16" hidden="1" x14ac:dyDescent="0.2">
      <c r="A25" t="s">
        <v>37</v>
      </c>
      <c r="B25" s="25">
        <v>45742</v>
      </c>
      <c r="C25" s="29">
        <v>0</v>
      </c>
      <c r="D25" s="29">
        <v>24</v>
      </c>
      <c r="E25" s="29">
        <v>12</v>
      </c>
      <c r="F25" s="28">
        <v>297.82639999999998</v>
      </c>
      <c r="G25" s="28">
        <v>0</v>
      </c>
      <c r="H25" s="31" t="s">
        <v>11</v>
      </c>
      <c r="I25" s="31">
        <v>6</v>
      </c>
      <c r="J25" s="28">
        <v>2</v>
      </c>
      <c r="K25" s="28">
        <v>2</v>
      </c>
      <c r="L25" s="28">
        <v>65</v>
      </c>
      <c r="M25" s="28" t="s">
        <v>45</v>
      </c>
      <c r="N25" s="28" t="s">
        <v>23</v>
      </c>
      <c r="O25" s="33">
        <v>367.9</v>
      </c>
      <c r="P25" t="s">
        <v>18</v>
      </c>
    </row>
    <row r="26" spans="1:16" hidden="1" x14ac:dyDescent="0.2">
      <c r="A26" t="s">
        <v>37</v>
      </c>
      <c r="B26" s="25">
        <v>45742</v>
      </c>
      <c r="C26" s="29">
        <v>0</v>
      </c>
      <c r="D26" s="29">
        <v>25</v>
      </c>
      <c r="E26" s="29">
        <v>13</v>
      </c>
      <c r="F26" s="28">
        <v>529.61860000000001</v>
      </c>
      <c r="G26" s="28">
        <v>0</v>
      </c>
      <c r="H26" s="31" t="s">
        <v>11</v>
      </c>
      <c r="I26" s="31">
        <v>7</v>
      </c>
      <c r="J26" s="28">
        <v>1</v>
      </c>
      <c r="K26" s="28">
        <v>1</v>
      </c>
      <c r="L26" s="28">
        <v>13</v>
      </c>
      <c r="M26" s="28" t="s">
        <v>44</v>
      </c>
      <c r="N26" s="28" t="s">
        <v>21</v>
      </c>
      <c r="O26" s="33">
        <v>529.20000000000005</v>
      </c>
      <c r="P26" t="s">
        <v>18</v>
      </c>
    </row>
    <row r="27" spans="1:16" hidden="1" x14ac:dyDescent="0.2">
      <c r="A27" t="s">
        <v>37</v>
      </c>
      <c r="B27" s="25">
        <v>45742</v>
      </c>
      <c r="C27" s="29">
        <v>0</v>
      </c>
      <c r="D27" s="29">
        <v>26</v>
      </c>
      <c r="E27" s="29">
        <v>13</v>
      </c>
      <c r="F27" s="28">
        <v>529.61860000000001</v>
      </c>
      <c r="G27" s="28">
        <v>0</v>
      </c>
      <c r="H27" s="31" t="s">
        <v>11</v>
      </c>
      <c r="I27" s="31">
        <v>7</v>
      </c>
      <c r="J27" s="28">
        <v>1</v>
      </c>
      <c r="K27" s="28">
        <v>2</v>
      </c>
      <c r="L27" s="28">
        <v>1</v>
      </c>
      <c r="M27" s="28" t="s">
        <v>45</v>
      </c>
      <c r="N27" s="28" t="s">
        <v>19</v>
      </c>
      <c r="O27" s="33">
        <v>391.1</v>
      </c>
      <c r="P27" t="s">
        <v>18</v>
      </c>
    </row>
    <row r="28" spans="1:16" hidden="1" x14ac:dyDescent="0.2">
      <c r="A28" t="s">
        <v>37</v>
      </c>
      <c r="B28" s="25">
        <v>45742</v>
      </c>
      <c r="C28" s="29">
        <v>0</v>
      </c>
      <c r="D28" s="29">
        <v>27</v>
      </c>
      <c r="E28" s="29">
        <v>14</v>
      </c>
      <c r="F28" s="28">
        <v>529.61860000000001</v>
      </c>
      <c r="G28" s="28">
        <v>0</v>
      </c>
      <c r="H28" s="31" t="s">
        <v>11</v>
      </c>
      <c r="I28" s="31">
        <v>7</v>
      </c>
      <c r="J28" s="28">
        <v>2</v>
      </c>
      <c r="K28" s="28">
        <v>1</v>
      </c>
      <c r="L28" s="28">
        <v>9</v>
      </c>
      <c r="M28" s="28" t="s">
        <v>43</v>
      </c>
      <c r="N28" s="28" t="s">
        <v>19</v>
      </c>
      <c r="O28" s="33">
        <v>572.9</v>
      </c>
      <c r="P28" t="s">
        <v>18</v>
      </c>
    </row>
    <row r="29" spans="1:16" hidden="1" x14ac:dyDescent="0.2">
      <c r="A29" t="s">
        <v>37</v>
      </c>
      <c r="B29" s="25">
        <v>45742</v>
      </c>
      <c r="C29" s="29">
        <v>0</v>
      </c>
      <c r="D29" s="29">
        <v>28</v>
      </c>
      <c r="E29" s="29">
        <v>14</v>
      </c>
      <c r="F29" s="28">
        <v>529.61860000000001</v>
      </c>
      <c r="G29" s="28">
        <v>0</v>
      </c>
      <c r="H29" s="31" t="s">
        <v>11</v>
      </c>
      <c r="I29" s="31">
        <v>7</v>
      </c>
      <c r="J29" s="28">
        <v>2</v>
      </c>
      <c r="K29" s="28">
        <v>2</v>
      </c>
      <c r="L29" s="28">
        <v>3</v>
      </c>
      <c r="M29" s="28" t="s">
        <v>46</v>
      </c>
      <c r="N29" s="28" t="s">
        <v>19</v>
      </c>
      <c r="O29" s="33">
        <v>297</v>
      </c>
      <c r="P29" t="s">
        <v>18</v>
      </c>
    </row>
    <row r="30" spans="1:16" hidden="1" x14ac:dyDescent="0.2">
      <c r="A30" t="s">
        <v>37</v>
      </c>
      <c r="B30" s="25">
        <v>45742</v>
      </c>
      <c r="C30" s="29">
        <v>0</v>
      </c>
      <c r="D30" s="29">
        <v>29</v>
      </c>
      <c r="E30" s="29">
        <v>15</v>
      </c>
      <c r="F30" s="28">
        <v>0.70640000000000003</v>
      </c>
      <c r="G30" s="28">
        <v>6.9999999999999999E-4</v>
      </c>
      <c r="H30" s="31" t="s">
        <v>12</v>
      </c>
      <c r="I30" s="31">
        <v>1</v>
      </c>
      <c r="J30" s="28">
        <v>1</v>
      </c>
      <c r="K30" s="28">
        <v>1</v>
      </c>
      <c r="L30" s="28">
        <v>73</v>
      </c>
      <c r="M30" s="28" t="s">
        <v>43</v>
      </c>
      <c r="N30" s="28" t="s">
        <v>24</v>
      </c>
      <c r="O30" s="33">
        <v>447</v>
      </c>
      <c r="P30" t="s">
        <v>18</v>
      </c>
    </row>
    <row r="31" spans="1:16" hidden="1" x14ac:dyDescent="0.2">
      <c r="A31" t="s">
        <v>37</v>
      </c>
      <c r="B31" s="25">
        <v>45742</v>
      </c>
      <c r="C31" s="29">
        <v>0</v>
      </c>
      <c r="D31" s="29">
        <v>30</v>
      </c>
      <c r="E31" s="29">
        <v>15</v>
      </c>
      <c r="F31" s="28">
        <v>0.70640000000000003</v>
      </c>
      <c r="G31" s="28">
        <v>6.9999999999999999E-4</v>
      </c>
      <c r="H31" s="31" t="s">
        <v>12</v>
      </c>
      <c r="I31" s="31">
        <v>1</v>
      </c>
      <c r="J31" s="28">
        <v>1</v>
      </c>
      <c r="K31" s="28">
        <v>2</v>
      </c>
      <c r="L31" s="28">
        <v>77</v>
      </c>
      <c r="M31" s="28" t="s">
        <v>46</v>
      </c>
      <c r="N31" s="28" t="s">
        <v>25</v>
      </c>
      <c r="O31" s="33">
        <v>445.9</v>
      </c>
      <c r="P31" t="s">
        <v>18</v>
      </c>
    </row>
    <row r="32" spans="1:16" hidden="1" x14ac:dyDescent="0.2">
      <c r="A32" t="s">
        <v>37</v>
      </c>
      <c r="B32" s="25">
        <v>45742</v>
      </c>
      <c r="C32" s="29">
        <v>0</v>
      </c>
      <c r="D32" s="29">
        <v>31</v>
      </c>
      <c r="E32" s="29">
        <v>16</v>
      </c>
      <c r="F32" s="28">
        <v>0.70640000000000003</v>
      </c>
      <c r="G32" s="28">
        <v>6.9999999999999999E-4</v>
      </c>
      <c r="H32" s="31" t="s">
        <v>12</v>
      </c>
      <c r="I32" s="31">
        <v>1</v>
      </c>
      <c r="J32" s="28">
        <v>2</v>
      </c>
      <c r="K32" s="28">
        <v>1</v>
      </c>
      <c r="L32" s="28">
        <v>26</v>
      </c>
      <c r="M32" s="28" t="s">
        <v>43</v>
      </c>
      <c r="N32" s="28" t="s">
        <v>32</v>
      </c>
      <c r="O32" s="33">
        <v>644.20000000000005</v>
      </c>
      <c r="P32" t="s">
        <v>18</v>
      </c>
    </row>
    <row r="33" spans="1:16" hidden="1" x14ac:dyDescent="0.2">
      <c r="A33" t="s">
        <v>37</v>
      </c>
      <c r="B33" s="25">
        <v>45742</v>
      </c>
      <c r="C33" s="29">
        <v>0</v>
      </c>
      <c r="D33" s="29">
        <v>32</v>
      </c>
      <c r="E33" s="29">
        <v>16</v>
      </c>
      <c r="F33" s="28">
        <v>0.70640000000000003</v>
      </c>
      <c r="G33" s="28">
        <v>6.9999999999999999E-4</v>
      </c>
      <c r="H33" s="31" t="s">
        <v>12</v>
      </c>
      <c r="I33" s="31">
        <v>1</v>
      </c>
      <c r="J33" s="28">
        <v>2</v>
      </c>
      <c r="K33" s="28">
        <v>2</v>
      </c>
      <c r="L33" s="28">
        <v>63</v>
      </c>
      <c r="M33" s="28" t="s">
        <v>46</v>
      </c>
      <c r="N33" s="28" t="s">
        <v>25</v>
      </c>
      <c r="O33" s="33">
        <v>592.6</v>
      </c>
      <c r="P33" t="s">
        <v>18</v>
      </c>
    </row>
    <row r="34" spans="1:16" hidden="1" x14ac:dyDescent="0.2">
      <c r="A34" t="s">
        <v>11</v>
      </c>
      <c r="B34" s="25">
        <v>45748</v>
      </c>
      <c r="C34">
        <v>0</v>
      </c>
      <c r="D34" s="29">
        <v>149</v>
      </c>
      <c r="E34" s="29">
        <v>75</v>
      </c>
      <c r="F34" s="28">
        <v>9.4181000000000008</v>
      </c>
      <c r="G34" s="28">
        <v>0</v>
      </c>
      <c r="H34" s="31" t="s">
        <v>11</v>
      </c>
      <c r="I34" s="31">
        <v>2</v>
      </c>
      <c r="J34" s="28">
        <v>3</v>
      </c>
      <c r="K34" s="28">
        <v>1</v>
      </c>
      <c r="L34" s="28">
        <v>17</v>
      </c>
      <c r="M34" s="28" t="s">
        <v>44</v>
      </c>
      <c r="N34" s="28" t="s">
        <v>21</v>
      </c>
      <c r="O34" s="33">
        <v>550.70000000000005</v>
      </c>
      <c r="P34" t="s">
        <v>18</v>
      </c>
    </row>
    <row r="35" spans="1:16" hidden="1" x14ac:dyDescent="0.2">
      <c r="A35" t="s">
        <v>11</v>
      </c>
      <c r="B35" s="25">
        <v>45748</v>
      </c>
      <c r="C35">
        <v>0</v>
      </c>
      <c r="D35" s="29">
        <v>152</v>
      </c>
      <c r="E35" s="29">
        <v>75</v>
      </c>
      <c r="F35" s="28">
        <v>9.4181000000000008</v>
      </c>
      <c r="G35" s="28">
        <v>0</v>
      </c>
      <c r="H35" s="31" t="s">
        <v>11</v>
      </c>
      <c r="I35" s="31">
        <v>2</v>
      </c>
      <c r="J35" s="28">
        <v>3</v>
      </c>
      <c r="K35" s="28">
        <v>2</v>
      </c>
      <c r="L35" s="28">
        <v>52</v>
      </c>
      <c r="M35" s="28" t="s">
        <v>45</v>
      </c>
      <c r="N35" s="28" t="s">
        <v>22</v>
      </c>
      <c r="O35" s="33">
        <v>491.9</v>
      </c>
      <c r="P35" t="s">
        <v>18</v>
      </c>
    </row>
    <row r="36" spans="1:16" hidden="1" x14ac:dyDescent="0.2">
      <c r="A36" t="s">
        <v>37</v>
      </c>
      <c r="B36" s="25">
        <v>45742</v>
      </c>
      <c r="C36" s="29">
        <v>0</v>
      </c>
      <c r="D36" s="29">
        <v>35</v>
      </c>
      <c r="E36" s="29">
        <v>18</v>
      </c>
      <c r="F36" s="28">
        <v>7.0636000000000001</v>
      </c>
      <c r="G36" s="28">
        <v>6.4999999999999997E-3</v>
      </c>
      <c r="H36" s="31" t="s">
        <v>12</v>
      </c>
      <c r="I36" s="31">
        <v>2</v>
      </c>
      <c r="J36" s="28">
        <v>2</v>
      </c>
      <c r="K36" s="28">
        <v>1</v>
      </c>
      <c r="L36" s="28">
        <v>6</v>
      </c>
      <c r="M36" s="28" t="s">
        <v>43</v>
      </c>
      <c r="N36" s="28" t="s">
        <v>19</v>
      </c>
      <c r="O36" s="33">
        <v>165.1</v>
      </c>
      <c r="P36" t="s">
        <v>18</v>
      </c>
    </row>
    <row r="37" spans="1:16" hidden="1" x14ac:dyDescent="0.2">
      <c r="A37" t="s">
        <v>37</v>
      </c>
      <c r="B37" s="25">
        <v>45742</v>
      </c>
      <c r="C37" s="29">
        <v>0</v>
      </c>
      <c r="D37" s="29">
        <v>36</v>
      </c>
      <c r="E37" s="29">
        <v>18</v>
      </c>
      <c r="F37" s="28">
        <v>7.0636000000000001</v>
      </c>
      <c r="G37" s="28">
        <v>6.4999999999999997E-3</v>
      </c>
      <c r="H37" s="31" t="s">
        <v>12</v>
      </c>
      <c r="I37" s="31">
        <v>2</v>
      </c>
      <c r="J37" s="28">
        <v>2</v>
      </c>
      <c r="K37" s="28">
        <v>2</v>
      </c>
      <c r="L37" s="28">
        <v>36</v>
      </c>
      <c r="M37" s="28" t="s">
        <v>46</v>
      </c>
      <c r="N37" s="28" t="s">
        <v>47</v>
      </c>
      <c r="O37" s="33">
        <v>452.9</v>
      </c>
      <c r="P37" t="s">
        <v>18</v>
      </c>
    </row>
    <row r="38" spans="1:16" hidden="1" x14ac:dyDescent="0.2">
      <c r="A38" t="s">
        <v>37</v>
      </c>
      <c r="B38" s="25">
        <v>45742</v>
      </c>
      <c r="C38" s="29">
        <v>0</v>
      </c>
      <c r="D38" s="29">
        <v>37</v>
      </c>
      <c r="E38" s="29">
        <v>19</v>
      </c>
      <c r="F38" s="28">
        <v>39.721400000000003</v>
      </c>
      <c r="G38" s="28">
        <v>3.6700000000000003E-2</v>
      </c>
      <c r="H38" s="31" t="s">
        <v>12</v>
      </c>
      <c r="I38" s="31">
        <v>3</v>
      </c>
      <c r="J38" s="28">
        <v>1</v>
      </c>
      <c r="K38" s="28">
        <v>1</v>
      </c>
      <c r="L38" s="28">
        <v>20</v>
      </c>
      <c r="M38" s="28" t="s">
        <v>44</v>
      </c>
      <c r="N38" s="28" t="s">
        <v>21</v>
      </c>
      <c r="O38" s="33">
        <v>566.70000000000005</v>
      </c>
      <c r="P38" t="s">
        <v>18</v>
      </c>
    </row>
    <row r="39" spans="1:16" hidden="1" x14ac:dyDescent="0.2">
      <c r="A39" t="s">
        <v>37</v>
      </c>
      <c r="B39" s="25">
        <v>45742</v>
      </c>
      <c r="C39" s="29">
        <v>0</v>
      </c>
      <c r="D39" s="29">
        <v>38</v>
      </c>
      <c r="E39" s="29">
        <v>19</v>
      </c>
      <c r="F39" s="28">
        <v>39.721400000000003</v>
      </c>
      <c r="G39" s="28">
        <v>3.6700000000000003E-2</v>
      </c>
      <c r="H39" s="31" t="s">
        <v>12</v>
      </c>
      <c r="I39" s="31">
        <v>3</v>
      </c>
      <c r="J39" s="28">
        <v>1</v>
      </c>
      <c r="K39" s="28">
        <v>2</v>
      </c>
      <c r="L39" s="28">
        <v>74</v>
      </c>
      <c r="M39" s="28" t="s">
        <v>45</v>
      </c>
      <c r="N39" s="28" t="s">
        <v>24</v>
      </c>
      <c r="O39" s="33">
        <v>316.10000000000002</v>
      </c>
      <c r="P39" t="s">
        <v>18</v>
      </c>
    </row>
    <row r="40" spans="1:16" hidden="1" x14ac:dyDescent="0.2">
      <c r="A40" t="s">
        <v>37</v>
      </c>
      <c r="B40" s="25">
        <v>45742</v>
      </c>
      <c r="C40" s="29">
        <v>0</v>
      </c>
      <c r="D40" s="29">
        <v>39</v>
      </c>
      <c r="E40" s="29">
        <v>20</v>
      </c>
      <c r="F40" s="28">
        <v>39.721400000000003</v>
      </c>
      <c r="G40" s="28">
        <v>3.6700000000000003E-2</v>
      </c>
      <c r="H40" s="31" t="s">
        <v>12</v>
      </c>
      <c r="I40" s="31">
        <v>3</v>
      </c>
      <c r="J40" s="28">
        <v>2</v>
      </c>
      <c r="K40" s="28">
        <v>1</v>
      </c>
      <c r="L40" s="28">
        <v>14</v>
      </c>
      <c r="M40" s="28" t="s">
        <v>44</v>
      </c>
      <c r="N40" s="28" t="s">
        <v>21</v>
      </c>
      <c r="O40" s="33">
        <v>699</v>
      </c>
      <c r="P40" t="s">
        <v>18</v>
      </c>
    </row>
    <row r="41" spans="1:16" hidden="1" x14ac:dyDescent="0.2">
      <c r="A41" t="s">
        <v>37</v>
      </c>
      <c r="B41" s="25">
        <v>45742</v>
      </c>
      <c r="C41" s="29">
        <v>0</v>
      </c>
      <c r="D41" s="29">
        <v>40</v>
      </c>
      <c r="E41" s="29">
        <v>20</v>
      </c>
      <c r="F41" s="28">
        <v>39.721400000000003</v>
      </c>
      <c r="G41" s="28">
        <v>3.6700000000000003E-2</v>
      </c>
      <c r="H41" s="31" t="s">
        <v>12</v>
      </c>
      <c r="I41" s="31">
        <v>3</v>
      </c>
      <c r="J41" s="28">
        <v>2</v>
      </c>
      <c r="K41" s="28">
        <v>2</v>
      </c>
      <c r="L41" s="28">
        <v>10</v>
      </c>
      <c r="M41" s="28" t="s">
        <v>45</v>
      </c>
      <c r="N41" s="28" t="s">
        <v>19</v>
      </c>
      <c r="O41" s="33">
        <v>449.6</v>
      </c>
      <c r="P41" t="s">
        <v>18</v>
      </c>
    </row>
    <row r="42" spans="1:16" hidden="1" x14ac:dyDescent="0.2">
      <c r="A42" t="s">
        <v>37</v>
      </c>
      <c r="B42" s="25">
        <v>45742</v>
      </c>
      <c r="C42" s="29">
        <v>0</v>
      </c>
      <c r="D42" s="29">
        <v>41</v>
      </c>
      <c r="E42" s="29">
        <v>21</v>
      </c>
      <c r="F42" s="28">
        <v>70.6357</v>
      </c>
      <c r="G42" s="28">
        <v>6.5299999999999997E-2</v>
      </c>
      <c r="H42" s="31" t="s">
        <v>12</v>
      </c>
      <c r="I42" s="31">
        <v>4</v>
      </c>
      <c r="J42" s="28">
        <v>1</v>
      </c>
      <c r="K42" s="28">
        <v>1</v>
      </c>
      <c r="L42" s="28">
        <v>20</v>
      </c>
      <c r="M42" s="28" t="s">
        <v>43</v>
      </c>
      <c r="N42" s="28" t="s">
        <v>21</v>
      </c>
      <c r="O42" s="33">
        <v>405.3</v>
      </c>
      <c r="P42" t="s">
        <v>18</v>
      </c>
    </row>
    <row r="43" spans="1:16" hidden="1" x14ac:dyDescent="0.2">
      <c r="A43" t="s">
        <v>37</v>
      </c>
      <c r="B43" s="25">
        <v>45742</v>
      </c>
      <c r="C43" s="29">
        <v>0</v>
      </c>
      <c r="D43" s="29">
        <v>42</v>
      </c>
      <c r="E43" s="29">
        <v>21</v>
      </c>
      <c r="F43" s="28">
        <v>70.6357</v>
      </c>
      <c r="G43" s="28">
        <v>6.5299999999999997E-2</v>
      </c>
      <c r="H43" s="31" t="s">
        <v>12</v>
      </c>
      <c r="I43" s="31">
        <v>4</v>
      </c>
      <c r="J43" s="28">
        <v>1</v>
      </c>
      <c r="K43" s="28">
        <v>2</v>
      </c>
      <c r="L43" s="28">
        <v>74</v>
      </c>
      <c r="M43" s="28" t="s">
        <v>46</v>
      </c>
      <c r="N43" s="28" t="s">
        <v>24</v>
      </c>
      <c r="O43" s="33">
        <v>509.5</v>
      </c>
      <c r="P43" t="s">
        <v>18</v>
      </c>
    </row>
    <row r="44" spans="1:16" hidden="1" x14ac:dyDescent="0.2">
      <c r="A44" t="s">
        <v>37</v>
      </c>
      <c r="B44" s="25">
        <v>45742</v>
      </c>
      <c r="C44" s="29">
        <v>0</v>
      </c>
      <c r="D44" s="29">
        <v>43</v>
      </c>
      <c r="E44" s="29">
        <v>22</v>
      </c>
      <c r="F44" s="28">
        <v>70.6357</v>
      </c>
      <c r="G44" s="28">
        <v>6.5299999999999997E-2</v>
      </c>
      <c r="H44" s="31" t="s">
        <v>12</v>
      </c>
      <c r="I44" s="31">
        <v>4</v>
      </c>
      <c r="J44" s="28">
        <v>2</v>
      </c>
      <c r="K44" s="28">
        <v>1</v>
      </c>
      <c r="L44" s="28">
        <v>80</v>
      </c>
      <c r="M44" s="28" t="s">
        <v>43</v>
      </c>
      <c r="N44" s="28" t="s">
        <v>50</v>
      </c>
      <c r="O44" s="33">
        <v>554.4</v>
      </c>
      <c r="P44" t="s">
        <v>18</v>
      </c>
    </row>
    <row r="45" spans="1:16" hidden="1" x14ac:dyDescent="0.2">
      <c r="A45" t="s">
        <v>37</v>
      </c>
      <c r="B45" s="25">
        <v>45742</v>
      </c>
      <c r="C45" s="29">
        <v>0</v>
      </c>
      <c r="D45" s="29">
        <v>44</v>
      </c>
      <c r="E45" s="29">
        <v>22</v>
      </c>
      <c r="F45" s="28">
        <v>70.6357</v>
      </c>
      <c r="G45" s="28">
        <v>6.5299999999999997E-2</v>
      </c>
      <c r="H45" s="31" t="s">
        <v>12</v>
      </c>
      <c r="I45" s="31">
        <v>4</v>
      </c>
      <c r="J45" s="28">
        <v>2</v>
      </c>
      <c r="K45" s="28">
        <v>2</v>
      </c>
      <c r="L45" s="28">
        <v>9</v>
      </c>
      <c r="M45" s="28" t="s">
        <v>46</v>
      </c>
      <c r="N45" s="28" t="s">
        <v>19</v>
      </c>
      <c r="O45" s="33">
        <v>1082.2</v>
      </c>
      <c r="P45" t="s">
        <v>18</v>
      </c>
    </row>
    <row r="46" spans="1:16" hidden="1" x14ac:dyDescent="0.2">
      <c r="A46" t="s">
        <v>37</v>
      </c>
      <c r="B46" s="25">
        <v>45742</v>
      </c>
      <c r="C46" s="29">
        <v>0</v>
      </c>
      <c r="D46" s="29">
        <v>45</v>
      </c>
      <c r="E46" s="29">
        <v>23</v>
      </c>
      <c r="F46" s="28">
        <v>125.6101</v>
      </c>
      <c r="G46" s="28">
        <v>0.11609999999999999</v>
      </c>
      <c r="H46" s="31" t="s">
        <v>12</v>
      </c>
      <c r="I46" s="31">
        <v>5</v>
      </c>
      <c r="J46" s="28">
        <v>1</v>
      </c>
      <c r="K46" s="28">
        <v>1</v>
      </c>
      <c r="L46" s="28">
        <v>79</v>
      </c>
      <c r="M46" s="28" t="s">
        <v>43</v>
      </c>
      <c r="N46" s="28" t="s">
        <v>49</v>
      </c>
      <c r="O46" s="33">
        <v>810.9</v>
      </c>
      <c r="P46" t="s">
        <v>18</v>
      </c>
    </row>
    <row r="47" spans="1:16" x14ac:dyDescent="0.2">
      <c r="A47" t="s">
        <v>37</v>
      </c>
      <c r="B47" s="25">
        <v>45742</v>
      </c>
      <c r="C47" s="29">
        <v>0</v>
      </c>
      <c r="D47" s="29">
        <v>46</v>
      </c>
      <c r="E47" s="29">
        <v>23</v>
      </c>
      <c r="F47" s="28">
        <v>125.6101</v>
      </c>
      <c r="G47" s="28">
        <v>0.11609999999999999</v>
      </c>
      <c r="H47" s="31" t="s">
        <v>12</v>
      </c>
      <c r="I47" s="31">
        <v>5</v>
      </c>
      <c r="J47" s="28">
        <v>1</v>
      </c>
      <c r="K47" s="28">
        <v>2</v>
      </c>
      <c r="L47" s="28">
        <v>65</v>
      </c>
      <c r="M47" s="28" t="s">
        <v>46</v>
      </c>
      <c r="N47" s="28" t="s">
        <v>23</v>
      </c>
      <c r="O47" s="33">
        <v>486.5</v>
      </c>
      <c r="P47" t="s">
        <v>18</v>
      </c>
    </row>
    <row r="48" spans="1:16" hidden="1" x14ac:dyDescent="0.2">
      <c r="A48" t="s">
        <v>37</v>
      </c>
      <c r="B48" s="25">
        <v>45742</v>
      </c>
      <c r="C48" s="29">
        <v>0</v>
      </c>
      <c r="D48" s="29">
        <v>47</v>
      </c>
      <c r="E48" s="29">
        <v>24</v>
      </c>
      <c r="F48" s="28">
        <v>125.6101</v>
      </c>
      <c r="G48" s="28">
        <v>0.11609999999999999</v>
      </c>
      <c r="H48" s="31" t="s">
        <v>12</v>
      </c>
      <c r="I48" s="31">
        <v>5</v>
      </c>
      <c r="J48" s="28">
        <v>2</v>
      </c>
      <c r="K48" s="28">
        <v>1</v>
      </c>
      <c r="L48" s="28">
        <v>32</v>
      </c>
      <c r="M48" s="28" t="s">
        <v>43</v>
      </c>
      <c r="N48" s="28" t="s">
        <v>47</v>
      </c>
      <c r="O48" s="33">
        <v>594.6</v>
      </c>
      <c r="P48" t="s">
        <v>18</v>
      </c>
    </row>
    <row r="49" spans="1:16" hidden="1" x14ac:dyDescent="0.2">
      <c r="A49" t="s">
        <v>37</v>
      </c>
      <c r="B49" s="25">
        <v>45742</v>
      </c>
      <c r="C49" s="29">
        <v>0</v>
      </c>
      <c r="D49" s="29">
        <v>48</v>
      </c>
      <c r="E49" s="29">
        <v>24</v>
      </c>
      <c r="F49" s="28">
        <v>125.6101</v>
      </c>
      <c r="G49" s="28">
        <v>0.11609999999999999</v>
      </c>
      <c r="H49" s="31" t="s">
        <v>12</v>
      </c>
      <c r="I49" s="31">
        <v>5</v>
      </c>
      <c r="J49" s="28">
        <v>2</v>
      </c>
      <c r="K49" s="28">
        <v>2</v>
      </c>
      <c r="L49" s="28">
        <v>61</v>
      </c>
      <c r="M49" s="28" t="s">
        <v>46</v>
      </c>
      <c r="N49" s="28" t="s">
        <v>25</v>
      </c>
      <c r="O49" s="33">
        <v>436.3</v>
      </c>
      <c r="P49" t="s">
        <v>18</v>
      </c>
    </row>
    <row r="50" spans="1:16" hidden="1" x14ac:dyDescent="0.2">
      <c r="A50" t="s">
        <v>37</v>
      </c>
      <c r="B50" s="25">
        <v>45742</v>
      </c>
      <c r="C50" s="29">
        <v>0</v>
      </c>
      <c r="D50" s="29">
        <v>49</v>
      </c>
      <c r="E50" s="29">
        <v>25</v>
      </c>
      <c r="F50" s="28">
        <v>223.3698</v>
      </c>
      <c r="G50" s="28">
        <v>0.2064</v>
      </c>
      <c r="H50" s="31" t="s">
        <v>12</v>
      </c>
      <c r="I50" s="31">
        <v>6</v>
      </c>
      <c r="J50" s="28">
        <v>1</v>
      </c>
      <c r="K50" s="28">
        <v>1</v>
      </c>
      <c r="L50" s="28">
        <v>55</v>
      </c>
      <c r="M50" s="28" t="s">
        <v>44</v>
      </c>
      <c r="N50" s="28" t="s">
        <v>20</v>
      </c>
      <c r="O50" s="33">
        <v>656.1</v>
      </c>
      <c r="P50" t="s">
        <v>18</v>
      </c>
    </row>
    <row r="51" spans="1:16" hidden="1" x14ac:dyDescent="0.2">
      <c r="A51" t="s">
        <v>37</v>
      </c>
      <c r="B51" s="25">
        <v>45742</v>
      </c>
      <c r="C51" s="29">
        <v>0</v>
      </c>
      <c r="D51" s="29">
        <v>50</v>
      </c>
      <c r="E51" s="29">
        <v>25</v>
      </c>
      <c r="F51" s="28">
        <v>223.3698</v>
      </c>
      <c r="G51" s="28">
        <v>0.2064</v>
      </c>
      <c r="H51" s="31" t="s">
        <v>12</v>
      </c>
      <c r="I51" s="31">
        <v>6</v>
      </c>
      <c r="J51" s="28">
        <v>1</v>
      </c>
      <c r="K51" s="28">
        <v>2</v>
      </c>
      <c r="L51" s="28">
        <v>13</v>
      </c>
      <c r="M51" s="28" t="s">
        <v>45</v>
      </c>
      <c r="N51" s="28" t="s">
        <v>21</v>
      </c>
      <c r="O51" s="33">
        <v>752.09</v>
      </c>
      <c r="P51" t="s">
        <v>18</v>
      </c>
    </row>
    <row r="52" spans="1:16" hidden="1" x14ac:dyDescent="0.2">
      <c r="A52" t="s">
        <v>37</v>
      </c>
      <c r="B52" s="25">
        <v>45742</v>
      </c>
      <c r="C52" s="29">
        <v>0</v>
      </c>
      <c r="D52" s="29">
        <v>51</v>
      </c>
      <c r="E52" s="29">
        <v>26</v>
      </c>
      <c r="F52" s="28">
        <v>223.3698</v>
      </c>
      <c r="G52" s="28">
        <v>0.2064</v>
      </c>
      <c r="H52" s="31" t="s">
        <v>12</v>
      </c>
      <c r="I52" s="31">
        <v>6</v>
      </c>
      <c r="J52" s="28">
        <v>2</v>
      </c>
      <c r="K52" s="28">
        <v>1</v>
      </c>
      <c r="L52" s="28">
        <v>23</v>
      </c>
      <c r="M52" s="28" t="s">
        <v>43</v>
      </c>
      <c r="N52" s="28" t="s">
        <v>32</v>
      </c>
      <c r="O52" s="33">
        <v>362.2</v>
      </c>
      <c r="P52" t="s">
        <v>18</v>
      </c>
    </row>
    <row r="53" spans="1:16" hidden="1" x14ac:dyDescent="0.2">
      <c r="A53" t="s">
        <v>37</v>
      </c>
      <c r="B53" s="25">
        <v>45742</v>
      </c>
      <c r="C53" s="29">
        <v>0</v>
      </c>
      <c r="D53" s="29">
        <v>52</v>
      </c>
      <c r="E53" s="29">
        <v>26</v>
      </c>
      <c r="F53" s="28">
        <v>223.3698</v>
      </c>
      <c r="G53" s="28">
        <v>0.2064</v>
      </c>
      <c r="H53" s="31" t="s">
        <v>12</v>
      </c>
      <c r="I53" s="31">
        <v>6</v>
      </c>
      <c r="J53" s="28">
        <v>2</v>
      </c>
      <c r="K53" s="28">
        <v>2</v>
      </c>
      <c r="L53" s="28">
        <v>4</v>
      </c>
      <c r="M53" s="28" t="s">
        <v>46</v>
      </c>
      <c r="N53" s="28" t="s">
        <v>19</v>
      </c>
      <c r="O53" s="33">
        <v>513.79999999999995</v>
      </c>
      <c r="P53" t="s">
        <v>18</v>
      </c>
    </row>
    <row r="54" spans="1:16" hidden="1" x14ac:dyDescent="0.2">
      <c r="A54" t="s">
        <v>37</v>
      </c>
      <c r="B54" s="25">
        <v>45742</v>
      </c>
      <c r="C54" s="29">
        <v>0</v>
      </c>
      <c r="D54" s="29">
        <v>53</v>
      </c>
      <c r="E54" s="29">
        <v>27</v>
      </c>
      <c r="F54" s="28">
        <v>397.214</v>
      </c>
      <c r="G54" s="28">
        <v>0.36709999999999998</v>
      </c>
      <c r="H54" s="31" t="s">
        <v>12</v>
      </c>
      <c r="I54" s="31">
        <v>7</v>
      </c>
      <c r="J54" s="28">
        <v>1</v>
      </c>
      <c r="K54" s="28">
        <v>1</v>
      </c>
      <c r="L54" s="28">
        <v>66</v>
      </c>
      <c r="M54" s="28" t="s">
        <v>43</v>
      </c>
      <c r="N54" s="28" t="s">
        <v>23</v>
      </c>
      <c r="O54" s="33">
        <v>641.70000000000005</v>
      </c>
      <c r="P54" t="s">
        <v>18</v>
      </c>
    </row>
    <row r="55" spans="1:16" hidden="1" x14ac:dyDescent="0.2">
      <c r="A55" t="s">
        <v>37</v>
      </c>
      <c r="B55" s="25">
        <v>45742</v>
      </c>
      <c r="C55" s="29">
        <v>0</v>
      </c>
      <c r="D55" s="29">
        <v>54</v>
      </c>
      <c r="E55" s="29">
        <v>27</v>
      </c>
      <c r="F55" s="28">
        <v>397.214</v>
      </c>
      <c r="G55" s="28">
        <v>0.36709999999999998</v>
      </c>
      <c r="H55" s="31" t="s">
        <v>12</v>
      </c>
      <c r="I55" s="31">
        <v>7</v>
      </c>
      <c r="J55" s="28">
        <v>1</v>
      </c>
      <c r="K55" s="28">
        <v>2</v>
      </c>
      <c r="L55" s="28">
        <v>46</v>
      </c>
      <c r="M55" s="28" t="s">
        <v>46</v>
      </c>
      <c r="N55" s="28" t="s">
        <v>48</v>
      </c>
      <c r="O55" s="33">
        <v>369.6</v>
      </c>
      <c r="P55" t="s">
        <v>18</v>
      </c>
    </row>
    <row r="56" spans="1:16" hidden="1" x14ac:dyDescent="0.2">
      <c r="A56" t="s">
        <v>37</v>
      </c>
      <c r="B56" s="25">
        <v>45742</v>
      </c>
      <c r="C56" s="29">
        <v>0</v>
      </c>
      <c r="D56" s="29">
        <v>55</v>
      </c>
      <c r="E56" s="29">
        <v>28</v>
      </c>
      <c r="F56" s="28">
        <v>397.214</v>
      </c>
      <c r="G56" s="28">
        <v>0.36709999999999998</v>
      </c>
      <c r="H56" s="31" t="s">
        <v>12</v>
      </c>
      <c r="I56" s="31">
        <v>7</v>
      </c>
      <c r="J56" s="28">
        <v>2</v>
      </c>
      <c r="K56" s="28">
        <v>1</v>
      </c>
      <c r="L56" s="28">
        <v>66</v>
      </c>
      <c r="M56" s="28" t="s">
        <v>44</v>
      </c>
      <c r="N56" s="28" t="s">
        <v>23</v>
      </c>
      <c r="O56" s="33">
        <v>821.9</v>
      </c>
      <c r="P56" t="s">
        <v>18</v>
      </c>
    </row>
    <row r="57" spans="1:16" hidden="1" x14ac:dyDescent="0.2">
      <c r="A57" t="s">
        <v>37</v>
      </c>
      <c r="B57" s="25">
        <v>45742</v>
      </c>
      <c r="C57" s="29">
        <v>0</v>
      </c>
      <c r="D57" s="29">
        <v>56</v>
      </c>
      <c r="E57" s="29">
        <v>28</v>
      </c>
      <c r="F57" s="28">
        <v>397.214</v>
      </c>
      <c r="G57" s="28">
        <v>0.36709999999999998</v>
      </c>
      <c r="H57" s="31" t="s">
        <v>12</v>
      </c>
      <c r="I57" s="31">
        <v>7</v>
      </c>
      <c r="J57" s="28">
        <v>2</v>
      </c>
      <c r="K57" s="28">
        <v>2</v>
      </c>
      <c r="L57" s="28">
        <v>46</v>
      </c>
      <c r="M57" s="28" t="s">
        <v>45</v>
      </c>
      <c r="N57" s="28" t="s">
        <v>48</v>
      </c>
      <c r="O57" s="33">
        <v>352</v>
      </c>
      <c r="P57" t="s">
        <v>18</v>
      </c>
    </row>
    <row r="58" spans="1:16" hidden="1" x14ac:dyDescent="0.2">
      <c r="A58" t="s">
        <v>37</v>
      </c>
      <c r="B58" s="25">
        <v>45742</v>
      </c>
      <c r="C58" s="29">
        <v>0</v>
      </c>
      <c r="D58" s="29">
        <v>57</v>
      </c>
      <c r="E58" s="29">
        <v>29</v>
      </c>
      <c r="F58" s="28">
        <v>0.47089999999999999</v>
      </c>
      <c r="G58" s="28">
        <v>1.2999999999999999E-3</v>
      </c>
      <c r="H58" s="31" t="s">
        <v>13</v>
      </c>
      <c r="I58" s="31">
        <v>1</v>
      </c>
      <c r="J58" s="28">
        <v>1</v>
      </c>
      <c r="K58" s="28">
        <v>1</v>
      </c>
      <c r="L58" s="28">
        <v>80</v>
      </c>
      <c r="M58" s="28" t="s">
        <v>44</v>
      </c>
      <c r="N58" s="28" t="s">
        <v>50</v>
      </c>
      <c r="O58" s="33">
        <v>495.2</v>
      </c>
      <c r="P58" t="s">
        <v>18</v>
      </c>
    </row>
    <row r="59" spans="1:16" hidden="1" x14ac:dyDescent="0.2">
      <c r="A59" t="s">
        <v>37</v>
      </c>
      <c r="B59" s="25">
        <v>45742</v>
      </c>
      <c r="C59" s="29">
        <v>0</v>
      </c>
      <c r="D59" s="29">
        <v>58</v>
      </c>
      <c r="E59" s="29">
        <v>29</v>
      </c>
      <c r="F59" s="28">
        <v>0.47089999999999999</v>
      </c>
      <c r="G59" s="28">
        <v>1.2999999999999999E-3</v>
      </c>
      <c r="H59" s="31" t="s">
        <v>13</v>
      </c>
      <c r="I59" s="31">
        <v>1</v>
      </c>
      <c r="J59" s="28">
        <v>1</v>
      </c>
      <c r="K59" s="28">
        <v>2</v>
      </c>
      <c r="L59" s="28">
        <v>9</v>
      </c>
      <c r="M59" s="28" t="s">
        <v>45</v>
      </c>
      <c r="N59" s="28" t="s">
        <v>19</v>
      </c>
      <c r="O59" s="33">
        <v>595.1</v>
      </c>
      <c r="P59" t="s">
        <v>18</v>
      </c>
    </row>
    <row r="60" spans="1:16" hidden="1" x14ac:dyDescent="0.2">
      <c r="A60" t="s">
        <v>37</v>
      </c>
      <c r="B60" s="25">
        <v>45742</v>
      </c>
      <c r="C60" s="29">
        <v>0</v>
      </c>
      <c r="D60" s="29">
        <v>59</v>
      </c>
      <c r="E60" s="29">
        <v>30</v>
      </c>
      <c r="F60" s="28">
        <v>0.47089999999999999</v>
      </c>
      <c r="G60" s="28">
        <v>1.2999999999999999E-3</v>
      </c>
      <c r="H60" s="31" t="s">
        <v>13</v>
      </c>
      <c r="I60" s="31">
        <v>1</v>
      </c>
      <c r="J60" s="28">
        <v>2</v>
      </c>
      <c r="K60" s="28">
        <v>1</v>
      </c>
      <c r="L60" s="28">
        <v>67</v>
      </c>
      <c r="M60" s="28" t="s">
        <v>43</v>
      </c>
      <c r="N60" s="28" t="s">
        <v>23</v>
      </c>
      <c r="O60" s="33">
        <v>548</v>
      </c>
      <c r="P60" t="s">
        <v>18</v>
      </c>
    </row>
    <row r="61" spans="1:16" hidden="1" x14ac:dyDescent="0.2">
      <c r="A61" t="s">
        <v>37</v>
      </c>
      <c r="B61" s="25">
        <v>45742</v>
      </c>
      <c r="C61" s="29">
        <v>0</v>
      </c>
      <c r="D61" s="29">
        <v>60</v>
      </c>
      <c r="E61" s="29">
        <v>30</v>
      </c>
      <c r="F61" s="28">
        <v>0.47089999999999999</v>
      </c>
      <c r="G61" s="28">
        <v>1.2999999999999999E-3</v>
      </c>
      <c r="H61" s="31" t="s">
        <v>13</v>
      </c>
      <c r="I61" s="31">
        <v>1</v>
      </c>
      <c r="J61" s="28">
        <v>2</v>
      </c>
      <c r="K61" s="28">
        <v>2</v>
      </c>
      <c r="L61" s="28">
        <v>73</v>
      </c>
      <c r="M61" s="28" t="s">
        <v>46</v>
      </c>
      <c r="N61" s="28" t="s">
        <v>24</v>
      </c>
      <c r="O61" s="33">
        <v>418.1</v>
      </c>
      <c r="P61" t="s">
        <v>18</v>
      </c>
    </row>
    <row r="62" spans="1:16" hidden="1" x14ac:dyDescent="0.2">
      <c r="A62" t="s">
        <v>37</v>
      </c>
      <c r="B62" s="25">
        <v>45742</v>
      </c>
      <c r="C62" s="29">
        <v>0</v>
      </c>
      <c r="D62" s="29">
        <v>33</v>
      </c>
      <c r="E62" s="29">
        <v>17</v>
      </c>
      <c r="F62" s="28">
        <v>7.0636000000000001</v>
      </c>
      <c r="G62" s="28">
        <v>6.4999999999999997E-3</v>
      </c>
      <c r="H62" s="31" t="s">
        <v>12</v>
      </c>
      <c r="I62" s="31">
        <v>2</v>
      </c>
      <c r="J62" s="28">
        <v>1</v>
      </c>
      <c r="K62" s="28">
        <v>1</v>
      </c>
      <c r="L62" s="28">
        <v>29</v>
      </c>
      <c r="M62" s="28" t="s">
        <v>43</v>
      </c>
      <c r="N62" s="28" t="s">
        <v>32</v>
      </c>
      <c r="O62" s="33">
        <v>540.20000000000005</v>
      </c>
      <c r="P62" t="s">
        <v>18</v>
      </c>
    </row>
    <row r="63" spans="1:16" hidden="1" x14ac:dyDescent="0.2">
      <c r="A63" t="s">
        <v>37</v>
      </c>
      <c r="B63" s="25">
        <v>45742</v>
      </c>
      <c r="C63" s="29">
        <v>0</v>
      </c>
      <c r="D63" s="29">
        <v>34</v>
      </c>
      <c r="E63" s="29">
        <v>17</v>
      </c>
      <c r="F63" s="28">
        <v>7.0636000000000001</v>
      </c>
      <c r="G63" s="28">
        <v>6.4999999999999997E-3</v>
      </c>
      <c r="H63" s="31" t="s">
        <v>12</v>
      </c>
      <c r="I63" s="31">
        <v>2</v>
      </c>
      <c r="J63" s="28">
        <v>1</v>
      </c>
      <c r="K63" s="28">
        <v>2</v>
      </c>
      <c r="L63" s="28">
        <v>29</v>
      </c>
      <c r="M63" s="28" t="s">
        <v>46</v>
      </c>
      <c r="N63" s="28" t="s">
        <v>32</v>
      </c>
      <c r="O63" s="33">
        <v>533.6</v>
      </c>
      <c r="P63" t="s">
        <v>18</v>
      </c>
    </row>
    <row r="64" spans="1:16" hidden="1" x14ac:dyDescent="0.2">
      <c r="A64" t="s">
        <v>37</v>
      </c>
      <c r="B64" s="25">
        <v>45742</v>
      </c>
      <c r="C64" s="29">
        <v>0</v>
      </c>
      <c r="D64" s="29">
        <v>63</v>
      </c>
      <c r="E64" s="29">
        <v>32</v>
      </c>
      <c r="F64" s="28">
        <v>4.7089999999999996</v>
      </c>
      <c r="G64" s="28">
        <v>1.3100000000000001E-2</v>
      </c>
      <c r="H64" s="31" t="s">
        <v>13</v>
      </c>
      <c r="I64" s="31">
        <v>2</v>
      </c>
      <c r="J64" s="28">
        <v>2</v>
      </c>
      <c r="K64" s="28">
        <v>1</v>
      </c>
      <c r="L64" s="28">
        <v>77</v>
      </c>
      <c r="M64" s="28" t="s">
        <v>43</v>
      </c>
      <c r="N64" s="28" t="s">
        <v>25</v>
      </c>
      <c r="O64" s="33">
        <v>705.4</v>
      </c>
      <c r="P64" t="s">
        <v>18</v>
      </c>
    </row>
    <row r="65" spans="1:16" hidden="1" x14ac:dyDescent="0.2">
      <c r="A65" t="s">
        <v>37</v>
      </c>
      <c r="B65" s="25">
        <v>45742</v>
      </c>
      <c r="C65" s="29">
        <v>0</v>
      </c>
      <c r="D65" s="29">
        <v>64</v>
      </c>
      <c r="E65" s="29">
        <v>32</v>
      </c>
      <c r="F65" s="28">
        <v>4.7089999999999996</v>
      </c>
      <c r="G65" s="28">
        <v>1.3100000000000001E-2</v>
      </c>
      <c r="H65" s="31" t="s">
        <v>13</v>
      </c>
      <c r="I65" s="31">
        <v>2</v>
      </c>
      <c r="J65" s="28">
        <v>2</v>
      </c>
      <c r="K65" s="28">
        <v>2</v>
      </c>
      <c r="L65" s="28">
        <v>67</v>
      </c>
      <c r="M65" s="28" t="s">
        <v>46</v>
      </c>
      <c r="N65" s="28" t="s">
        <v>23</v>
      </c>
      <c r="O65" s="33">
        <v>235.7</v>
      </c>
      <c r="P65" t="s">
        <v>18</v>
      </c>
    </row>
    <row r="66" spans="1:16" hidden="1" x14ac:dyDescent="0.2">
      <c r="A66" t="s">
        <v>37</v>
      </c>
      <c r="B66" s="25">
        <v>45742</v>
      </c>
      <c r="C66" s="29">
        <v>0</v>
      </c>
      <c r="D66" s="29">
        <v>65</v>
      </c>
      <c r="E66" s="29">
        <v>33</v>
      </c>
      <c r="F66" s="28">
        <v>26.480899999999998</v>
      </c>
      <c r="G66" s="28">
        <v>7.3400000000000007E-2</v>
      </c>
      <c r="H66" s="31" t="s">
        <v>13</v>
      </c>
      <c r="I66" s="31">
        <v>3</v>
      </c>
      <c r="J66" s="28">
        <v>1</v>
      </c>
      <c r="K66" s="28">
        <v>1</v>
      </c>
      <c r="L66" s="28">
        <v>78</v>
      </c>
      <c r="M66" s="28" t="s">
        <v>43</v>
      </c>
      <c r="N66" s="28" t="s">
        <v>25</v>
      </c>
      <c r="O66" s="33">
        <v>556.9</v>
      </c>
      <c r="P66" t="s">
        <v>18</v>
      </c>
    </row>
    <row r="67" spans="1:16" hidden="1" x14ac:dyDescent="0.2">
      <c r="A67" t="s">
        <v>37</v>
      </c>
      <c r="B67" s="25">
        <v>45742</v>
      </c>
      <c r="C67" s="29">
        <v>0</v>
      </c>
      <c r="D67" s="29">
        <v>66</v>
      </c>
      <c r="E67" s="29">
        <v>33</v>
      </c>
      <c r="F67" s="28">
        <v>26.480899999999998</v>
      </c>
      <c r="G67" s="28">
        <v>7.3400000000000007E-2</v>
      </c>
      <c r="H67" s="31" t="s">
        <v>13</v>
      </c>
      <c r="I67" s="31">
        <v>3</v>
      </c>
      <c r="J67" s="28">
        <v>1</v>
      </c>
      <c r="K67" s="28">
        <v>2</v>
      </c>
      <c r="L67" s="28">
        <v>18</v>
      </c>
      <c r="M67" s="28" t="s">
        <v>46</v>
      </c>
      <c r="N67" s="28" t="s">
        <v>21</v>
      </c>
      <c r="O67" s="33">
        <v>527</v>
      </c>
      <c r="P67" t="s">
        <v>18</v>
      </c>
    </row>
    <row r="68" spans="1:16" hidden="1" x14ac:dyDescent="0.2">
      <c r="A68" t="s">
        <v>37</v>
      </c>
      <c r="B68" s="25">
        <v>45742</v>
      </c>
      <c r="C68" s="29">
        <v>0</v>
      </c>
      <c r="D68" s="29">
        <v>67</v>
      </c>
      <c r="E68" s="29">
        <v>34</v>
      </c>
      <c r="F68" s="28">
        <v>26.480899999999998</v>
      </c>
      <c r="G68" s="28">
        <v>7.3400000000000007E-2</v>
      </c>
      <c r="H68" s="31" t="s">
        <v>13</v>
      </c>
      <c r="I68" s="31">
        <v>3</v>
      </c>
      <c r="J68" s="28">
        <v>2</v>
      </c>
      <c r="K68" s="28">
        <v>1</v>
      </c>
      <c r="L68" s="28">
        <v>46</v>
      </c>
      <c r="M68" s="28" t="s">
        <v>44</v>
      </c>
      <c r="N68" s="28" t="s">
        <v>48</v>
      </c>
      <c r="O68" s="33">
        <v>342.6</v>
      </c>
      <c r="P68" t="s">
        <v>18</v>
      </c>
    </row>
    <row r="69" spans="1:16" hidden="1" x14ac:dyDescent="0.2">
      <c r="A69" t="s">
        <v>37</v>
      </c>
      <c r="B69" s="25">
        <v>45742</v>
      </c>
      <c r="C69" s="29">
        <v>0</v>
      </c>
      <c r="D69" s="29">
        <v>68</v>
      </c>
      <c r="E69" s="29">
        <v>34</v>
      </c>
      <c r="F69" s="28">
        <v>26.480899999999998</v>
      </c>
      <c r="G69" s="28">
        <v>7.3400000000000007E-2</v>
      </c>
      <c r="H69" s="31" t="s">
        <v>13</v>
      </c>
      <c r="I69" s="31">
        <v>3</v>
      </c>
      <c r="J69" s="28">
        <v>2</v>
      </c>
      <c r="K69" s="28">
        <v>2</v>
      </c>
      <c r="L69" s="28">
        <v>80</v>
      </c>
      <c r="M69" s="28" t="s">
        <v>45</v>
      </c>
      <c r="N69" s="28" t="s">
        <v>50</v>
      </c>
      <c r="O69" s="33">
        <v>700.5</v>
      </c>
      <c r="P69" t="s">
        <v>18</v>
      </c>
    </row>
    <row r="70" spans="1:16" hidden="1" x14ac:dyDescent="0.2">
      <c r="A70" t="s">
        <v>37</v>
      </c>
      <c r="B70" s="25">
        <v>45742</v>
      </c>
      <c r="C70" s="29">
        <v>0</v>
      </c>
      <c r="D70" s="29">
        <v>69</v>
      </c>
      <c r="E70" s="29">
        <v>35</v>
      </c>
      <c r="F70" s="28">
        <v>47.090499999999999</v>
      </c>
      <c r="G70" s="28">
        <v>0.1305</v>
      </c>
      <c r="H70" s="31" t="s">
        <v>13</v>
      </c>
      <c r="I70" s="31">
        <v>4</v>
      </c>
      <c r="J70" s="28">
        <v>1</v>
      </c>
      <c r="K70" s="28">
        <v>1</v>
      </c>
      <c r="L70" s="28">
        <v>65</v>
      </c>
      <c r="M70" s="28" t="s">
        <v>44</v>
      </c>
      <c r="N70" s="28" t="s">
        <v>23</v>
      </c>
      <c r="O70" s="33">
        <v>309.60000000000002</v>
      </c>
      <c r="P70" t="s">
        <v>18</v>
      </c>
    </row>
    <row r="71" spans="1:16" hidden="1" x14ac:dyDescent="0.2">
      <c r="A71" t="s">
        <v>37</v>
      </c>
      <c r="B71" s="25">
        <v>45742</v>
      </c>
      <c r="C71" s="29">
        <v>0</v>
      </c>
      <c r="D71" s="29">
        <v>70</v>
      </c>
      <c r="E71" s="29">
        <v>35</v>
      </c>
      <c r="F71" s="28">
        <v>47.090499999999999</v>
      </c>
      <c r="G71" s="28">
        <v>0.1305</v>
      </c>
      <c r="H71" s="31" t="s">
        <v>13</v>
      </c>
      <c r="I71" s="31">
        <v>4</v>
      </c>
      <c r="J71" s="28">
        <v>1</v>
      </c>
      <c r="K71" s="28">
        <v>2</v>
      </c>
      <c r="L71" s="28">
        <v>78</v>
      </c>
      <c r="M71" s="28" t="s">
        <v>45</v>
      </c>
      <c r="N71" s="28" t="s">
        <v>25</v>
      </c>
      <c r="O71" s="33">
        <v>511.3</v>
      </c>
      <c r="P71" t="s">
        <v>18</v>
      </c>
    </row>
    <row r="72" spans="1:16" hidden="1" x14ac:dyDescent="0.2">
      <c r="A72" t="s">
        <v>37</v>
      </c>
      <c r="B72" s="25">
        <v>45742</v>
      </c>
      <c r="C72" s="29">
        <v>0</v>
      </c>
      <c r="D72" s="29">
        <v>71</v>
      </c>
      <c r="E72" s="29">
        <v>36</v>
      </c>
      <c r="F72" s="28">
        <v>47.090499999999999</v>
      </c>
      <c r="G72" s="28">
        <v>0.1305</v>
      </c>
      <c r="H72" s="31" t="s">
        <v>13</v>
      </c>
      <c r="I72" s="31">
        <v>4</v>
      </c>
      <c r="J72" s="28">
        <v>2</v>
      </c>
      <c r="K72" s="28">
        <v>1</v>
      </c>
      <c r="L72" s="28">
        <v>29</v>
      </c>
      <c r="M72" s="28" t="s">
        <v>44</v>
      </c>
      <c r="N72" s="28" t="s">
        <v>32</v>
      </c>
      <c r="O72" s="33">
        <v>491.1</v>
      </c>
      <c r="P72" t="s">
        <v>18</v>
      </c>
    </row>
    <row r="73" spans="1:16" hidden="1" x14ac:dyDescent="0.2">
      <c r="A73" t="s">
        <v>37</v>
      </c>
      <c r="B73" s="25">
        <v>45742</v>
      </c>
      <c r="C73" s="29">
        <v>0</v>
      </c>
      <c r="D73" s="29">
        <v>72</v>
      </c>
      <c r="E73" s="29">
        <v>36</v>
      </c>
      <c r="F73" s="28">
        <v>47.090499999999999</v>
      </c>
      <c r="G73" s="28">
        <v>0.1305</v>
      </c>
      <c r="H73" s="31" t="s">
        <v>13</v>
      </c>
      <c r="I73" s="31">
        <v>4</v>
      </c>
      <c r="J73" s="28">
        <v>2</v>
      </c>
      <c r="K73" s="28">
        <v>2</v>
      </c>
      <c r="L73" s="28">
        <v>29</v>
      </c>
      <c r="M73" s="28" t="s">
        <v>45</v>
      </c>
      <c r="N73" s="28" t="s">
        <v>32</v>
      </c>
      <c r="O73" s="33">
        <v>460.1</v>
      </c>
      <c r="P73" t="s">
        <v>18</v>
      </c>
    </row>
    <row r="74" spans="1:16" hidden="1" x14ac:dyDescent="0.2">
      <c r="A74" t="s">
        <v>37</v>
      </c>
      <c r="B74" s="25">
        <v>45742</v>
      </c>
      <c r="C74" s="29">
        <v>0</v>
      </c>
      <c r="D74" s="29">
        <v>73</v>
      </c>
      <c r="E74" s="29">
        <v>37</v>
      </c>
      <c r="F74" s="28">
        <v>83.740099999999998</v>
      </c>
      <c r="G74" s="28">
        <v>0.2321</v>
      </c>
      <c r="H74" s="31" t="s">
        <v>13</v>
      </c>
      <c r="I74" s="31">
        <v>5</v>
      </c>
      <c r="J74" s="28">
        <v>1</v>
      </c>
      <c r="K74" s="28">
        <v>1</v>
      </c>
      <c r="L74" s="28">
        <v>13</v>
      </c>
      <c r="M74" s="28" t="s">
        <v>43</v>
      </c>
      <c r="N74" s="28" t="s">
        <v>21</v>
      </c>
      <c r="O74" s="33">
        <v>454.4</v>
      </c>
      <c r="P74" t="s">
        <v>18</v>
      </c>
    </row>
    <row r="75" spans="1:16" x14ac:dyDescent="0.2">
      <c r="A75" t="s">
        <v>37</v>
      </c>
      <c r="B75" s="25">
        <v>45742</v>
      </c>
      <c r="C75" s="29">
        <v>0</v>
      </c>
      <c r="D75" s="29">
        <v>74</v>
      </c>
      <c r="E75" s="29">
        <v>37</v>
      </c>
      <c r="F75" s="28">
        <v>83.740099999999998</v>
      </c>
      <c r="G75" s="28">
        <v>0.2321</v>
      </c>
      <c r="H75" s="31" t="s">
        <v>13</v>
      </c>
      <c r="I75" s="31">
        <v>5</v>
      </c>
      <c r="J75" s="28">
        <v>1</v>
      </c>
      <c r="K75" s="28">
        <v>2</v>
      </c>
      <c r="L75" s="28">
        <v>1</v>
      </c>
      <c r="M75" s="28" t="s">
        <v>46</v>
      </c>
      <c r="N75" s="28" t="s">
        <v>19</v>
      </c>
      <c r="O75" s="33">
        <v>382.2</v>
      </c>
      <c r="P75" t="s">
        <v>18</v>
      </c>
    </row>
    <row r="76" spans="1:16" hidden="1" x14ac:dyDescent="0.2">
      <c r="A76" t="s">
        <v>37</v>
      </c>
      <c r="B76" s="25">
        <v>45742</v>
      </c>
      <c r="C76" s="29">
        <v>0</v>
      </c>
      <c r="D76" s="29">
        <v>75</v>
      </c>
      <c r="E76" s="29">
        <v>38</v>
      </c>
      <c r="F76" s="28">
        <v>83.740099999999998</v>
      </c>
      <c r="G76" s="28">
        <v>0.2321</v>
      </c>
      <c r="H76" s="31" t="s">
        <v>13</v>
      </c>
      <c r="I76" s="31">
        <v>5</v>
      </c>
      <c r="J76" s="28">
        <v>2</v>
      </c>
      <c r="K76" s="28">
        <v>1</v>
      </c>
      <c r="L76" s="28">
        <v>61</v>
      </c>
      <c r="M76" s="28" t="s">
        <v>43</v>
      </c>
      <c r="N76" s="28" t="s">
        <v>25</v>
      </c>
      <c r="O76" s="33">
        <v>630</v>
      </c>
      <c r="P76" t="s">
        <v>18</v>
      </c>
    </row>
    <row r="77" spans="1:16" hidden="1" x14ac:dyDescent="0.2">
      <c r="A77" t="s">
        <v>37</v>
      </c>
      <c r="B77" s="25">
        <v>45742</v>
      </c>
      <c r="C77" s="29">
        <v>0</v>
      </c>
      <c r="D77" s="29">
        <v>76</v>
      </c>
      <c r="E77" s="29">
        <v>38</v>
      </c>
      <c r="F77" s="28">
        <v>83.740099999999998</v>
      </c>
      <c r="G77" s="28">
        <v>0.2321</v>
      </c>
      <c r="H77" s="31" t="s">
        <v>13</v>
      </c>
      <c r="I77" s="31">
        <v>5</v>
      </c>
      <c r="J77" s="28">
        <v>2</v>
      </c>
      <c r="K77" s="28">
        <v>2</v>
      </c>
      <c r="L77" s="28">
        <v>14</v>
      </c>
      <c r="M77" s="28" t="s">
        <v>46</v>
      </c>
      <c r="N77" s="28" t="s">
        <v>21</v>
      </c>
      <c r="O77" s="33">
        <v>875.2</v>
      </c>
      <c r="P77" t="s">
        <v>18</v>
      </c>
    </row>
    <row r="78" spans="1:16" hidden="1" x14ac:dyDescent="0.2">
      <c r="A78" t="s">
        <v>37</v>
      </c>
      <c r="B78" s="25">
        <v>45742</v>
      </c>
      <c r="C78" s="29">
        <v>0</v>
      </c>
      <c r="D78" s="29">
        <v>77</v>
      </c>
      <c r="E78" s="29">
        <v>39</v>
      </c>
      <c r="F78" s="28">
        <v>148.91319999999999</v>
      </c>
      <c r="G78" s="28">
        <v>0.4128</v>
      </c>
      <c r="H78" s="31" t="s">
        <v>13</v>
      </c>
      <c r="I78" s="31">
        <v>6</v>
      </c>
      <c r="J78" s="28">
        <v>1</v>
      </c>
      <c r="K78" s="28">
        <v>1</v>
      </c>
      <c r="L78" s="28">
        <v>9</v>
      </c>
      <c r="M78" s="28" t="s">
        <v>44</v>
      </c>
      <c r="N78" s="28" t="s">
        <v>19</v>
      </c>
      <c r="O78" s="33">
        <v>531.5</v>
      </c>
      <c r="P78" t="s">
        <v>18</v>
      </c>
    </row>
    <row r="79" spans="1:16" hidden="1" x14ac:dyDescent="0.2">
      <c r="A79" t="s">
        <v>37</v>
      </c>
      <c r="B79" s="25">
        <v>45742</v>
      </c>
      <c r="C79" s="29">
        <v>0</v>
      </c>
      <c r="D79" s="29">
        <v>78</v>
      </c>
      <c r="E79" s="29">
        <v>39</v>
      </c>
      <c r="F79" s="28">
        <v>148.91319999999999</v>
      </c>
      <c r="G79" s="28">
        <v>0.4128</v>
      </c>
      <c r="H79" s="31" t="s">
        <v>13</v>
      </c>
      <c r="I79" s="31">
        <v>6</v>
      </c>
      <c r="J79" s="28">
        <v>1</v>
      </c>
      <c r="K79" s="28">
        <v>2</v>
      </c>
      <c r="L79" s="28">
        <v>3</v>
      </c>
      <c r="M79" s="28" t="s">
        <v>45</v>
      </c>
      <c r="N79" s="28" t="s">
        <v>19</v>
      </c>
      <c r="O79" s="33">
        <v>359.2</v>
      </c>
      <c r="P79" t="s">
        <v>18</v>
      </c>
    </row>
    <row r="80" spans="1:16" hidden="1" x14ac:dyDescent="0.2">
      <c r="A80" t="s">
        <v>37</v>
      </c>
      <c r="B80" s="25">
        <v>45742</v>
      </c>
      <c r="C80" s="29">
        <v>0</v>
      </c>
      <c r="D80" s="29">
        <v>79</v>
      </c>
      <c r="E80" s="29">
        <v>40</v>
      </c>
      <c r="F80" s="28">
        <v>148.91319999999999</v>
      </c>
      <c r="G80" s="28">
        <v>0.4128</v>
      </c>
      <c r="H80" s="31" t="s">
        <v>13</v>
      </c>
      <c r="I80" s="31">
        <v>6</v>
      </c>
      <c r="J80" s="28">
        <v>2</v>
      </c>
      <c r="K80" s="28">
        <v>1</v>
      </c>
      <c r="L80" s="28">
        <v>34</v>
      </c>
      <c r="M80" s="28" t="s">
        <v>43</v>
      </c>
      <c r="N80" s="28" t="s">
        <v>47</v>
      </c>
      <c r="O80" s="33">
        <v>462</v>
      </c>
      <c r="P80" t="s">
        <v>18</v>
      </c>
    </row>
    <row r="81" spans="1:16" hidden="1" x14ac:dyDescent="0.2">
      <c r="A81" t="s">
        <v>37</v>
      </c>
      <c r="B81" s="25">
        <v>45742</v>
      </c>
      <c r="C81" s="29">
        <v>0</v>
      </c>
      <c r="D81" s="29">
        <v>80</v>
      </c>
      <c r="E81" s="29">
        <v>40</v>
      </c>
      <c r="F81" s="28">
        <v>148.91319999999999</v>
      </c>
      <c r="G81" s="28">
        <v>0.4128</v>
      </c>
      <c r="H81" s="31" t="s">
        <v>13</v>
      </c>
      <c r="I81" s="31">
        <v>6</v>
      </c>
      <c r="J81" s="28">
        <v>2</v>
      </c>
      <c r="K81" s="28">
        <v>2</v>
      </c>
      <c r="L81" s="28">
        <v>23</v>
      </c>
      <c r="M81" s="28" t="s">
        <v>46</v>
      </c>
      <c r="N81" s="28" t="s">
        <v>32</v>
      </c>
      <c r="O81" s="33">
        <v>526</v>
      </c>
      <c r="P81" t="s">
        <v>18</v>
      </c>
    </row>
    <row r="82" spans="1:16" hidden="1" x14ac:dyDescent="0.2">
      <c r="A82" t="s">
        <v>37</v>
      </c>
      <c r="B82" s="25">
        <v>45742</v>
      </c>
      <c r="C82" s="29">
        <v>0</v>
      </c>
      <c r="D82" s="29">
        <v>81</v>
      </c>
      <c r="E82" s="29">
        <v>41</v>
      </c>
      <c r="F82" s="28">
        <v>264.80930000000001</v>
      </c>
      <c r="G82" s="28">
        <v>0.73409999999999997</v>
      </c>
      <c r="H82" s="31" t="s">
        <v>13</v>
      </c>
      <c r="I82" s="31">
        <v>7</v>
      </c>
      <c r="J82" s="28">
        <v>1</v>
      </c>
      <c r="K82" s="28">
        <v>1</v>
      </c>
      <c r="L82" s="28">
        <v>78</v>
      </c>
      <c r="M82" s="28" t="s">
        <v>44</v>
      </c>
      <c r="N82" s="28" t="s">
        <v>25</v>
      </c>
      <c r="O82" s="33">
        <v>454.6</v>
      </c>
      <c r="P82" t="s">
        <v>18</v>
      </c>
    </row>
    <row r="83" spans="1:16" hidden="1" x14ac:dyDescent="0.2">
      <c r="A83" t="s">
        <v>37</v>
      </c>
      <c r="B83" s="25">
        <v>45742</v>
      </c>
      <c r="C83" s="29">
        <v>0</v>
      </c>
      <c r="D83" s="29">
        <v>82</v>
      </c>
      <c r="E83" s="29">
        <v>41</v>
      </c>
      <c r="F83" s="28">
        <v>264.80930000000001</v>
      </c>
      <c r="G83" s="28">
        <v>0.73409999999999997</v>
      </c>
      <c r="H83" s="31" t="s">
        <v>13</v>
      </c>
      <c r="I83" s="31">
        <v>7</v>
      </c>
      <c r="J83" s="28">
        <v>1</v>
      </c>
      <c r="K83" s="28">
        <v>2</v>
      </c>
      <c r="L83" s="28">
        <v>18</v>
      </c>
      <c r="M83" s="28" t="s">
        <v>45</v>
      </c>
      <c r="N83" s="28" t="s">
        <v>21</v>
      </c>
      <c r="O83" s="33">
        <v>894.1</v>
      </c>
      <c r="P83" t="s">
        <v>18</v>
      </c>
    </row>
    <row r="84" spans="1:16" hidden="1" x14ac:dyDescent="0.2">
      <c r="A84" t="s">
        <v>37</v>
      </c>
      <c r="B84" s="25">
        <v>45742</v>
      </c>
      <c r="C84" s="29">
        <v>0</v>
      </c>
      <c r="D84" s="29">
        <v>83</v>
      </c>
      <c r="E84" s="29">
        <v>42</v>
      </c>
      <c r="F84" s="28">
        <v>264.80930000000001</v>
      </c>
      <c r="G84" s="28">
        <v>0.73409999999999997</v>
      </c>
      <c r="H84" s="31" t="s">
        <v>13</v>
      </c>
      <c r="I84" s="31">
        <v>7</v>
      </c>
      <c r="J84" s="28">
        <v>2</v>
      </c>
      <c r="K84" s="28">
        <v>1</v>
      </c>
      <c r="L84" s="28">
        <v>10</v>
      </c>
      <c r="M84" s="28" t="s">
        <v>44</v>
      </c>
      <c r="N84" s="28" t="s">
        <v>19</v>
      </c>
      <c r="O84" s="33">
        <v>520.70000000000005</v>
      </c>
      <c r="P84" t="s">
        <v>18</v>
      </c>
    </row>
    <row r="85" spans="1:16" hidden="1" x14ac:dyDescent="0.2">
      <c r="A85" t="s">
        <v>37</v>
      </c>
      <c r="B85" s="25">
        <v>45742</v>
      </c>
      <c r="C85" s="29">
        <v>0</v>
      </c>
      <c r="D85" s="29">
        <v>84</v>
      </c>
      <c r="E85" s="29">
        <v>42</v>
      </c>
      <c r="F85" s="28">
        <v>264.80930000000001</v>
      </c>
      <c r="G85" s="28">
        <v>0.73409999999999997</v>
      </c>
      <c r="H85" s="31" t="s">
        <v>13</v>
      </c>
      <c r="I85" s="31">
        <v>7</v>
      </c>
      <c r="J85" s="28">
        <v>2</v>
      </c>
      <c r="K85" s="28">
        <v>2</v>
      </c>
      <c r="L85" s="28">
        <v>55</v>
      </c>
      <c r="M85" s="28" t="s">
        <v>45</v>
      </c>
      <c r="N85" s="28" t="s">
        <v>20</v>
      </c>
      <c r="O85" s="33">
        <v>464.2</v>
      </c>
      <c r="P85" t="s">
        <v>18</v>
      </c>
    </row>
    <row r="86" spans="1:16" hidden="1" x14ac:dyDescent="0.2">
      <c r="A86" t="s">
        <v>37</v>
      </c>
      <c r="B86" s="25">
        <v>45742</v>
      </c>
      <c r="C86" s="29">
        <v>0</v>
      </c>
      <c r="D86" s="29">
        <v>85</v>
      </c>
      <c r="E86" s="29">
        <v>43</v>
      </c>
      <c r="F86" s="28">
        <v>0.23549999999999999</v>
      </c>
      <c r="G86" s="28">
        <v>2E-3</v>
      </c>
      <c r="H86" s="31" t="s">
        <v>14</v>
      </c>
      <c r="I86" s="31">
        <v>1</v>
      </c>
      <c r="J86" s="28">
        <v>1</v>
      </c>
      <c r="K86" s="28">
        <v>1</v>
      </c>
      <c r="L86" s="28">
        <v>1</v>
      </c>
      <c r="M86" s="28" t="s">
        <v>44</v>
      </c>
      <c r="N86" s="28" t="s">
        <v>19</v>
      </c>
      <c r="O86" s="33">
        <v>570.4</v>
      </c>
      <c r="P86" t="s">
        <v>18</v>
      </c>
    </row>
    <row r="87" spans="1:16" hidden="1" x14ac:dyDescent="0.2">
      <c r="A87" t="s">
        <v>37</v>
      </c>
      <c r="B87" s="25">
        <v>45742</v>
      </c>
      <c r="C87" s="29">
        <v>0</v>
      </c>
      <c r="D87" s="29">
        <v>86</v>
      </c>
      <c r="E87" s="29">
        <v>43</v>
      </c>
      <c r="F87" s="28">
        <v>0.23549999999999999</v>
      </c>
      <c r="G87" s="28">
        <v>2E-3</v>
      </c>
      <c r="H87" s="31" t="s">
        <v>14</v>
      </c>
      <c r="I87" s="31">
        <v>1</v>
      </c>
      <c r="J87" s="28">
        <v>1</v>
      </c>
      <c r="K87" s="28">
        <v>2</v>
      </c>
      <c r="L87" s="28">
        <v>21</v>
      </c>
      <c r="M87" s="28" t="s">
        <v>45</v>
      </c>
      <c r="N87" s="28" t="s">
        <v>32</v>
      </c>
      <c r="O87" s="33">
        <v>522.29999999999995</v>
      </c>
      <c r="P87" t="s">
        <v>18</v>
      </c>
    </row>
    <row r="88" spans="1:16" hidden="1" x14ac:dyDescent="0.2">
      <c r="A88" t="s">
        <v>37</v>
      </c>
      <c r="B88" s="25">
        <v>45742</v>
      </c>
      <c r="C88" s="29">
        <v>0</v>
      </c>
      <c r="D88" s="29">
        <v>87</v>
      </c>
      <c r="E88" s="29">
        <v>44</v>
      </c>
      <c r="F88" s="28">
        <v>0.23549999999999999</v>
      </c>
      <c r="G88" s="28">
        <v>2E-3</v>
      </c>
      <c r="H88" s="31" t="s">
        <v>14</v>
      </c>
      <c r="I88" s="31">
        <v>1</v>
      </c>
      <c r="J88" s="28">
        <v>2</v>
      </c>
      <c r="K88" s="28">
        <v>1</v>
      </c>
      <c r="L88" s="28">
        <v>6</v>
      </c>
      <c r="M88" s="28" t="s">
        <v>44</v>
      </c>
      <c r="N88" s="28" t="s">
        <v>19</v>
      </c>
      <c r="O88" s="33">
        <v>594.79999999999995</v>
      </c>
      <c r="P88" t="s">
        <v>18</v>
      </c>
    </row>
    <row r="89" spans="1:16" hidden="1" x14ac:dyDescent="0.2">
      <c r="A89" t="s">
        <v>37</v>
      </c>
      <c r="B89" s="25">
        <v>45742</v>
      </c>
      <c r="C89" s="29">
        <v>0</v>
      </c>
      <c r="D89" s="29">
        <v>88</v>
      </c>
      <c r="E89" s="29">
        <v>44</v>
      </c>
      <c r="F89" s="28">
        <v>0.23549999999999999</v>
      </c>
      <c r="G89" s="28">
        <v>2E-3</v>
      </c>
      <c r="H89" s="31" t="s">
        <v>14</v>
      </c>
      <c r="I89" s="31">
        <v>1</v>
      </c>
      <c r="J89" s="28">
        <v>2</v>
      </c>
      <c r="K89" s="28">
        <v>2</v>
      </c>
      <c r="L89" s="28">
        <v>36</v>
      </c>
      <c r="M89" s="28" t="s">
        <v>45</v>
      </c>
      <c r="N89" s="28" t="s">
        <v>47</v>
      </c>
      <c r="O89" s="33">
        <v>836.3</v>
      </c>
      <c r="P89" t="s">
        <v>18</v>
      </c>
    </row>
    <row r="90" spans="1:16" hidden="1" x14ac:dyDescent="0.2">
      <c r="A90" t="s">
        <v>11</v>
      </c>
      <c r="B90" s="25">
        <v>45748</v>
      </c>
      <c r="C90">
        <v>0</v>
      </c>
      <c r="D90" s="29">
        <v>179</v>
      </c>
      <c r="E90" s="29">
        <v>89</v>
      </c>
      <c r="F90" s="28">
        <v>7.0636000000000001</v>
      </c>
      <c r="G90" s="28">
        <v>6.4999999999999997E-3</v>
      </c>
      <c r="H90" s="31" t="s">
        <v>12</v>
      </c>
      <c r="I90" s="31">
        <v>2</v>
      </c>
      <c r="J90" s="28">
        <v>3</v>
      </c>
      <c r="K90" s="28">
        <v>1</v>
      </c>
      <c r="L90" s="28">
        <v>35</v>
      </c>
      <c r="M90" s="28" t="s">
        <v>43</v>
      </c>
      <c r="N90" s="28" t="s">
        <v>47</v>
      </c>
      <c r="O90" s="33">
        <v>576.1</v>
      </c>
      <c r="P90" t="s">
        <v>18</v>
      </c>
    </row>
    <row r="91" spans="1:16" hidden="1" x14ac:dyDescent="0.2">
      <c r="A91" t="s">
        <v>11</v>
      </c>
      <c r="B91" s="25">
        <v>45748</v>
      </c>
      <c r="C91">
        <v>0</v>
      </c>
      <c r="D91" s="29">
        <v>178</v>
      </c>
      <c r="E91" s="29">
        <v>89</v>
      </c>
      <c r="F91" s="28">
        <v>7.0636000000000001</v>
      </c>
      <c r="G91" s="28">
        <v>6.4999999999999997E-3</v>
      </c>
      <c r="H91" s="31" t="s">
        <v>12</v>
      </c>
      <c r="I91" s="31">
        <v>2</v>
      </c>
      <c r="J91" s="28">
        <v>3</v>
      </c>
      <c r="K91" s="28">
        <v>2</v>
      </c>
      <c r="L91" s="28">
        <v>17</v>
      </c>
      <c r="M91" s="28" t="s">
        <v>46</v>
      </c>
      <c r="N91" s="28" t="s">
        <v>21</v>
      </c>
      <c r="O91" s="33">
        <v>591.79999999999995</v>
      </c>
      <c r="P91" t="s">
        <v>18</v>
      </c>
    </row>
    <row r="92" spans="1:16" hidden="1" x14ac:dyDescent="0.2">
      <c r="A92" t="s">
        <v>37</v>
      </c>
      <c r="B92" s="25">
        <v>45742</v>
      </c>
      <c r="C92" s="29">
        <v>0</v>
      </c>
      <c r="D92" s="29">
        <v>91</v>
      </c>
      <c r="E92" s="29">
        <v>46</v>
      </c>
      <c r="F92" s="28">
        <v>2.3544999999999998</v>
      </c>
      <c r="G92" s="28">
        <v>1.9599999999999999E-2</v>
      </c>
      <c r="H92" s="31" t="s">
        <v>14</v>
      </c>
      <c r="I92" s="31">
        <v>2</v>
      </c>
      <c r="J92" s="28">
        <v>2</v>
      </c>
      <c r="K92" s="28">
        <v>1</v>
      </c>
      <c r="L92" s="28">
        <v>21</v>
      </c>
      <c r="M92" s="28" t="s">
        <v>44</v>
      </c>
      <c r="N92" s="28" t="s">
        <v>32</v>
      </c>
      <c r="O92" s="33">
        <v>513.4</v>
      </c>
      <c r="P92" t="s">
        <v>18</v>
      </c>
    </row>
    <row r="93" spans="1:16" hidden="1" x14ac:dyDescent="0.2">
      <c r="A93" t="s">
        <v>37</v>
      </c>
      <c r="B93" s="25">
        <v>45742</v>
      </c>
      <c r="C93" s="29">
        <v>0</v>
      </c>
      <c r="D93" s="29">
        <v>92</v>
      </c>
      <c r="E93" s="29">
        <v>46</v>
      </c>
      <c r="F93" s="28">
        <v>2.3544999999999998</v>
      </c>
      <c r="G93" s="28">
        <v>1.9599999999999999E-2</v>
      </c>
      <c r="H93" s="31" t="s">
        <v>14</v>
      </c>
      <c r="I93" s="31">
        <v>2</v>
      </c>
      <c r="J93" s="28">
        <v>2</v>
      </c>
      <c r="K93" s="28">
        <v>2</v>
      </c>
      <c r="L93" s="28">
        <v>44</v>
      </c>
      <c r="M93" s="28" t="s">
        <v>45</v>
      </c>
      <c r="N93" s="28" t="s">
        <v>24</v>
      </c>
      <c r="O93" s="33">
        <v>449.4</v>
      </c>
      <c r="P93" t="s">
        <v>18</v>
      </c>
    </row>
    <row r="94" spans="1:16" hidden="1" x14ac:dyDescent="0.2">
      <c r="A94" t="s">
        <v>37</v>
      </c>
      <c r="B94" s="25">
        <v>45742</v>
      </c>
      <c r="C94" s="29">
        <v>0</v>
      </c>
      <c r="D94" s="29">
        <v>93</v>
      </c>
      <c r="E94" s="29">
        <v>47</v>
      </c>
      <c r="F94" s="28">
        <v>13.240500000000001</v>
      </c>
      <c r="G94" s="28">
        <v>0.1101</v>
      </c>
      <c r="H94" s="31" t="s">
        <v>14</v>
      </c>
      <c r="I94" s="31">
        <v>3</v>
      </c>
      <c r="J94" s="28">
        <v>1</v>
      </c>
      <c r="K94" s="28">
        <v>1</v>
      </c>
      <c r="L94" s="28">
        <v>31</v>
      </c>
      <c r="M94" s="28" t="s">
        <v>44</v>
      </c>
      <c r="N94" s="28" t="s">
        <v>47</v>
      </c>
      <c r="O94" s="33">
        <v>527.9</v>
      </c>
      <c r="P94" t="s">
        <v>18</v>
      </c>
    </row>
    <row r="95" spans="1:16" hidden="1" x14ac:dyDescent="0.2">
      <c r="A95" t="s">
        <v>37</v>
      </c>
      <c r="B95" s="25">
        <v>45742</v>
      </c>
      <c r="C95" s="29">
        <v>0</v>
      </c>
      <c r="D95" s="29">
        <v>94</v>
      </c>
      <c r="E95" s="29">
        <v>47</v>
      </c>
      <c r="F95" s="28">
        <v>13.240500000000001</v>
      </c>
      <c r="G95" s="28">
        <v>0.1101</v>
      </c>
      <c r="H95" s="31" t="s">
        <v>14</v>
      </c>
      <c r="I95" s="31">
        <v>3</v>
      </c>
      <c r="J95" s="28">
        <v>1</v>
      </c>
      <c r="K95" s="28">
        <v>2</v>
      </c>
      <c r="L95" s="28">
        <v>20</v>
      </c>
      <c r="M95" s="28" t="s">
        <v>45</v>
      </c>
      <c r="N95" s="28" t="s">
        <v>21</v>
      </c>
      <c r="O95" s="33">
        <v>623.4</v>
      </c>
      <c r="P95" t="s">
        <v>18</v>
      </c>
    </row>
    <row r="96" spans="1:16" hidden="1" x14ac:dyDescent="0.2">
      <c r="A96" t="s">
        <v>37</v>
      </c>
      <c r="B96" s="25">
        <v>45742</v>
      </c>
      <c r="C96" s="29">
        <v>0</v>
      </c>
      <c r="D96" s="29">
        <v>95</v>
      </c>
      <c r="E96" s="29">
        <v>48</v>
      </c>
      <c r="F96" s="28">
        <v>13.240500000000001</v>
      </c>
      <c r="G96" s="28">
        <v>0.1101</v>
      </c>
      <c r="H96" s="31" t="s">
        <v>14</v>
      </c>
      <c r="I96" s="31">
        <v>3</v>
      </c>
      <c r="J96" s="28">
        <v>2</v>
      </c>
      <c r="K96" s="28">
        <v>1</v>
      </c>
      <c r="L96" s="28">
        <v>44</v>
      </c>
      <c r="M96" s="28" t="s">
        <v>43</v>
      </c>
      <c r="N96" s="28" t="s">
        <v>24</v>
      </c>
      <c r="O96" s="33">
        <v>468.7</v>
      </c>
      <c r="P96" t="s">
        <v>18</v>
      </c>
    </row>
    <row r="97" spans="1:16" hidden="1" x14ac:dyDescent="0.2">
      <c r="A97" t="s">
        <v>37</v>
      </c>
      <c r="B97" s="25">
        <v>45742</v>
      </c>
      <c r="C97" s="29">
        <v>0</v>
      </c>
      <c r="D97" s="29">
        <v>96</v>
      </c>
      <c r="E97" s="29">
        <v>48</v>
      </c>
      <c r="F97" s="28">
        <v>13.240500000000001</v>
      </c>
      <c r="G97" s="28">
        <v>0.1101</v>
      </c>
      <c r="H97" s="31" t="s">
        <v>14</v>
      </c>
      <c r="I97" s="31">
        <v>3</v>
      </c>
      <c r="J97" s="28">
        <v>2</v>
      </c>
      <c r="K97" s="28">
        <v>2</v>
      </c>
      <c r="L97" s="28">
        <v>32</v>
      </c>
      <c r="M97" s="28" t="s">
        <v>46</v>
      </c>
      <c r="N97" s="28" t="s">
        <v>47</v>
      </c>
      <c r="O97" s="33">
        <v>685.3</v>
      </c>
      <c r="P97" t="s">
        <v>18</v>
      </c>
    </row>
    <row r="98" spans="1:16" hidden="1" x14ac:dyDescent="0.2">
      <c r="A98" t="s">
        <v>37</v>
      </c>
      <c r="B98" s="25">
        <v>45742</v>
      </c>
      <c r="C98" s="29">
        <v>0</v>
      </c>
      <c r="D98" s="29">
        <v>97</v>
      </c>
      <c r="E98" s="29">
        <v>49</v>
      </c>
      <c r="F98" s="28">
        <v>23.545200000000001</v>
      </c>
      <c r="G98" s="28">
        <v>0.1958</v>
      </c>
      <c r="H98" s="31" t="s">
        <v>14</v>
      </c>
      <c r="I98" s="31">
        <v>4</v>
      </c>
      <c r="J98" s="28">
        <v>1</v>
      </c>
      <c r="K98" s="28">
        <v>1</v>
      </c>
      <c r="L98" s="28">
        <v>14</v>
      </c>
      <c r="M98" s="28" t="s">
        <v>43</v>
      </c>
      <c r="N98" s="28" t="s">
        <v>21</v>
      </c>
      <c r="O98" s="33">
        <v>981</v>
      </c>
      <c r="P98" t="s">
        <v>18</v>
      </c>
    </row>
    <row r="99" spans="1:16" hidden="1" x14ac:dyDescent="0.2">
      <c r="A99" t="s">
        <v>37</v>
      </c>
      <c r="B99" s="25">
        <v>45742</v>
      </c>
      <c r="C99" s="29">
        <v>0</v>
      </c>
      <c r="D99" s="29">
        <v>98</v>
      </c>
      <c r="E99" s="29">
        <v>49</v>
      </c>
      <c r="F99" s="28">
        <v>23.545200000000001</v>
      </c>
      <c r="G99" s="28">
        <v>0.1958</v>
      </c>
      <c r="H99" s="31" t="s">
        <v>14</v>
      </c>
      <c r="I99" s="31">
        <v>4</v>
      </c>
      <c r="J99" s="28">
        <v>1</v>
      </c>
      <c r="K99" s="28">
        <v>2</v>
      </c>
      <c r="L99" s="28">
        <v>10</v>
      </c>
      <c r="M99" s="28" t="s">
        <v>46</v>
      </c>
      <c r="N99" s="28" t="s">
        <v>19</v>
      </c>
      <c r="O99" s="33">
        <v>509.2</v>
      </c>
      <c r="P99" t="s">
        <v>18</v>
      </c>
    </row>
    <row r="100" spans="1:16" hidden="1" x14ac:dyDescent="0.2">
      <c r="A100" t="s">
        <v>37</v>
      </c>
      <c r="B100" s="25">
        <v>45742</v>
      </c>
      <c r="C100" s="29">
        <v>0</v>
      </c>
      <c r="D100" s="29">
        <v>99</v>
      </c>
      <c r="E100" s="29">
        <v>50</v>
      </c>
      <c r="F100" s="28">
        <v>23.545200000000001</v>
      </c>
      <c r="G100" s="28">
        <v>0.1958</v>
      </c>
      <c r="H100" s="31" t="s">
        <v>14</v>
      </c>
      <c r="I100" s="31">
        <v>4</v>
      </c>
      <c r="J100" s="28">
        <v>2</v>
      </c>
      <c r="K100" s="28">
        <v>1</v>
      </c>
      <c r="L100" s="28">
        <v>26</v>
      </c>
      <c r="M100" s="28" t="s">
        <v>44</v>
      </c>
      <c r="N100" s="28" t="s">
        <v>32</v>
      </c>
      <c r="O100" s="33">
        <v>464.7</v>
      </c>
      <c r="P100" t="s">
        <v>18</v>
      </c>
    </row>
    <row r="101" spans="1:16" hidden="1" x14ac:dyDescent="0.2">
      <c r="A101" t="s">
        <v>37</v>
      </c>
      <c r="B101" s="25">
        <v>45742</v>
      </c>
      <c r="C101" s="29">
        <v>0</v>
      </c>
      <c r="D101" s="29">
        <v>100</v>
      </c>
      <c r="E101" s="29">
        <v>50</v>
      </c>
      <c r="F101" s="28">
        <v>23.545200000000001</v>
      </c>
      <c r="G101" s="28">
        <v>0.1958</v>
      </c>
      <c r="H101" s="31" t="s">
        <v>14</v>
      </c>
      <c r="I101" s="31">
        <v>4</v>
      </c>
      <c r="J101" s="28">
        <v>2</v>
      </c>
      <c r="K101" s="28">
        <v>2</v>
      </c>
      <c r="L101" s="28">
        <v>63</v>
      </c>
      <c r="M101" s="28" t="s">
        <v>45</v>
      </c>
      <c r="N101" s="28" t="s">
        <v>25</v>
      </c>
      <c r="O101" s="33">
        <v>364.8</v>
      </c>
      <c r="P101" t="s">
        <v>18</v>
      </c>
    </row>
    <row r="102" spans="1:16" hidden="1" x14ac:dyDescent="0.2">
      <c r="A102" t="s">
        <v>37</v>
      </c>
      <c r="B102" s="25">
        <v>45742</v>
      </c>
      <c r="C102" s="29">
        <v>0</v>
      </c>
      <c r="D102" s="29">
        <v>101</v>
      </c>
      <c r="E102" s="29">
        <v>51</v>
      </c>
      <c r="F102" s="28">
        <v>41.87</v>
      </c>
      <c r="G102" s="28">
        <v>0.34820000000000001</v>
      </c>
      <c r="H102" s="31" t="s">
        <v>14</v>
      </c>
      <c r="I102" s="31">
        <v>5</v>
      </c>
      <c r="J102" s="28">
        <v>1</v>
      </c>
      <c r="K102" s="28">
        <v>1</v>
      </c>
      <c r="L102" s="28">
        <v>34</v>
      </c>
      <c r="M102" s="28" t="s">
        <v>44</v>
      </c>
      <c r="N102" s="28" t="s">
        <v>47</v>
      </c>
      <c r="O102" s="33">
        <v>585.70000000000005</v>
      </c>
      <c r="P102" t="s">
        <v>18</v>
      </c>
    </row>
    <row r="103" spans="1:16" x14ac:dyDescent="0.2">
      <c r="A103" t="s">
        <v>37</v>
      </c>
      <c r="B103" s="25">
        <v>45742</v>
      </c>
      <c r="C103" s="29">
        <v>0</v>
      </c>
      <c r="D103" s="29">
        <v>102</v>
      </c>
      <c r="E103" s="29">
        <v>51</v>
      </c>
      <c r="F103" s="28">
        <v>41.87</v>
      </c>
      <c r="G103" s="28">
        <v>0.34820000000000001</v>
      </c>
      <c r="H103" s="31" t="s">
        <v>14</v>
      </c>
      <c r="I103" s="31">
        <v>5</v>
      </c>
      <c r="J103" s="28">
        <v>1</v>
      </c>
      <c r="K103" s="28">
        <v>2</v>
      </c>
      <c r="L103" s="28">
        <v>23</v>
      </c>
      <c r="M103" s="28" t="s">
        <v>45</v>
      </c>
      <c r="N103" s="28" t="s">
        <v>32</v>
      </c>
      <c r="O103" s="33">
        <v>648.20000000000005</v>
      </c>
      <c r="P103" t="s">
        <v>18</v>
      </c>
    </row>
    <row r="104" spans="1:16" hidden="1" x14ac:dyDescent="0.2">
      <c r="A104" t="s">
        <v>37</v>
      </c>
      <c r="B104" s="25">
        <v>45742</v>
      </c>
      <c r="C104" s="29">
        <v>0</v>
      </c>
      <c r="D104" s="29">
        <v>103</v>
      </c>
      <c r="E104" s="29">
        <v>52</v>
      </c>
      <c r="F104" s="28">
        <v>41.87</v>
      </c>
      <c r="G104" s="28">
        <v>0.34820000000000001</v>
      </c>
      <c r="H104" s="31" t="s">
        <v>14</v>
      </c>
      <c r="I104" s="31">
        <v>5</v>
      </c>
      <c r="J104" s="28">
        <v>2</v>
      </c>
      <c r="K104" s="28">
        <v>1</v>
      </c>
      <c r="L104" s="28">
        <v>43</v>
      </c>
      <c r="M104" s="28" t="s">
        <v>43</v>
      </c>
      <c r="N104" s="28" t="s">
        <v>24</v>
      </c>
      <c r="O104" s="33">
        <v>384.3</v>
      </c>
      <c r="P104" t="s">
        <v>18</v>
      </c>
    </row>
    <row r="105" spans="1:16" hidden="1" x14ac:dyDescent="0.2">
      <c r="A105" t="s">
        <v>37</v>
      </c>
      <c r="B105" s="25">
        <v>45742</v>
      </c>
      <c r="C105" s="29">
        <v>0</v>
      </c>
      <c r="D105" s="29">
        <v>104</v>
      </c>
      <c r="E105" s="29">
        <v>52</v>
      </c>
      <c r="F105" s="28">
        <v>41.87</v>
      </c>
      <c r="G105" s="28">
        <v>0.34820000000000001</v>
      </c>
      <c r="H105" s="31" t="s">
        <v>14</v>
      </c>
      <c r="I105" s="31">
        <v>5</v>
      </c>
      <c r="J105" s="28">
        <v>2</v>
      </c>
      <c r="K105" s="28">
        <v>2</v>
      </c>
      <c r="L105" s="28">
        <v>39</v>
      </c>
      <c r="M105" s="28" t="s">
        <v>46</v>
      </c>
      <c r="N105" s="28" t="s">
        <v>47</v>
      </c>
      <c r="O105" s="33">
        <v>995.1</v>
      </c>
      <c r="P105" t="s">
        <v>18</v>
      </c>
    </row>
    <row r="106" spans="1:16" hidden="1" x14ac:dyDescent="0.2">
      <c r="A106" t="s">
        <v>37</v>
      </c>
      <c r="B106" s="25">
        <v>45742</v>
      </c>
      <c r="C106" s="29">
        <v>0</v>
      </c>
      <c r="D106" s="29">
        <v>105</v>
      </c>
      <c r="E106" s="29">
        <v>53</v>
      </c>
      <c r="F106" s="28">
        <v>74.456599999999995</v>
      </c>
      <c r="G106" s="28">
        <v>0.61919999999999997</v>
      </c>
      <c r="H106" s="31" t="s">
        <v>14</v>
      </c>
      <c r="I106" s="31">
        <v>6</v>
      </c>
      <c r="J106" s="28">
        <v>1</v>
      </c>
      <c r="K106" s="28">
        <v>1</v>
      </c>
      <c r="L106" s="28">
        <v>74</v>
      </c>
      <c r="M106" s="28" t="s">
        <v>44</v>
      </c>
      <c r="N106" s="28" t="s">
        <v>24</v>
      </c>
      <c r="O106" s="33">
        <v>296.10000000000002</v>
      </c>
      <c r="P106" t="s">
        <v>18</v>
      </c>
    </row>
    <row r="107" spans="1:16" hidden="1" x14ac:dyDescent="0.2">
      <c r="A107" t="s">
        <v>37</v>
      </c>
      <c r="B107" s="25">
        <v>45742</v>
      </c>
      <c r="C107" s="29">
        <v>0</v>
      </c>
      <c r="D107" s="29">
        <v>106</v>
      </c>
      <c r="E107" s="29">
        <v>53</v>
      </c>
      <c r="F107" s="28">
        <v>74.456599999999995</v>
      </c>
      <c r="G107" s="28">
        <v>0.61919999999999997</v>
      </c>
      <c r="H107" s="31" t="s">
        <v>14</v>
      </c>
      <c r="I107" s="31">
        <v>6</v>
      </c>
      <c r="J107" s="28">
        <v>1</v>
      </c>
      <c r="K107" s="28">
        <v>2</v>
      </c>
      <c r="L107" s="28">
        <v>69</v>
      </c>
      <c r="M107" s="28" t="s">
        <v>45</v>
      </c>
      <c r="N107" s="28" t="s">
        <v>19</v>
      </c>
      <c r="O107" s="33">
        <v>495.7</v>
      </c>
      <c r="P107" t="s">
        <v>18</v>
      </c>
    </row>
    <row r="108" spans="1:16" hidden="1" x14ac:dyDescent="0.2">
      <c r="A108" t="s">
        <v>37</v>
      </c>
      <c r="B108" s="25">
        <v>45742</v>
      </c>
      <c r="C108" s="29">
        <v>0</v>
      </c>
      <c r="D108" s="29">
        <v>107</v>
      </c>
      <c r="E108" s="29">
        <v>54</v>
      </c>
      <c r="F108" s="28">
        <v>74.456599999999995</v>
      </c>
      <c r="G108" s="28">
        <v>0.61919999999999997</v>
      </c>
      <c r="H108" s="31" t="s">
        <v>14</v>
      </c>
      <c r="I108" s="31">
        <v>6</v>
      </c>
      <c r="J108" s="28">
        <v>2</v>
      </c>
      <c r="K108" s="28">
        <v>1</v>
      </c>
      <c r="L108" s="28">
        <v>63</v>
      </c>
      <c r="M108" s="28" t="s">
        <v>44</v>
      </c>
      <c r="N108" s="28" t="s">
        <v>25</v>
      </c>
      <c r="O108" s="33">
        <v>302.39999999999998</v>
      </c>
      <c r="P108" t="s">
        <v>18</v>
      </c>
    </row>
    <row r="109" spans="1:16" hidden="1" x14ac:dyDescent="0.2">
      <c r="A109" t="s">
        <v>37</v>
      </c>
      <c r="B109" s="25">
        <v>45742</v>
      </c>
      <c r="C109" s="29">
        <v>0</v>
      </c>
      <c r="D109" s="29">
        <v>108</v>
      </c>
      <c r="E109" s="29">
        <v>54</v>
      </c>
      <c r="F109" s="28">
        <v>74.456599999999995</v>
      </c>
      <c r="G109" s="28">
        <v>0.61919999999999997</v>
      </c>
      <c r="H109" s="31" t="s">
        <v>14</v>
      </c>
      <c r="I109" s="31">
        <v>6</v>
      </c>
      <c r="J109" s="28">
        <v>2</v>
      </c>
      <c r="K109" s="28">
        <v>2</v>
      </c>
      <c r="L109" s="28">
        <v>34</v>
      </c>
      <c r="M109" s="28" t="s">
        <v>45</v>
      </c>
      <c r="N109" s="28" t="s">
        <v>47</v>
      </c>
      <c r="O109" s="33">
        <v>648.4</v>
      </c>
      <c r="P109" t="s">
        <v>18</v>
      </c>
    </row>
    <row r="110" spans="1:16" hidden="1" x14ac:dyDescent="0.2">
      <c r="A110" t="s">
        <v>37</v>
      </c>
      <c r="B110" s="25">
        <v>45742</v>
      </c>
      <c r="C110" s="29">
        <v>0</v>
      </c>
      <c r="D110" s="29">
        <v>109</v>
      </c>
      <c r="E110" s="29">
        <v>55</v>
      </c>
      <c r="F110" s="28">
        <v>132.40469999999999</v>
      </c>
      <c r="G110" s="28">
        <v>1.1012</v>
      </c>
      <c r="H110" s="31" t="s">
        <v>14</v>
      </c>
      <c r="I110" s="31">
        <v>7</v>
      </c>
      <c r="J110" s="28">
        <v>1</v>
      </c>
      <c r="K110" s="28">
        <v>1</v>
      </c>
      <c r="L110" s="28">
        <v>39</v>
      </c>
      <c r="M110" s="28" t="s">
        <v>44</v>
      </c>
      <c r="N110" s="28" t="s">
        <v>47</v>
      </c>
      <c r="O110" s="33">
        <v>567.5</v>
      </c>
      <c r="P110" t="s">
        <v>18</v>
      </c>
    </row>
    <row r="111" spans="1:16" hidden="1" x14ac:dyDescent="0.2">
      <c r="A111" t="s">
        <v>37</v>
      </c>
      <c r="B111" s="25">
        <v>45742</v>
      </c>
      <c r="C111" s="29">
        <v>0</v>
      </c>
      <c r="D111" s="29">
        <v>110</v>
      </c>
      <c r="E111" s="29">
        <v>55</v>
      </c>
      <c r="F111" s="28">
        <v>132.40469999999999</v>
      </c>
      <c r="G111" s="28">
        <v>1.1012</v>
      </c>
      <c r="H111" s="31" t="s">
        <v>14</v>
      </c>
      <c r="I111" s="31">
        <v>7</v>
      </c>
      <c r="J111" s="28">
        <v>1</v>
      </c>
      <c r="K111" s="28">
        <v>2</v>
      </c>
      <c r="L111" s="28">
        <v>31</v>
      </c>
      <c r="M111" s="28" t="s">
        <v>45</v>
      </c>
      <c r="N111" s="28" t="s">
        <v>47</v>
      </c>
      <c r="O111" s="33">
        <v>949.7</v>
      </c>
      <c r="P111" t="s">
        <v>18</v>
      </c>
    </row>
    <row r="112" spans="1:16" hidden="1" x14ac:dyDescent="0.2">
      <c r="A112" t="s">
        <v>37</v>
      </c>
      <c r="B112" s="25">
        <v>45742</v>
      </c>
      <c r="C112" s="29">
        <v>0</v>
      </c>
      <c r="D112" s="29">
        <v>111</v>
      </c>
      <c r="E112" s="29">
        <v>56</v>
      </c>
      <c r="F112" s="28">
        <v>132.40469999999999</v>
      </c>
      <c r="G112" s="28">
        <v>1.1012</v>
      </c>
      <c r="H112" s="31" t="s">
        <v>14</v>
      </c>
      <c r="I112" s="31">
        <v>7</v>
      </c>
      <c r="J112" s="28">
        <v>2</v>
      </c>
      <c r="K112" s="28">
        <v>1</v>
      </c>
      <c r="L112" s="28">
        <v>55</v>
      </c>
      <c r="M112" s="28" t="s">
        <v>43</v>
      </c>
      <c r="N112" s="28" t="s">
        <v>20</v>
      </c>
      <c r="O112" s="33">
        <v>520.79999999999995</v>
      </c>
      <c r="P112" t="s">
        <v>18</v>
      </c>
    </row>
    <row r="113" spans="1:16" hidden="1" x14ac:dyDescent="0.2">
      <c r="A113" t="s">
        <v>37</v>
      </c>
      <c r="B113" s="25">
        <v>45742</v>
      </c>
      <c r="C113" s="29">
        <v>0</v>
      </c>
      <c r="D113" s="29">
        <v>112</v>
      </c>
      <c r="E113" s="29">
        <v>56</v>
      </c>
      <c r="F113" s="28">
        <v>132.40469999999999</v>
      </c>
      <c r="G113" s="28">
        <v>1.1012</v>
      </c>
      <c r="H113" s="31" t="s">
        <v>14</v>
      </c>
      <c r="I113" s="31">
        <v>7</v>
      </c>
      <c r="J113" s="28">
        <v>2</v>
      </c>
      <c r="K113" s="28">
        <v>2</v>
      </c>
      <c r="L113" s="28">
        <v>13</v>
      </c>
      <c r="M113" s="28" t="s">
        <v>46</v>
      </c>
      <c r="N113" s="28" t="s">
        <v>21</v>
      </c>
      <c r="O113" s="33">
        <v>498.7</v>
      </c>
      <c r="P113" t="s">
        <v>18</v>
      </c>
    </row>
    <row r="114" spans="1:16" hidden="1" x14ac:dyDescent="0.2">
      <c r="A114" t="s">
        <v>37</v>
      </c>
      <c r="B114" s="25">
        <v>45742</v>
      </c>
      <c r="C114" s="29">
        <v>0</v>
      </c>
      <c r="D114" s="29">
        <v>113</v>
      </c>
      <c r="E114" s="29">
        <v>57</v>
      </c>
      <c r="F114" s="28">
        <v>0</v>
      </c>
      <c r="G114" s="28">
        <v>2.5999999999999999E-3</v>
      </c>
      <c r="H114" s="31" t="s">
        <v>15</v>
      </c>
      <c r="I114" s="31">
        <v>1</v>
      </c>
      <c r="J114" s="28">
        <v>1</v>
      </c>
      <c r="K114" s="28">
        <v>1</v>
      </c>
      <c r="L114" s="28">
        <v>32</v>
      </c>
      <c r="M114" s="28" t="s">
        <v>44</v>
      </c>
      <c r="N114" s="28" t="s">
        <v>47</v>
      </c>
      <c r="O114" s="33">
        <v>523.9</v>
      </c>
      <c r="P114" t="s">
        <v>18</v>
      </c>
    </row>
    <row r="115" spans="1:16" hidden="1" x14ac:dyDescent="0.2">
      <c r="A115" t="s">
        <v>37</v>
      </c>
      <c r="B115" s="25">
        <v>45742</v>
      </c>
      <c r="C115" s="29">
        <v>0</v>
      </c>
      <c r="D115" s="29">
        <v>114</v>
      </c>
      <c r="E115" s="29">
        <v>57</v>
      </c>
      <c r="F115" s="28">
        <v>0</v>
      </c>
      <c r="G115" s="28">
        <v>2.5999999999999999E-3</v>
      </c>
      <c r="H115" s="31" t="s">
        <v>15</v>
      </c>
      <c r="I115" s="31">
        <v>1</v>
      </c>
      <c r="J115" s="28">
        <v>1</v>
      </c>
      <c r="K115" s="28">
        <v>2</v>
      </c>
      <c r="L115" s="28">
        <v>61</v>
      </c>
      <c r="M115" s="28" t="s">
        <v>45</v>
      </c>
      <c r="N115" s="28" t="s">
        <v>25</v>
      </c>
      <c r="O115" s="33">
        <v>467.1</v>
      </c>
      <c r="P115" t="s">
        <v>18</v>
      </c>
    </row>
    <row r="116" spans="1:16" hidden="1" x14ac:dyDescent="0.2">
      <c r="A116" t="s">
        <v>37</v>
      </c>
      <c r="B116" s="25">
        <v>45742</v>
      </c>
      <c r="C116" s="29">
        <v>0</v>
      </c>
      <c r="D116" s="29">
        <v>115</v>
      </c>
      <c r="E116" s="29">
        <v>58</v>
      </c>
      <c r="F116" s="28">
        <v>0</v>
      </c>
      <c r="G116" s="28">
        <v>2.5999999999999999E-3</v>
      </c>
      <c r="H116" s="31" t="s">
        <v>15</v>
      </c>
      <c r="I116" s="31">
        <v>1</v>
      </c>
      <c r="J116" s="28">
        <v>2</v>
      </c>
      <c r="K116" s="28">
        <v>1</v>
      </c>
      <c r="L116" s="28">
        <v>45</v>
      </c>
      <c r="M116" s="28" t="s">
        <v>43</v>
      </c>
      <c r="N116" s="28" t="s">
        <v>32</v>
      </c>
      <c r="O116" s="33">
        <v>497.2</v>
      </c>
      <c r="P116" t="s">
        <v>18</v>
      </c>
    </row>
    <row r="117" spans="1:16" hidden="1" x14ac:dyDescent="0.2">
      <c r="A117" t="s">
        <v>37</v>
      </c>
      <c r="B117" s="25">
        <v>45742</v>
      </c>
      <c r="C117" s="29">
        <v>0</v>
      </c>
      <c r="D117" s="29">
        <v>116</v>
      </c>
      <c r="E117" s="29">
        <v>58</v>
      </c>
      <c r="F117" s="28">
        <v>0</v>
      </c>
      <c r="G117" s="28">
        <v>2.5999999999999999E-3</v>
      </c>
      <c r="H117" s="31" t="s">
        <v>15</v>
      </c>
      <c r="I117" s="31">
        <v>1</v>
      </c>
      <c r="J117" s="28">
        <v>2</v>
      </c>
      <c r="K117" s="28">
        <v>2</v>
      </c>
      <c r="L117" s="28">
        <v>6</v>
      </c>
      <c r="M117" s="28" t="s">
        <v>46</v>
      </c>
      <c r="N117" s="28" t="s">
        <v>19</v>
      </c>
      <c r="O117" s="33">
        <v>343.7</v>
      </c>
      <c r="P117" t="s">
        <v>18</v>
      </c>
    </row>
    <row r="118" spans="1:16" hidden="1" x14ac:dyDescent="0.2">
      <c r="A118" t="s">
        <v>37</v>
      </c>
      <c r="B118" s="25">
        <v>45742</v>
      </c>
      <c r="C118" s="29">
        <v>0</v>
      </c>
      <c r="D118" s="29">
        <v>61</v>
      </c>
      <c r="E118" s="29">
        <v>31</v>
      </c>
      <c r="F118" s="28">
        <v>4.7089999999999996</v>
      </c>
      <c r="G118" s="28">
        <v>1.3100000000000001E-2</v>
      </c>
      <c r="H118" s="31" t="s">
        <v>13</v>
      </c>
      <c r="I118" s="31">
        <v>2</v>
      </c>
      <c r="J118" s="28">
        <v>1</v>
      </c>
      <c r="K118" s="28">
        <v>1</v>
      </c>
      <c r="L118" s="28">
        <v>10</v>
      </c>
      <c r="M118" s="28" t="s">
        <v>43</v>
      </c>
      <c r="N118" s="28" t="s">
        <v>19</v>
      </c>
      <c r="O118" s="33">
        <v>363</v>
      </c>
      <c r="P118" t="s">
        <v>18</v>
      </c>
    </row>
    <row r="119" spans="1:16" hidden="1" x14ac:dyDescent="0.2">
      <c r="A119" t="s">
        <v>37</v>
      </c>
      <c r="B119" s="25">
        <v>45742</v>
      </c>
      <c r="C119" s="29">
        <v>0</v>
      </c>
      <c r="D119" s="29">
        <v>62</v>
      </c>
      <c r="E119" s="29">
        <v>31</v>
      </c>
      <c r="F119" s="28">
        <v>4.7089999999999996</v>
      </c>
      <c r="G119" s="28">
        <v>1.3100000000000001E-2</v>
      </c>
      <c r="H119" s="31" t="s">
        <v>13</v>
      </c>
      <c r="I119" s="31">
        <v>2</v>
      </c>
      <c r="J119" s="28">
        <v>1</v>
      </c>
      <c r="K119" s="28">
        <v>2</v>
      </c>
      <c r="L119" s="28">
        <v>55</v>
      </c>
      <c r="M119" s="28" t="s">
        <v>46</v>
      </c>
      <c r="N119" s="28" t="s">
        <v>20</v>
      </c>
      <c r="O119" s="33">
        <v>614.70000000000005</v>
      </c>
      <c r="P119" t="s">
        <v>18</v>
      </c>
    </row>
    <row r="120" spans="1:16" hidden="1" x14ac:dyDescent="0.2">
      <c r="A120" t="s">
        <v>37</v>
      </c>
      <c r="B120" s="25">
        <v>45742</v>
      </c>
      <c r="C120" s="29">
        <v>0</v>
      </c>
      <c r="D120" s="29">
        <v>119</v>
      </c>
      <c r="E120" s="29">
        <v>60</v>
      </c>
      <c r="F120" s="28">
        <v>0</v>
      </c>
      <c r="G120" s="28">
        <v>2.6100000000000002E-2</v>
      </c>
      <c r="H120" s="31" t="s">
        <v>15</v>
      </c>
      <c r="I120" s="31">
        <v>2</v>
      </c>
      <c r="J120" s="28">
        <v>2</v>
      </c>
      <c r="K120" s="28">
        <v>1</v>
      </c>
      <c r="L120" s="28">
        <v>36</v>
      </c>
      <c r="M120" s="28" t="s">
        <v>43</v>
      </c>
      <c r="N120" s="28" t="s">
        <v>47</v>
      </c>
      <c r="O120" s="33">
        <v>495.8</v>
      </c>
      <c r="P120" t="s">
        <v>18</v>
      </c>
    </row>
    <row r="121" spans="1:16" hidden="1" x14ac:dyDescent="0.2">
      <c r="A121" t="s">
        <v>37</v>
      </c>
      <c r="B121" s="25">
        <v>45742</v>
      </c>
      <c r="C121" s="29">
        <v>0</v>
      </c>
      <c r="D121" s="29">
        <v>120</v>
      </c>
      <c r="E121" s="29">
        <v>60</v>
      </c>
      <c r="F121" s="28">
        <v>0</v>
      </c>
      <c r="G121" s="28">
        <v>2.6100000000000002E-2</v>
      </c>
      <c r="H121" s="31" t="s">
        <v>15</v>
      </c>
      <c r="I121" s="31">
        <v>2</v>
      </c>
      <c r="J121" s="28">
        <v>2</v>
      </c>
      <c r="K121" s="28">
        <v>2</v>
      </c>
      <c r="L121" s="28">
        <v>45</v>
      </c>
      <c r="M121" s="28" t="s">
        <v>46</v>
      </c>
      <c r="N121" s="28" t="s">
        <v>24</v>
      </c>
      <c r="O121" s="33">
        <v>522.20000000000005</v>
      </c>
      <c r="P121" t="s">
        <v>18</v>
      </c>
    </row>
    <row r="122" spans="1:16" hidden="1" x14ac:dyDescent="0.2">
      <c r="A122" t="s">
        <v>37</v>
      </c>
      <c r="B122" s="25">
        <v>45742</v>
      </c>
      <c r="C122" s="29">
        <v>0</v>
      </c>
      <c r="D122" s="29">
        <v>121</v>
      </c>
      <c r="E122" s="29">
        <v>61</v>
      </c>
      <c r="F122" s="28">
        <v>0</v>
      </c>
      <c r="G122" s="28">
        <v>0.14680000000000001</v>
      </c>
      <c r="H122" s="31" t="s">
        <v>15</v>
      </c>
      <c r="I122" s="31">
        <v>3</v>
      </c>
      <c r="J122" s="28">
        <v>1</v>
      </c>
      <c r="K122" s="28">
        <v>1</v>
      </c>
      <c r="L122" s="28">
        <v>65</v>
      </c>
      <c r="M122" s="28" t="s">
        <v>43</v>
      </c>
      <c r="N122" s="28" t="s">
        <v>23</v>
      </c>
      <c r="O122" s="33">
        <v>486.9</v>
      </c>
      <c r="P122" t="s">
        <v>18</v>
      </c>
    </row>
    <row r="123" spans="1:16" hidden="1" x14ac:dyDescent="0.2">
      <c r="A123" t="s">
        <v>37</v>
      </c>
      <c r="B123" s="25">
        <v>45742</v>
      </c>
      <c r="C123" s="29">
        <v>0</v>
      </c>
      <c r="D123" s="29">
        <v>122</v>
      </c>
      <c r="E123" s="29">
        <v>61</v>
      </c>
      <c r="F123" s="28">
        <v>0</v>
      </c>
      <c r="G123" s="28">
        <v>0.14680000000000001</v>
      </c>
      <c r="H123" s="31" t="s">
        <v>15</v>
      </c>
      <c r="I123" s="31">
        <v>3</v>
      </c>
      <c r="J123" s="28">
        <v>1</v>
      </c>
      <c r="K123" s="28">
        <v>2</v>
      </c>
      <c r="L123" s="28">
        <v>78</v>
      </c>
      <c r="M123" s="28" t="s">
        <v>46</v>
      </c>
      <c r="N123" s="28" t="s">
        <v>25</v>
      </c>
      <c r="O123" s="33">
        <v>471.1</v>
      </c>
      <c r="P123" t="s">
        <v>18</v>
      </c>
    </row>
    <row r="124" spans="1:16" hidden="1" x14ac:dyDescent="0.2">
      <c r="A124" t="s">
        <v>37</v>
      </c>
      <c r="B124" s="25">
        <v>45742</v>
      </c>
      <c r="C124" s="29">
        <v>0</v>
      </c>
      <c r="D124" s="29">
        <v>123</v>
      </c>
      <c r="E124" s="29">
        <v>62</v>
      </c>
      <c r="F124" s="28">
        <v>0</v>
      </c>
      <c r="G124" s="28">
        <v>0.14680000000000001</v>
      </c>
      <c r="H124" s="31" t="s">
        <v>15</v>
      </c>
      <c r="I124" s="31">
        <v>3</v>
      </c>
      <c r="J124" s="28">
        <v>2</v>
      </c>
      <c r="K124" s="28">
        <v>1</v>
      </c>
      <c r="L124" s="28">
        <v>18</v>
      </c>
      <c r="M124" s="28" t="s">
        <v>43</v>
      </c>
      <c r="N124" s="28" t="s">
        <v>21</v>
      </c>
      <c r="O124" s="33">
        <v>927.5</v>
      </c>
      <c r="P124" t="s">
        <v>18</v>
      </c>
    </row>
    <row r="125" spans="1:16" hidden="1" x14ac:dyDescent="0.2">
      <c r="A125" t="s">
        <v>37</v>
      </c>
      <c r="B125" s="25">
        <v>45742</v>
      </c>
      <c r="C125" s="29">
        <v>0</v>
      </c>
      <c r="D125" s="29">
        <v>124</v>
      </c>
      <c r="E125" s="29">
        <v>62</v>
      </c>
      <c r="F125" s="28">
        <v>0</v>
      </c>
      <c r="G125" s="28">
        <v>0.14680000000000001</v>
      </c>
      <c r="H125" s="31" t="s">
        <v>15</v>
      </c>
      <c r="I125" s="31">
        <v>3</v>
      </c>
      <c r="J125" s="28">
        <v>2</v>
      </c>
      <c r="K125" s="28">
        <v>2</v>
      </c>
      <c r="L125" s="28">
        <v>26</v>
      </c>
      <c r="M125" s="28" t="s">
        <v>46</v>
      </c>
      <c r="N125" s="28" t="s">
        <v>32</v>
      </c>
      <c r="O125" s="33">
        <v>778.2</v>
      </c>
      <c r="P125" t="s">
        <v>18</v>
      </c>
    </row>
    <row r="126" spans="1:16" hidden="1" x14ac:dyDescent="0.2">
      <c r="A126" t="s">
        <v>37</v>
      </c>
      <c r="B126" s="25">
        <v>45742</v>
      </c>
      <c r="C126" s="29">
        <v>0</v>
      </c>
      <c r="D126" s="29">
        <v>125</v>
      </c>
      <c r="E126" s="29">
        <v>63</v>
      </c>
      <c r="F126" s="28">
        <v>0</v>
      </c>
      <c r="G126" s="28">
        <v>0.2611</v>
      </c>
      <c r="H126" s="31" t="s">
        <v>15</v>
      </c>
      <c r="I126" s="31">
        <v>4</v>
      </c>
      <c r="J126" s="28">
        <v>1</v>
      </c>
      <c r="K126" s="28">
        <v>1</v>
      </c>
      <c r="L126" s="28">
        <v>46</v>
      </c>
      <c r="M126" s="28" t="s">
        <v>43</v>
      </c>
      <c r="N126" s="28" t="s">
        <v>48</v>
      </c>
      <c r="O126" s="33">
        <v>374.3</v>
      </c>
      <c r="P126" t="s">
        <v>18</v>
      </c>
    </row>
    <row r="127" spans="1:16" hidden="1" x14ac:dyDescent="0.2">
      <c r="A127" t="s">
        <v>37</v>
      </c>
      <c r="B127" s="25">
        <v>45742</v>
      </c>
      <c r="C127" s="29">
        <v>0</v>
      </c>
      <c r="D127" s="29">
        <v>126</v>
      </c>
      <c r="E127" s="29">
        <v>63</v>
      </c>
      <c r="F127" s="28">
        <v>0</v>
      </c>
      <c r="G127" s="28">
        <v>0.2611</v>
      </c>
      <c r="H127" s="31" t="s">
        <v>15</v>
      </c>
      <c r="I127" s="31">
        <v>4</v>
      </c>
      <c r="J127" s="28">
        <v>1</v>
      </c>
      <c r="K127" s="28">
        <v>2</v>
      </c>
      <c r="L127" s="28">
        <v>80</v>
      </c>
      <c r="M127" s="28" t="s">
        <v>46</v>
      </c>
      <c r="N127" s="28" t="s">
        <v>50</v>
      </c>
      <c r="O127" s="33">
        <v>714.8</v>
      </c>
      <c r="P127" t="s">
        <v>18</v>
      </c>
    </row>
    <row r="128" spans="1:16" hidden="1" x14ac:dyDescent="0.2">
      <c r="A128" t="s">
        <v>37</v>
      </c>
      <c r="B128" s="25">
        <v>45742</v>
      </c>
      <c r="C128" s="29">
        <v>0</v>
      </c>
      <c r="D128" s="29">
        <v>127</v>
      </c>
      <c r="E128" s="29">
        <v>64</v>
      </c>
      <c r="F128" s="28">
        <v>0</v>
      </c>
      <c r="G128" s="28">
        <v>0.2611</v>
      </c>
      <c r="H128" s="31" t="s">
        <v>15</v>
      </c>
      <c r="I128" s="31">
        <v>4</v>
      </c>
      <c r="J128" s="28">
        <v>2</v>
      </c>
      <c r="K128" s="28">
        <v>1</v>
      </c>
      <c r="L128" s="28">
        <v>43</v>
      </c>
      <c r="M128" s="28" t="s">
        <v>44</v>
      </c>
      <c r="N128" s="28" t="s">
        <v>24</v>
      </c>
      <c r="O128" s="33">
        <v>237.2</v>
      </c>
      <c r="P128" t="s">
        <v>18</v>
      </c>
    </row>
    <row r="129" spans="1:16" hidden="1" x14ac:dyDescent="0.2">
      <c r="A129" t="s">
        <v>37</v>
      </c>
      <c r="B129" s="25">
        <v>45742</v>
      </c>
      <c r="C129" s="29">
        <v>0</v>
      </c>
      <c r="D129" s="29">
        <v>128</v>
      </c>
      <c r="E129" s="29">
        <v>64</v>
      </c>
      <c r="F129" s="28">
        <v>0</v>
      </c>
      <c r="G129" s="28">
        <v>0.2611</v>
      </c>
      <c r="H129" s="31" t="s">
        <v>15</v>
      </c>
      <c r="I129" s="31">
        <v>4</v>
      </c>
      <c r="J129" s="28">
        <v>2</v>
      </c>
      <c r="K129" s="28">
        <v>2</v>
      </c>
      <c r="L129" s="28">
        <v>39</v>
      </c>
      <c r="M129" s="28" t="s">
        <v>45</v>
      </c>
      <c r="N129" s="28" t="s">
        <v>47</v>
      </c>
      <c r="O129" s="33">
        <v>525.29999999999995</v>
      </c>
      <c r="P129" t="s">
        <v>18</v>
      </c>
    </row>
    <row r="130" spans="1:16" hidden="1" x14ac:dyDescent="0.2">
      <c r="A130" t="s">
        <v>37</v>
      </c>
      <c r="B130" s="25">
        <v>45742</v>
      </c>
      <c r="C130" s="29">
        <v>0</v>
      </c>
      <c r="D130" s="29">
        <v>129</v>
      </c>
      <c r="E130" s="29">
        <v>65</v>
      </c>
      <c r="F130" s="28">
        <v>0</v>
      </c>
      <c r="G130" s="28">
        <v>0.46429999999999999</v>
      </c>
      <c r="H130" s="31" t="s">
        <v>15</v>
      </c>
      <c r="I130" s="31">
        <v>5</v>
      </c>
      <c r="J130" s="28">
        <v>1</v>
      </c>
      <c r="K130" s="28">
        <v>1</v>
      </c>
      <c r="L130" s="28">
        <v>77</v>
      </c>
      <c r="M130" s="28" t="s">
        <v>44</v>
      </c>
      <c r="N130" s="28" t="s">
        <v>25</v>
      </c>
      <c r="O130" s="33">
        <v>633.6</v>
      </c>
      <c r="P130" t="s">
        <v>18</v>
      </c>
    </row>
    <row r="131" spans="1:16" x14ac:dyDescent="0.2">
      <c r="A131" t="s">
        <v>37</v>
      </c>
      <c r="B131" s="25">
        <v>45742</v>
      </c>
      <c r="C131" s="29">
        <v>0</v>
      </c>
      <c r="D131" s="29">
        <v>130</v>
      </c>
      <c r="E131" s="29">
        <v>65</v>
      </c>
      <c r="F131" s="28">
        <v>0</v>
      </c>
      <c r="G131" s="28">
        <v>0.46429999999999999</v>
      </c>
      <c r="H131" s="31" t="s">
        <v>15</v>
      </c>
      <c r="I131" s="31">
        <v>5</v>
      </c>
      <c r="J131" s="28">
        <v>1</v>
      </c>
      <c r="K131" s="28">
        <v>2</v>
      </c>
      <c r="L131" s="28">
        <v>67</v>
      </c>
      <c r="M131" s="28" t="s">
        <v>45</v>
      </c>
      <c r="N131" s="28" t="s">
        <v>23</v>
      </c>
      <c r="O131" s="33">
        <v>415.7</v>
      </c>
      <c r="P131" t="s">
        <v>18</v>
      </c>
    </row>
    <row r="132" spans="1:16" hidden="1" x14ac:dyDescent="0.2">
      <c r="A132" t="s">
        <v>37</v>
      </c>
      <c r="B132" s="25">
        <v>45742</v>
      </c>
      <c r="C132" s="29">
        <v>0</v>
      </c>
      <c r="D132" s="29">
        <v>131</v>
      </c>
      <c r="E132" s="29">
        <v>66</v>
      </c>
      <c r="F132" s="28">
        <v>0</v>
      </c>
      <c r="G132" s="28">
        <v>0.46429999999999999</v>
      </c>
      <c r="H132" s="31" t="s">
        <v>15</v>
      </c>
      <c r="I132" s="31">
        <v>5</v>
      </c>
      <c r="J132" s="28">
        <v>2</v>
      </c>
      <c r="K132" s="28">
        <v>1</v>
      </c>
      <c r="L132" s="28">
        <v>69</v>
      </c>
      <c r="M132" s="28" t="s">
        <v>43</v>
      </c>
      <c r="N132" s="28" t="s">
        <v>19</v>
      </c>
      <c r="O132" s="33">
        <v>532</v>
      </c>
      <c r="P132" t="s">
        <v>18</v>
      </c>
    </row>
    <row r="133" spans="1:16" hidden="1" x14ac:dyDescent="0.2">
      <c r="A133" t="s">
        <v>37</v>
      </c>
      <c r="B133" s="25">
        <v>45742</v>
      </c>
      <c r="C133" s="29">
        <v>0</v>
      </c>
      <c r="D133" s="29">
        <v>132</v>
      </c>
      <c r="E133" s="29">
        <v>66</v>
      </c>
      <c r="F133" s="28">
        <v>0</v>
      </c>
      <c r="G133" s="28">
        <v>0.46429999999999999</v>
      </c>
      <c r="H133" s="31" t="s">
        <v>15</v>
      </c>
      <c r="I133" s="31">
        <v>5</v>
      </c>
      <c r="J133" s="28">
        <v>2</v>
      </c>
      <c r="K133" s="28">
        <v>2</v>
      </c>
      <c r="L133" s="28">
        <v>66</v>
      </c>
      <c r="M133" s="28" t="s">
        <v>46</v>
      </c>
      <c r="N133" s="28" t="s">
        <v>23</v>
      </c>
      <c r="O133" s="33">
        <v>519.5</v>
      </c>
      <c r="P133" t="s">
        <v>18</v>
      </c>
    </row>
    <row r="134" spans="1:16" hidden="1" x14ac:dyDescent="0.2">
      <c r="A134" t="s">
        <v>37</v>
      </c>
      <c r="B134" s="25">
        <v>45742</v>
      </c>
      <c r="C134" s="29">
        <v>0</v>
      </c>
      <c r="D134" s="29">
        <v>133</v>
      </c>
      <c r="E134" s="29">
        <v>67</v>
      </c>
      <c r="F134" s="28">
        <v>0</v>
      </c>
      <c r="G134" s="28">
        <v>0.8256</v>
      </c>
      <c r="H134" s="31" t="s">
        <v>15</v>
      </c>
      <c r="I134" s="31">
        <v>6</v>
      </c>
      <c r="J134" s="28">
        <v>1</v>
      </c>
      <c r="K134" s="28">
        <v>1</v>
      </c>
      <c r="L134" s="28">
        <v>1</v>
      </c>
      <c r="M134" s="28" t="s">
        <v>43</v>
      </c>
      <c r="N134" s="28" t="s">
        <v>19</v>
      </c>
      <c r="O134" s="33">
        <v>367.9</v>
      </c>
      <c r="P134" t="s">
        <v>18</v>
      </c>
    </row>
    <row r="135" spans="1:16" hidden="1" x14ac:dyDescent="0.2">
      <c r="A135" t="s">
        <v>37</v>
      </c>
      <c r="B135" s="25">
        <v>45742</v>
      </c>
      <c r="C135" s="29">
        <v>0</v>
      </c>
      <c r="D135" s="29">
        <v>134</v>
      </c>
      <c r="E135" s="29">
        <v>67</v>
      </c>
      <c r="F135" s="28">
        <v>0</v>
      </c>
      <c r="G135" s="28">
        <v>0.8256</v>
      </c>
      <c r="H135" s="31" t="s">
        <v>15</v>
      </c>
      <c r="I135" s="31">
        <v>6</v>
      </c>
      <c r="J135" s="28">
        <v>1</v>
      </c>
      <c r="K135" s="28">
        <v>2</v>
      </c>
      <c r="L135" s="28">
        <v>21</v>
      </c>
      <c r="M135" s="28" t="s">
        <v>46</v>
      </c>
      <c r="N135" s="28" t="s">
        <v>32</v>
      </c>
      <c r="O135" s="33">
        <v>420.5</v>
      </c>
      <c r="P135" t="s">
        <v>18</v>
      </c>
    </row>
    <row r="136" spans="1:16" hidden="1" x14ac:dyDescent="0.2">
      <c r="A136" t="s">
        <v>37</v>
      </c>
      <c r="B136" s="25">
        <v>45742</v>
      </c>
      <c r="C136" s="29">
        <v>0</v>
      </c>
      <c r="D136" s="29">
        <v>135</v>
      </c>
      <c r="E136" s="29">
        <v>68</v>
      </c>
      <c r="F136" s="28">
        <v>0</v>
      </c>
      <c r="G136" s="28">
        <v>0.8256</v>
      </c>
      <c r="H136" s="31" t="s">
        <v>15</v>
      </c>
      <c r="I136" s="31">
        <v>6</v>
      </c>
      <c r="J136" s="28">
        <v>2</v>
      </c>
      <c r="K136" s="28">
        <v>1</v>
      </c>
      <c r="L136" s="28">
        <v>4</v>
      </c>
      <c r="M136" s="28" t="s">
        <v>44</v>
      </c>
      <c r="N136" s="28" t="s">
        <v>19</v>
      </c>
      <c r="O136" s="33">
        <v>468.8</v>
      </c>
      <c r="P136" t="s">
        <v>18</v>
      </c>
    </row>
    <row r="137" spans="1:16" hidden="1" x14ac:dyDescent="0.2">
      <c r="A137" t="s">
        <v>37</v>
      </c>
      <c r="B137" s="25">
        <v>45742</v>
      </c>
      <c r="C137" s="29">
        <v>0</v>
      </c>
      <c r="D137" s="29">
        <v>136</v>
      </c>
      <c r="E137" s="29">
        <v>68</v>
      </c>
      <c r="F137" s="28">
        <v>0</v>
      </c>
      <c r="G137" s="28">
        <v>0.8256</v>
      </c>
      <c r="H137" s="31" t="s">
        <v>15</v>
      </c>
      <c r="I137" s="31">
        <v>6</v>
      </c>
      <c r="J137" s="28">
        <v>2</v>
      </c>
      <c r="K137" s="28">
        <v>2</v>
      </c>
      <c r="L137" s="28">
        <v>43</v>
      </c>
      <c r="M137" s="28" t="s">
        <v>45</v>
      </c>
      <c r="N137" s="28" t="s">
        <v>24</v>
      </c>
      <c r="O137" s="33">
        <v>516.29999999999995</v>
      </c>
      <c r="P137" t="s">
        <v>18</v>
      </c>
    </row>
    <row r="138" spans="1:16" hidden="1" x14ac:dyDescent="0.2">
      <c r="A138" t="s">
        <v>37</v>
      </c>
      <c r="B138" s="25">
        <v>45742</v>
      </c>
      <c r="C138" s="29">
        <v>0</v>
      </c>
      <c r="D138" s="29">
        <v>137</v>
      </c>
      <c r="E138" s="29">
        <v>69</v>
      </c>
      <c r="F138" s="28">
        <v>0</v>
      </c>
      <c r="G138" s="28">
        <v>1.4681999999999999</v>
      </c>
      <c r="H138" s="31" t="s">
        <v>15</v>
      </c>
      <c r="I138" s="31">
        <v>7</v>
      </c>
      <c r="J138" s="28">
        <v>1</v>
      </c>
      <c r="K138" s="28">
        <v>1</v>
      </c>
      <c r="L138" s="28">
        <v>44</v>
      </c>
      <c r="M138" s="28" t="s">
        <v>44</v>
      </c>
      <c r="N138" s="28" t="s">
        <v>24</v>
      </c>
      <c r="O138" s="33">
        <v>517.70000000000005</v>
      </c>
      <c r="P138" t="s">
        <v>18</v>
      </c>
    </row>
    <row r="139" spans="1:16" hidden="1" x14ac:dyDescent="0.2">
      <c r="A139" t="s">
        <v>37</v>
      </c>
      <c r="B139" s="25">
        <v>45742</v>
      </c>
      <c r="C139" s="29">
        <v>0</v>
      </c>
      <c r="D139" s="29">
        <v>138</v>
      </c>
      <c r="E139" s="29">
        <v>69</v>
      </c>
      <c r="F139" s="28">
        <v>0</v>
      </c>
      <c r="G139" s="28">
        <v>1.4681999999999999</v>
      </c>
      <c r="H139" s="31" t="s">
        <v>15</v>
      </c>
      <c r="I139" s="31">
        <v>7</v>
      </c>
      <c r="J139" s="28">
        <v>1</v>
      </c>
      <c r="K139" s="28">
        <v>2</v>
      </c>
      <c r="L139" s="28">
        <v>32</v>
      </c>
      <c r="M139" s="28" t="s">
        <v>45</v>
      </c>
      <c r="N139" s="28" t="s">
        <v>47</v>
      </c>
      <c r="O139" s="33">
        <v>544.6</v>
      </c>
      <c r="P139" t="s">
        <v>18</v>
      </c>
    </row>
    <row r="140" spans="1:16" hidden="1" x14ac:dyDescent="0.2">
      <c r="A140" t="s">
        <v>37</v>
      </c>
      <c r="B140" s="25">
        <v>45742</v>
      </c>
      <c r="C140" s="29">
        <v>0</v>
      </c>
      <c r="D140" s="29">
        <v>139</v>
      </c>
      <c r="E140" s="29">
        <v>70</v>
      </c>
      <c r="F140" s="28">
        <v>0</v>
      </c>
      <c r="G140" s="28">
        <v>1.4681999999999999</v>
      </c>
      <c r="H140" s="31" t="s">
        <v>15</v>
      </c>
      <c r="I140" s="31">
        <v>7</v>
      </c>
      <c r="J140" s="28">
        <v>2</v>
      </c>
      <c r="K140" s="28">
        <v>1</v>
      </c>
      <c r="L140" s="28">
        <v>69</v>
      </c>
      <c r="M140" s="28" t="s">
        <v>44</v>
      </c>
      <c r="N140" s="28" t="s">
        <v>19</v>
      </c>
      <c r="O140" s="33">
        <v>590.5</v>
      </c>
      <c r="P140" t="s">
        <v>18</v>
      </c>
    </row>
    <row r="141" spans="1:16" hidden="1" x14ac:dyDescent="0.2">
      <c r="A141" t="s">
        <v>37</v>
      </c>
      <c r="B141" s="25">
        <v>45742</v>
      </c>
      <c r="C141" s="29">
        <v>0</v>
      </c>
      <c r="D141" s="29">
        <v>140</v>
      </c>
      <c r="E141" s="29">
        <v>70</v>
      </c>
      <c r="F141" s="28">
        <v>0</v>
      </c>
      <c r="G141" s="28">
        <v>1.4681999999999999</v>
      </c>
      <c r="H141" s="31" t="s">
        <v>15</v>
      </c>
      <c r="I141" s="31">
        <v>7</v>
      </c>
      <c r="J141" s="28">
        <v>2</v>
      </c>
      <c r="K141" s="28">
        <v>2</v>
      </c>
      <c r="L141" s="28">
        <v>66</v>
      </c>
      <c r="M141" s="28" t="s">
        <v>45</v>
      </c>
      <c r="N141" s="28" t="s">
        <v>23</v>
      </c>
      <c r="O141" s="33">
        <v>761.7</v>
      </c>
      <c r="P141" t="s">
        <v>18</v>
      </c>
    </row>
    <row r="142" spans="1:16" hidden="1" x14ac:dyDescent="0.2">
      <c r="A142" t="s">
        <v>11</v>
      </c>
      <c r="B142" s="25">
        <v>45748</v>
      </c>
      <c r="C142">
        <v>0</v>
      </c>
      <c r="D142" s="29">
        <v>205</v>
      </c>
      <c r="E142" s="29">
        <v>103</v>
      </c>
      <c r="F142" s="28">
        <v>4.7089999999999996</v>
      </c>
      <c r="G142" s="28">
        <v>1.3100000000000001E-2</v>
      </c>
      <c r="H142" s="31" t="s">
        <v>13</v>
      </c>
      <c r="I142" s="31">
        <v>2</v>
      </c>
      <c r="J142" s="28">
        <v>3</v>
      </c>
      <c r="K142" s="28">
        <v>1</v>
      </c>
      <c r="L142" s="28">
        <v>33</v>
      </c>
      <c r="M142" s="28" t="s">
        <v>44</v>
      </c>
      <c r="N142" s="28" t="s">
        <v>47</v>
      </c>
      <c r="O142" s="33">
        <v>527.4</v>
      </c>
      <c r="P142" t="s">
        <v>18</v>
      </c>
    </row>
    <row r="143" spans="1:16" hidden="1" x14ac:dyDescent="0.2">
      <c r="A143" t="s">
        <v>11</v>
      </c>
      <c r="B143" s="25">
        <v>45748</v>
      </c>
      <c r="C143">
        <v>0</v>
      </c>
      <c r="D143" s="29">
        <v>208</v>
      </c>
      <c r="E143" s="29">
        <v>103</v>
      </c>
      <c r="F143" s="28">
        <v>4.7089999999999996</v>
      </c>
      <c r="G143" s="28">
        <v>1.3100000000000001E-2</v>
      </c>
      <c r="H143" s="31" t="s">
        <v>13</v>
      </c>
      <c r="I143" s="31">
        <v>2</v>
      </c>
      <c r="J143" s="28">
        <v>3</v>
      </c>
      <c r="K143" s="28">
        <v>2</v>
      </c>
      <c r="L143" s="28">
        <v>68</v>
      </c>
      <c r="M143" s="28" t="s">
        <v>45</v>
      </c>
      <c r="N143" s="28" t="s">
        <v>19</v>
      </c>
      <c r="O143" s="33">
        <v>322.39999999999998</v>
      </c>
      <c r="P143" t="s">
        <v>18</v>
      </c>
    </row>
    <row r="144" spans="1:16" hidden="1" x14ac:dyDescent="0.2">
      <c r="A144" t="s">
        <v>37</v>
      </c>
      <c r="B144" s="25">
        <v>45742</v>
      </c>
      <c r="C144" s="29">
        <v>0</v>
      </c>
      <c r="D144" s="29">
        <v>143</v>
      </c>
      <c r="E144" s="29">
        <v>72</v>
      </c>
      <c r="F144" s="28">
        <v>0</v>
      </c>
      <c r="G144" s="28">
        <v>0</v>
      </c>
      <c r="H144" s="31" t="s">
        <v>16</v>
      </c>
      <c r="I144" s="31">
        <v>0</v>
      </c>
      <c r="J144" s="28">
        <v>2</v>
      </c>
      <c r="K144" s="28">
        <v>1</v>
      </c>
      <c r="L144" s="28">
        <v>63</v>
      </c>
      <c r="M144" s="28" t="s">
        <v>43</v>
      </c>
      <c r="N144" s="28" t="s">
        <v>25</v>
      </c>
      <c r="O144" s="33">
        <v>290.5</v>
      </c>
      <c r="P144" t="s">
        <v>18</v>
      </c>
    </row>
    <row r="145" spans="1:16" hidden="1" x14ac:dyDescent="0.2">
      <c r="A145" t="s">
        <v>37</v>
      </c>
      <c r="B145" s="25">
        <v>45742</v>
      </c>
      <c r="C145" s="29">
        <v>0</v>
      </c>
      <c r="D145" s="29">
        <v>144</v>
      </c>
      <c r="E145" s="29">
        <v>72</v>
      </c>
      <c r="F145" s="28">
        <v>0</v>
      </c>
      <c r="G145" s="28">
        <v>0</v>
      </c>
      <c r="H145" s="31" t="s">
        <v>16</v>
      </c>
      <c r="I145" s="31">
        <v>0</v>
      </c>
      <c r="J145" s="28">
        <v>2</v>
      </c>
      <c r="K145" s="28">
        <v>2</v>
      </c>
      <c r="L145" s="28">
        <v>34</v>
      </c>
      <c r="M145" s="28" t="s">
        <v>46</v>
      </c>
      <c r="N145" s="28" t="s">
        <v>47</v>
      </c>
      <c r="O145" s="33">
        <v>548.79999999999995</v>
      </c>
      <c r="P145" t="s">
        <v>18</v>
      </c>
    </row>
    <row r="146" spans="1:16" hidden="1" x14ac:dyDescent="0.2">
      <c r="A146" t="s">
        <v>11</v>
      </c>
      <c r="B146" s="25">
        <v>45748</v>
      </c>
      <c r="C146">
        <v>0</v>
      </c>
      <c r="D146" s="29">
        <v>145</v>
      </c>
      <c r="E146" s="29">
        <v>73</v>
      </c>
      <c r="F146" s="28">
        <v>0.94179999999999997</v>
      </c>
      <c r="G146" s="28">
        <v>0</v>
      </c>
      <c r="H146" s="31" t="s">
        <v>11</v>
      </c>
      <c r="I146" s="31">
        <v>1</v>
      </c>
      <c r="J146" s="28">
        <v>3</v>
      </c>
      <c r="K146" s="28">
        <v>1</v>
      </c>
      <c r="L146" s="28">
        <v>54</v>
      </c>
      <c r="M146" s="28" t="s">
        <v>43</v>
      </c>
      <c r="N146" s="28" t="s">
        <v>22</v>
      </c>
      <c r="O146" s="33">
        <v>457.1</v>
      </c>
      <c r="P146" t="s">
        <v>18</v>
      </c>
    </row>
    <row r="147" spans="1:16" hidden="1" x14ac:dyDescent="0.2">
      <c r="A147" t="s">
        <v>11</v>
      </c>
      <c r="B147" s="25">
        <v>45748</v>
      </c>
      <c r="C147">
        <v>0</v>
      </c>
      <c r="D147" s="29">
        <v>148</v>
      </c>
      <c r="E147" s="29">
        <v>73</v>
      </c>
      <c r="F147" s="28">
        <v>0.94179999999999997</v>
      </c>
      <c r="G147" s="28">
        <v>0</v>
      </c>
      <c r="H147" s="31" t="s">
        <v>11</v>
      </c>
      <c r="I147" s="31">
        <v>1</v>
      </c>
      <c r="J147" s="28">
        <v>3</v>
      </c>
      <c r="K147" s="28">
        <v>2</v>
      </c>
      <c r="L147" s="28">
        <v>71</v>
      </c>
      <c r="M147" s="28" t="s">
        <v>46</v>
      </c>
      <c r="N147" s="28" t="s">
        <v>24</v>
      </c>
      <c r="O147" s="33">
        <v>618.79999999999995</v>
      </c>
      <c r="P147" t="s">
        <v>18</v>
      </c>
    </row>
    <row r="148" spans="1:16" hidden="1" x14ac:dyDescent="0.2">
      <c r="A148" t="s">
        <v>11</v>
      </c>
      <c r="B148" s="25">
        <v>45748</v>
      </c>
      <c r="C148">
        <v>0</v>
      </c>
      <c r="D148" s="29">
        <v>146</v>
      </c>
      <c r="E148" s="29">
        <v>74</v>
      </c>
      <c r="F148" s="28">
        <v>0.94179999999999997</v>
      </c>
      <c r="G148" s="28">
        <v>0</v>
      </c>
      <c r="H148" s="31" t="s">
        <v>11</v>
      </c>
      <c r="I148" s="31">
        <v>1</v>
      </c>
      <c r="J148" s="28">
        <v>4</v>
      </c>
      <c r="K148" s="28">
        <v>1</v>
      </c>
      <c r="L148" s="28">
        <v>12</v>
      </c>
      <c r="M148" s="28" t="s">
        <v>43</v>
      </c>
      <c r="N148" s="28" t="s">
        <v>21</v>
      </c>
      <c r="O148" s="33">
        <v>536.29999999999995</v>
      </c>
      <c r="P148" t="s">
        <v>18</v>
      </c>
    </row>
    <row r="149" spans="1:16" hidden="1" x14ac:dyDescent="0.2">
      <c r="A149" t="s">
        <v>11</v>
      </c>
      <c r="B149" s="25">
        <v>45748</v>
      </c>
      <c r="C149">
        <v>0</v>
      </c>
      <c r="D149" s="29">
        <v>147</v>
      </c>
      <c r="E149" s="29">
        <v>74</v>
      </c>
      <c r="F149" s="28">
        <v>0.94179999999999997</v>
      </c>
      <c r="G149" s="28">
        <v>0</v>
      </c>
      <c r="H149" s="31" t="s">
        <v>11</v>
      </c>
      <c r="I149" s="31">
        <v>1</v>
      </c>
      <c r="J149" s="28">
        <v>4</v>
      </c>
      <c r="K149" s="28">
        <v>2</v>
      </c>
      <c r="L149" s="28">
        <v>16</v>
      </c>
      <c r="M149" s="28" t="s">
        <v>46</v>
      </c>
      <c r="N149" s="28" t="s">
        <v>21</v>
      </c>
      <c r="O149" s="33">
        <v>487.6</v>
      </c>
      <c r="P149" t="s">
        <v>18</v>
      </c>
    </row>
    <row r="150" spans="1:16" hidden="1" x14ac:dyDescent="0.2">
      <c r="A150" t="s">
        <v>37</v>
      </c>
      <c r="B150" s="25">
        <v>45742</v>
      </c>
      <c r="C150" s="29">
        <v>0</v>
      </c>
      <c r="D150" s="29">
        <v>89</v>
      </c>
      <c r="E150" s="29">
        <v>45</v>
      </c>
      <c r="F150" s="28">
        <v>2.3544999999999998</v>
      </c>
      <c r="G150" s="28">
        <v>1.9599999999999999E-2</v>
      </c>
      <c r="H150" s="31" t="s">
        <v>14</v>
      </c>
      <c r="I150" s="31">
        <v>2</v>
      </c>
      <c r="J150" s="28">
        <v>1</v>
      </c>
      <c r="K150" s="28">
        <v>1</v>
      </c>
      <c r="L150" s="28">
        <v>61</v>
      </c>
      <c r="M150" s="28" t="s">
        <v>44</v>
      </c>
      <c r="N150" s="28" t="s">
        <v>25</v>
      </c>
      <c r="O150" s="33">
        <v>554.79999999999995</v>
      </c>
      <c r="P150" t="s">
        <v>18</v>
      </c>
    </row>
    <row r="151" spans="1:16" hidden="1" x14ac:dyDescent="0.2">
      <c r="A151" t="s">
        <v>37</v>
      </c>
      <c r="B151" s="25">
        <v>45742</v>
      </c>
      <c r="C151" s="29">
        <v>0</v>
      </c>
      <c r="D151" s="29">
        <v>90</v>
      </c>
      <c r="E151" s="29">
        <v>45</v>
      </c>
      <c r="F151" s="28">
        <v>2.3544999999999998</v>
      </c>
      <c r="G151" s="28">
        <v>1.9599999999999999E-2</v>
      </c>
      <c r="H151" s="31" t="s">
        <v>14</v>
      </c>
      <c r="I151" s="31">
        <v>2</v>
      </c>
      <c r="J151" s="28">
        <v>1</v>
      </c>
      <c r="K151" s="28">
        <v>2</v>
      </c>
      <c r="L151" s="28">
        <v>14</v>
      </c>
      <c r="M151" s="28" t="s">
        <v>45</v>
      </c>
      <c r="N151" s="28" t="s">
        <v>21</v>
      </c>
      <c r="O151" s="33">
        <v>527.29999999999995</v>
      </c>
      <c r="P151" t="s">
        <v>18</v>
      </c>
    </row>
    <row r="152" spans="1:16" hidden="1" x14ac:dyDescent="0.2">
      <c r="A152" t="s">
        <v>11</v>
      </c>
      <c r="B152" s="25">
        <v>45748</v>
      </c>
      <c r="C152">
        <v>0</v>
      </c>
      <c r="D152" s="29">
        <v>151</v>
      </c>
      <c r="E152" s="29">
        <v>76</v>
      </c>
      <c r="F152" s="28">
        <v>9.4181000000000008</v>
      </c>
      <c r="G152" s="28">
        <v>0</v>
      </c>
      <c r="H152" s="31" t="s">
        <v>11</v>
      </c>
      <c r="I152" s="31">
        <v>2</v>
      </c>
      <c r="J152" s="28">
        <v>4</v>
      </c>
      <c r="K152" s="28">
        <v>1</v>
      </c>
      <c r="L152" s="28">
        <v>42</v>
      </c>
      <c r="M152" s="28" t="s">
        <v>44</v>
      </c>
      <c r="N152" s="28" t="s">
        <v>24</v>
      </c>
      <c r="O152" s="33">
        <v>373</v>
      </c>
      <c r="P152" t="s">
        <v>18</v>
      </c>
    </row>
    <row r="153" spans="1:16" hidden="1" x14ac:dyDescent="0.2">
      <c r="A153" t="s">
        <v>11</v>
      </c>
      <c r="B153" s="25">
        <v>45748</v>
      </c>
      <c r="C153">
        <v>0</v>
      </c>
      <c r="D153" s="29">
        <v>150</v>
      </c>
      <c r="E153" s="29">
        <v>76</v>
      </c>
      <c r="F153" s="28">
        <v>9.4181000000000008</v>
      </c>
      <c r="G153" s="28">
        <v>0</v>
      </c>
      <c r="H153" s="31" t="s">
        <v>11</v>
      </c>
      <c r="I153" s="31">
        <v>2</v>
      </c>
      <c r="J153" s="28">
        <v>4</v>
      </c>
      <c r="K153" s="28">
        <v>2</v>
      </c>
      <c r="L153" s="28">
        <v>41</v>
      </c>
      <c r="M153" s="28" t="s">
        <v>45</v>
      </c>
      <c r="N153" s="28" t="s">
        <v>24</v>
      </c>
      <c r="O153" s="33">
        <v>907.4</v>
      </c>
      <c r="P153" t="s">
        <v>18</v>
      </c>
    </row>
    <row r="154" spans="1:16" hidden="1" x14ac:dyDescent="0.2">
      <c r="A154" t="s">
        <v>11</v>
      </c>
      <c r="B154" s="25">
        <v>45748</v>
      </c>
      <c r="C154">
        <v>0</v>
      </c>
      <c r="D154" s="29">
        <v>155</v>
      </c>
      <c r="E154" s="29">
        <v>77</v>
      </c>
      <c r="F154" s="28">
        <v>52.9619</v>
      </c>
      <c r="G154" s="28">
        <v>0</v>
      </c>
      <c r="H154" s="31" t="s">
        <v>11</v>
      </c>
      <c r="I154" s="31">
        <v>3</v>
      </c>
      <c r="J154" s="28">
        <v>3</v>
      </c>
      <c r="K154" s="28">
        <v>1</v>
      </c>
      <c r="L154" s="28">
        <v>48</v>
      </c>
      <c r="M154" s="28" t="s">
        <v>43</v>
      </c>
      <c r="N154" s="28" t="s">
        <v>48</v>
      </c>
      <c r="O154" s="33">
        <v>522.20000000000005</v>
      </c>
      <c r="P154" t="s">
        <v>18</v>
      </c>
    </row>
    <row r="155" spans="1:16" hidden="1" x14ac:dyDescent="0.2">
      <c r="A155" t="s">
        <v>11</v>
      </c>
      <c r="B155" s="25">
        <v>45748</v>
      </c>
      <c r="C155">
        <v>0</v>
      </c>
      <c r="D155" s="29">
        <v>156</v>
      </c>
      <c r="E155" s="29">
        <v>77</v>
      </c>
      <c r="F155" s="28">
        <v>52.9619</v>
      </c>
      <c r="G155" s="28">
        <v>0</v>
      </c>
      <c r="H155" s="31" t="s">
        <v>11</v>
      </c>
      <c r="I155" s="31">
        <v>3</v>
      </c>
      <c r="J155" s="28">
        <v>3</v>
      </c>
      <c r="K155" s="28">
        <v>2</v>
      </c>
      <c r="L155" s="28">
        <v>70</v>
      </c>
      <c r="M155" s="28" t="s">
        <v>46</v>
      </c>
      <c r="N155" s="28" t="s">
        <v>19</v>
      </c>
      <c r="O155" s="33">
        <v>324.89999999999998</v>
      </c>
      <c r="P155" t="s">
        <v>18</v>
      </c>
    </row>
    <row r="156" spans="1:16" hidden="1" x14ac:dyDescent="0.2">
      <c r="A156" t="s">
        <v>11</v>
      </c>
      <c r="B156" s="25">
        <v>45748</v>
      </c>
      <c r="C156">
        <v>0</v>
      </c>
      <c r="D156" s="29">
        <v>153</v>
      </c>
      <c r="E156" s="29">
        <v>78</v>
      </c>
      <c r="F156" s="28">
        <v>52.9619</v>
      </c>
      <c r="G156" s="28">
        <v>0</v>
      </c>
      <c r="H156" s="31" t="s">
        <v>11</v>
      </c>
      <c r="I156" s="31">
        <v>3</v>
      </c>
      <c r="J156" s="28">
        <v>4</v>
      </c>
      <c r="K156" s="28">
        <v>1</v>
      </c>
      <c r="L156" s="28">
        <v>11</v>
      </c>
      <c r="M156" s="28" t="s">
        <v>44</v>
      </c>
      <c r="N156" s="28" t="s">
        <v>21</v>
      </c>
      <c r="O156" s="33">
        <v>954.4</v>
      </c>
      <c r="P156" t="s">
        <v>18</v>
      </c>
    </row>
    <row r="157" spans="1:16" hidden="1" x14ac:dyDescent="0.2">
      <c r="A157" t="s">
        <v>11</v>
      </c>
      <c r="B157" s="25">
        <v>45748</v>
      </c>
      <c r="C157">
        <v>0</v>
      </c>
      <c r="D157" s="29">
        <v>154</v>
      </c>
      <c r="E157" s="29">
        <v>78</v>
      </c>
      <c r="F157" s="28">
        <v>52.9619</v>
      </c>
      <c r="G157" s="28">
        <v>0</v>
      </c>
      <c r="H157" s="31" t="s">
        <v>11</v>
      </c>
      <c r="I157" s="31">
        <v>3</v>
      </c>
      <c r="J157" s="28">
        <v>4</v>
      </c>
      <c r="K157" s="28">
        <v>2</v>
      </c>
      <c r="L157" s="28">
        <v>47</v>
      </c>
      <c r="M157" s="28" t="s">
        <v>45</v>
      </c>
      <c r="N157" s="28" t="s">
        <v>48</v>
      </c>
      <c r="O157" s="33">
        <v>475.1</v>
      </c>
      <c r="P157" t="s">
        <v>18</v>
      </c>
    </row>
    <row r="158" spans="1:16" hidden="1" x14ac:dyDescent="0.2">
      <c r="A158" t="s">
        <v>11</v>
      </c>
      <c r="B158" s="25">
        <v>45748</v>
      </c>
      <c r="C158">
        <v>0</v>
      </c>
      <c r="D158" s="29">
        <v>159</v>
      </c>
      <c r="E158" s="29">
        <v>79</v>
      </c>
      <c r="F158" s="28">
        <v>94.180999999999997</v>
      </c>
      <c r="G158" s="28">
        <v>0</v>
      </c>
      <c r="H158" s="31" t="s">
        <v>11</v>
      </c>
      <c r="I158" s="31">
        <v>4</v>
      </c>
      <c r="J158" s="28">
        <v>3</v>
      </c>
      <c r="K158" s="28">
        <v>1</v>
      </c>
      <c r="L158" s="28">
        <v>57</v>
      </c>
      <c r="M158" s="28" t="s">
        <v>44</v>
      </c>
      <c r="N158" s="28" t="s">
        <v>20</v>
      </c>
      <c r="O158" s="33">
        <v>379.7</v>
      </c>
      <c r="P158" t="s">
        <v>18</v>
      </c>
    </row>
    <row r="159" spans="1:16" hidden="1" x14ac:dyDescent="0.2">
      <c r="A159" t="s">
        <v>11</v>
      </c>
      <c r="B159" s="25">
        <v>45748</v>
      </c>
      <c r="C159">
        <v>0</v>
      </c>
      <c r="D159" s="29">
        <v>160</v>
      </c>
      <c r="E159" s="29">
        <v>79</v>
      </c>
      <c r="F159" s="28">
        <v>94.180999999999997</v>
      </c>
      <c r="G159" s="28">
        <v>0</v>
      </c>
      <c r="H159" s="31" t="s">
        <v>11</v>
      </c>
      <c r="I159" s="31">
        <v>4</v>
      </c>
      <c r="J159" s="28">
        <v>3</v>
      </c>
      <c r="K159" s="28">
        <v>2</v>
      </c>
      <c r="L159" s="28">
        <v>76</v>
      </c>
      <c r="M159" s="28" t="s">
        <v>45</v>
      </c>
      <c r="N159" s="28" t="s">
        <v>25</v>
      </c>
      <c r="O159" s="33">
        <v>401.4</v>
      </c>
      <c r="P159" t="s">
        <v>18</v>
      </c>
    </row>
    <row r="160" spans="1:16" hidden="1" x14ac:dyDescent="0.2">
      <c r="A160" t="s">
        <v>11</v>
      </c>
      <c r="B160" s="25">
        <v>45748</v>
      </c>
      <c r="C160">
        <v>0</v>
      </c>
      <c r="D160" s="29">
        <v>158</v>
      </c>
      <c r="E160" s="29">
        <v>80</v>
      </c>
      <c r="F160" s="28">
        <v>94.180999999999997</v>
      </c>
      <c r="G160" s="28">
        <v>0</v>
      </c>
      <c r="H160" s="31" t="s">
        <v>11</v>
      </c>
      <c r="I160" s="31">
        <v>4</v>
      </c>
      <c r="J160" s="28">
        <v>4</v>
      </c>
      <c r="K160" s="28">
        <v>1</v>
      </c>
      <c r="L160" s="28">
        <v>47</v>
      </c>
      <c r="M160" s="28" t="s">
        <v>44</v>
      </c>
      <c r="N160" s="28" t="s">
        <v>48</v>
      </c>
      <c r="O160" s="33">
        <v>550.70000000000005</v>
      </c>
      <c r="P160" t="s">
        <v>18</v>
      </c>
    </row>
    <row r="161" spans="1:16" hidden="1" x14ac:dyDescent="0.2">
      <c r="A161" t="s">
        <v>11</v>
      </c>
      <c r="B161" s="25">
        <v>45748</v>
      </c>
      <c r="C161">
        <v>0</v>
      </c>
      <c r="D161" s="29">
        <v>157</v>
      </c>
      <c r="E161" s="29">
        <v>80</v>
      </c>
      <c r="F161" s="28">
        <v>94.180999999999997</v>
      </c>
      <c r="G161" s="28">
        <v>0</v>
      </c>
      <c r="H161" s="31" t="s">
        <v>11</v>
      </c>
      <c r="I161" s="31">
        <v>4</v>
      </c>
      <c r="J161" s="28">
        <v>4</v>
      </c>
      <c r="K161" s="28">
        <v>2</v>
      </c>
      <c r="L161" s="28">
        <v>33</v>
      </c>
      <c r="M161" s="28" t="s">
        <v>45</v>
      </c>
      <c r="N161" s="28" t="s">
        <v>47</v>
      </c>
      <c r="O161" s="33">
        <v>740.1</v>
      </c>
      <c r="P161" t="s">
        <v>18</v>
      </c>
    </row>
    <row r="162" spans="1:16" hidden="1" x14ac:dyDescent="0.2">
      <c r="A162" t="s">
        <v>11</v>
      </c>
      <c r="B162" s="25">
        <v>45748</v>
      </c>
      <c r="C162">
        <v>0</v>
      </c>
      <c r="D162" s="29">
        <v>163</v>
      </c>
      <c r="E162" s="29">
        <v>81</v>
      </c>
      <c r="F162" s="28">
        <v>167.48009999999999</v>
      </c>
      <c r="G162" s="28">
        <v>0</v>
      </c>
      <c r="H162" s="31" t="s">
        <v>11</v>
      </c>
      <c r="I162" s="31">
        <v>5</v>
      </c>
      <c r="J162" s="28">
        <v>3</v>
      </c>
      <c r="K162" s="28">
        <v>1</v>
      </c>
      <c r="L162" s="28">
        <v>49</v>
      </c>
      <c r="M162" s="28" t="s">
        <v>43</v>
      </c>
      <c r="N162" s="28" t="s">
        <v>48</v>
      </c>
      <c r="O162" s="33">
        <v>424.5</v>
      </c>
      <c r="P162" t="s">
        <v>18</v>
      </c>
    </row>
    <row r="163" spans="1:16" x14ac:dyDescent="0.2">
      <c r="A163" t="s">
        <v>11</v>
      </c>
      <c r="B163" s="25">
        <v>45748</v>
      </c>
      <c r="C163">
        <v>0</v>
      </c>
      <c r="D163" s="29">
        <v>162</v>
      </c>
      <c r="E163" s="29">
        <v>81</v>
      </c>
      <c r="F163" s="28">
        <v>167.48009999999999</v>
      </c>
      <c r="G163" s="28">
        <v>0</v>
      </c>
      <c r="H163" s="31" t="s">
        <v>11</v>
      </c>
      <c r="I163" s="31">
        <v>5</v>
      </c>
      <c r="J163" s="28">
        <v>3</v>
      </c>
      <c r="K163" s="28">
        <v>2</v>
      </c>
      <c r="L163" s="28">
        <v>22</v>
      </c>
      <c r="M163" s="28" t="s">
        <v>46</v>
      </c>
      <c r="N163" s="28" t="s">
        <v>32</v>
      </c>
      <c r="O163" s="33">
        <v>525.79999999999995</v>
      </c>
      <c r="P163" t="s">
        <v>18</v>
      </c>
    </row>
    <row r="164" spans="1:16" hidden="1" x14ac:dyDescent="0.2">
      <c r="A164" t="s">
        <v>11</v>
      </c>
      <c r="B164" s="25">
        <v>45748</v>
      </c>
      <c r="C164">
        <v>0</v>
      </c>
      <c r="D164" s="29">
        <v>164</v>
      </c>
      <c r="E164" s="29">
        <v>82</v>
      </c>
      <c r="F164" s="28">
        <v>167.48009999999999</v>
      </c>
      <c r="G164" s="28">
        <v>0</v>
      </c>
      <c r="H164" s="31" t="s">
        <v>11</v>
      </c>
      <c r="I164" s="31">
        <v>5</v>
      </c>
      <c r="J164" s="28">
        <v>4</v>
      </c>
      <c r="K164" s="28">
        <v>1</v>
      </c>
      <c r="L164" s="28">
        <v>76</v>
      </c>
      <c r="M164" s="28" t="s">
        <v>44</v>
      </c>
      <c r="N164" s="28" t="s">
        <v>25</v>
      </c>
      <c r="O164" s="33">
        <v>358.6</v>
      </c>
      <c r="P164" t="s">
        <v>18</v>
      </c>
    </row>
    <row r="165" spans="1:16" hidden="1" x14ac:dyDescent="0.2">
      <c r="A165" t="s">
        <v>11</v>
      </c>
      <c r="B165" s="25">
        <v>45748</v>
      </c>
      <c r="C165">
        <v>0</v>
      </c>
      <c r="D165" s="29">
        <v>161</v>
      </c>
      <c r="E165" s="29">
        <v>82</v>
      </c>
      <c r="F165" s="28">
        <v>167.48009999999999</v>
      </c>
      <c r="G165" s="28">
        <v>0</v>
      </c>
      <c r="H165" s="31" t="s">
        <v>11</v>
      </c>
      <c r="I165" s="31">
        <v>5</v>
      </c>
      <c r="J165" s="28">
        <v>4</v>
      </c>
      <c r="K165" s="28">
        <v>2</v>
      </c>
      <c r="L165" s="28">
        <v>11</v>
      </c>
      <c r="M165" s="28" t="s">
        <v>45</v>
      </c>
      <c r="N165" s="28" t="s">
        <v>21</v>
      </c>
      <c r="O165" s="33">
        <v>695.5</v>
      </c>
      <c r="P165" t="s">
        <v>18</v>
      </c>
    </row>
    <row r="166" spans="1:16" hidden="1" x14ac:dyDescent="0.2">
      <c r="A166" t="s">
        <v>11</v>
      </c>
      <c r="B166" s="25">
        <v>45748</v>
      </c>
      <c r="C166">
        <v>0</v>
      </c>
      <c r="D166" s="29">
        <v>168</v>
      </c>
      <c r="E166" s="29">
        <v>83</v>
      </c>
      <c r="F166" s="28">
        <v>297.82639999999998</v>
      </c>
      <c r="G166" s="28">
        <v>0</v>
      </c>
      <c r="H166" s="31" t="s">
        <v>11</v>
      </c>
      <c r="I166" s="31">
        <v>6</v>
      </c>
      <c r="J166" s="28">
        <v>3</v>
      </c>
      <c r="K166" s="28">
        <v>1</v>
      </c>
      <c r="L166" s="28">
        <v>70</v>
      </c>
      <c r="M166" s="28" t="s">
        <v>43</v>
      </c>
      <c r="N166" s="28" t="s">
        <v>19</v>
      </c>
      <c r="O166" s="33">
        <v>520.70000000000005</v>
      </c>
      <c r="P166" t="s">
        <v>18</v>
      </c>
    </row>
    <row r="167" spans="1:16" hidden="1" x14ac:dyDescent="0.2">
      <c r="A167" t="s">
        <v>11</v>
      </c>
      <c r="B167" s="25">
        <v>45748</v>
      </c>
      <c r="C167">
        <v>0</v>
      </c>
      <c r="D167" s="29">
        <v>167</v>
      </c>
      <c r="E167" s="29">
        <v>83</v>
      </c>
      <c r="F167" s="28">
        <v>297.82639999999998</v>
      </c>
      <c r="G167" s="28">
        <v>0</v>
      </c>
      <c r="H167" s="31" t="s">
        <v>11</v>
      </c>
      <c r="I167" s="31">
        <v>6</v>
      </c>
      <c r="J167" s="28">
        <v>3</v>
      </c>
      <c r="K167" s="28">
        <v>2</v>
      </c>
      <c r="L167" s="28">
        <v>59</v>
      </c>
      <c r="M167" s="28" t="s">
        <v>46</v>
      </c>
      <c r="N167" s="28" t="s">
        <v>25</v>
      </c>
      <c r="O167" s="33">
        <v>357</v>
      </c>
      <c r="P167" t="s">
        <v>18</v>
      </c>
    </row>
    <row r="168" spans="1:16" hidden="1" x14ac:dyDescent="0.2">
      <c r="A168" t="s">
        <v>11</v>
      </c>
      <c r="B168" s="25">
        <v>45748</v>
      </c>
      <c r="C168">
        <v>0</v>
      </c>
      <c r="D168" s="29">
        <v>166</v>
      </c>
      <c r="E168" s="29">
        <v>84</v>
      </c>
      <c r="F168" s="28">
        <v>297.82639999999998</v>
      </c>
      <c r="G168" s="28">
        <v>0</v>
      </c>
      <c r="H168" s="31" t="s">
        <v>11</v>
      </c>
      <c r="I168" s="31">
        <v>6</v>
      </c>
      <c r="J168" s="28">
        <v>4</v>
      </c>
      <c r="K168" s="28">
        <v>1</v>
      </c>
      <c r="L168" s="28">
        <v>52</v>
      </c>
      <c r="M168" s="28" t="s">
        <v>43</v>
      </c>
      <c r="N168" s="28" t="s">
        <v>22</v>
      </c>
      <c r="O168" s="33">
        <v>462.7</v>
      </c>
      <c r="P168" t="s">
        <v>18</v>
      </c>
    </row>
    <row r="169" spans="1:16" hidden="1" x14ac:dyDescent="0.2">
      <c r="A169" t="s">
        <v>11</v>
      </c>
      <c r="B169" s="25">
        <v>45748</v>
      </c>
      <c r="C169">
        <v>0</v>
      </c>
      <c r="D169" s="29">
        <v>165</v>
      </c>
      <c r="E169" s="29">
        <v>84</v>
      </c>
      <c r="F169" s="28">
        <v>297.82639999999998</v>
      </c>
      <c r="G169" s="28">
        <v>0</v>
      </c>
      <c r="H169" s="31" t="s">
        <v>11</v>
      </c>
      <c r="I169" s="31">
        <v>6</v>
      </c>
      <c r="J169" s="28">
        <v>4</v>
      </c>
      <c r="K169" s="28">
        <v>2</v>
      </c>
      <c r="L169" s="28">
        <v>12</v>
      </c>
      <c r="M169" s="28" t="s">
        <v>46</v>
      </c>
      <c r="N169" s="28" t="s">
        <v>21</v>
      </c>
      <c r="O169" s="33">
        <v>301.39999999999998</v>
      </c>
      <c r="P169" t="s">
        <v>18</v>
      </c>
    </row>
    <row r="170" spans="1:16" hidden="1" x14ac:dyDescent="0.2">
      <c r="A170" t="s">
        <v>11</v>
      </c>
      <c r="B170" s="25">
        <v>45748</v>
      </c>
      <c r="C170">
        <v>0</v>
      </c>
      <c r="D170" s="29">
        <v>172</v>
      </c>
      <c r="E170" s="29">
        <v>85</v>
      </c>
      <c r="F170" s="28">
        <v>529.61860000000001</v>
      </c>
      <c r="G170" s="28">
        <v>0</v>
      </c>
      <c r="H170" s="31" t="s">
        <v>11</v>
      </c>
      <c r="I170" s="31">
        <v>7</v>
      </c>
      <c r="J170" s="28">
        <v>3</v>
      </c>
      <c r="K170" s="28">
        <v>1</v>
      </c>
      <c r="L170" s="28">
        <v>53</v>
      </c>
      <c r="M170" s="28" t="s">
        <v>44</v>
      </c>
      <c r="N170" s="28" t="s">
        <v>22</v>
      </c>
      <c r="O170" s="33">
        <v>441.2</v>
      </c>
      <c r="P170" t="s">
        <v>18</v>
      </c>
    </row>
    <row r="171" spans="1:16" hidden="1" x14ac:dyDescent="0.2">
      <c r="A171" t="s">
        <v>11</v>
      </c>
      <c r="B171" s="25">
        <v>45748</v>
      </c>
      <c r="C171">
        <v>0</v>
      </c>
      <c r="D171" s="29">
        <v>169</v>
      </c>
      <c r="E171" s="29">
        <v>85</v>
      </c>
      <c r="F171" s="28">
        <v>529.61860000000001</v>
      </c>
      <c r="G171" s="28">
        <v>0</v>
      </c>
      <c r="H171" s="31" t="s">
        <v>11</v>
      </c>
      <c r="I171" s="31">
        <v>7</v>
      </c>
      <c r="J171" s="28">
        <v>3</v>
      </c>
      <c r="K171" s="28">
        <v>2</v>
      </c>
      <c r="L171" s="28">
        <v>8</v>
      </c>
      <c r="M171" s="28" t="s">
        <v>45</v>
      </c>
      <c r="N171" s="28" t="s">
        <v>21</v>
      </c>
      <c r="O171" s="33">
        <v>423.9</v>
      </c>
      <c r="P171" t="s">
        <v>18</v>
      </c>
    </row>
    <row r="172" spans="1:16" hidden="1" x14ac:dyDescent="0.2">
      <c r="A172" t="s">
        <v>11</v>
      </c>
      <c r="B172" s="25">
        <v>45748</v>
      </c>
      <c r="C172">
        <v>0</v>
      </c>
      <c r="D172" s="29">
        <v>170</v>
      </c>
      <c r="E172" s="29">
        <v>86</v>
      </c>
      <c r="F172" s="28">
        <v>529.61860000000001</v>
      </c>
      <c r="G172" s="28">
        <v>0</v>
      </c>
      <c r="H172" s="31" t="s">
        <v>11</v>
      </c>
      <c r="I172" s="31">
        <v>7</v>
      </c>
      <c r="J172" s="28">
        <v>4</v>
      </c>
      <c r="K172" s="28">
        <v>1</v>
      </c>
      <c r="L172" s="28">
        <v>15</v>
      </c>
      <c r="M172" s="28" t="s">
        <v>44</v>
      </c>
      <c r="N172" s="28" t="s">
        <v>21</v>
      </c>
      <c r="O172" s="33">
        <v>335.7</v>
      </c>
      <c r="P172" t="s">
        <v>18</v>
      </c>
    </row>
    <row r="173" spans="1:16" hidden="1" x14ac:dyDescent="0.2">
      <c r="A173" t="s">
        <v>11</v>
      </c>
      <c r="B173" s="25">
        <v>45748</v>
      </c>
      <c r="C173">
        <v>0</v>
      </c>
      <c r="D173" s="29">
        <v>171</v>
      </c>
      <c r="E173" s="29">
        <v>86</v>
      </c>
      <c r="F173" s="28">
        <v>529.61860000000001</v>
      </c>
      <c r="G173" s="28">
        <v>0</v>
      </c>
      <c r="H173" s="31" t="s">
        <v>11</v>
      </c>
      <c r="I173" s="31">
        <v>7</v>
      </c>
      <c r="J173" s="28">
        <v>4</v>
      </c>
      <c r="K173" s="28">
        <v>2</v>
      </c>
      <c r="L173" s="28">
        <v>60</v>
      </c>
      <c r="M173" s="28" t="s">
        <v>45</v>
      </c>
      <c r="N173" s="28" t="s">
        <v>25</v>
      </c>
      <c r="O173" s="33">
        <v>290.7</v>
      </c>
      <c r="P173" t="s">
        <v>18</v>
      </c>
    </row>
    <row r="174" spans="1:16" hidden="1" x14ac:dyDescent="0.2">
      <c r="A174" t="s">
        <v>11</v>
      </c>
      <c r="B174" s="25">
        <v>45748</v>
      </c>
      <c r="C174">
        <v>0</v>
      </c>
      <c r="D174" s="29">
        <v>173</v>
      </c>
      <c r="E174" s="29">
        <v>87</v>
      </c>
      <c r="F174" s="28">
        <v>0.70640000000000003</v>
      </c>
      <c r="G174" s="28">
        <v>6.9999999999999999E-4</v>
      </c>
      <c r="H174" s="31" t="s">
        <v>12</v>
      </c>
      <c r="I174" s="31">
        <v>1</v>
      </c>
      <c r="J174" s="28">
        <v>3</v>
      </c>
      <c r="K174" s="28">
        <v>1</v>
      </c>
      <c r="L174" s="28">
        <v>8</v>
      </c>
      <c r="M174" s="28" t="s">
        <v>43</v>
      </c>
      <c r="N174" s="28" t="s">
        <v>21</v>
      </c>
      <c r="O174" s="33">
        <v>381</v>
      </c>
      <c r="P174" t="s">
        <v>18</v>
      </c>
    </row>
    <row r="175" spans="1:16" hidden="1" x14ac:dyDescent="0.2">
      <c r="A175" t="s">
        <v>11</v>
      </c>
      <c r="B175" s="25">
        <v>45748</v>
      </c>
      <c r="C175">
        <v>0</v>
      </c>
      <c r="D175" s="29">
        <v>174</v>
      </c>
      <c r="E175" s="29">
        <v>87</v>
      </c>
      <c r="F175" s="28">
        <v>0.70640000000000003</v>
      </c>
      <c r="G175" s="28">
        <v>6.9999999999999999E-4</v>
      </c>
      <c r="H175" s="31" t="s">
        <v>12</v>
      </c>
      <c r="I175" s="31">
        <v>1</v>
      </c>
      <c r="J175" s="28">
        <v>3</v>
      </c>
      <c r="K175" s="28">
        <v>2</v>
      </c>
      <c r="L175" s="28">
        <v>40</v>
      </c>
      <c r="M175" s="28" t="s">
        <v>46</v>
      </c>
      <c r="N175" s="28" t="s">
        <v>47</v>
      </c>
      <c r="O175" s="33">
        <v>418.3</v>
      </c>
      <c r="P175" t="s">
        <v>18</v>
      </c>
    </row>
    <row r="176" spans="1:16" hidden="1" x14ac:dyDescent="0.2">
      <c r="A176" t="s">
        <v>11</v>
      </c>
      <c r="B176" s="25">
        <v>45748</v>
      </c>
      <c r="C176">
        <v>0</v>
      </c>
      <c r="D176" s="29">
        <v>176</v>
      </c>
      <c r="E176" s="29">
        <v>88</v>
      </c>
      <c r="F176" s="28">
        <v>0.70640000000000003</v>
      </c>
      <c r="G176" s="28">
        <v>6.9999999999999999E-4</v>
      </c>
      <c r="H176" s="31" t="s">
        <v>12</v>
      </c>
      <c r="I176" s="31">
        <v>1</v>
      </c>
      <c r="J176" s="28">
        <v>4</v>
      </c>
      <c r="K176" s="28">
        <v>1</v>
      </c>
      <c r="L176" s="28">
        <v>59</v>
      </c>
      <c r="M176" s="28" t="s">
        <v>44</v>
      </c>
      <c r="N176" s="28" t="s">
        <v>25</v>
      </c>
      <c r="O176" s="33">
        <v>306.8</v>
      </c>
      <c r="P176" t="s">
        <v>18</v>
      </c>
    </row>
    <row r="177" spans="1:16" hidden="1" x14ac:dyDescent="0.2">
      <c r="A177" t="s">
        <v>11</v>
      </c>
      <c r="B177" s="25">
        <v>45748</v>
      </c>
      <c r="C177">
        <v>0</v>
      </c>
      <c r="D177" s="29">
        <v>175</v>
      </c>
      <c r="E177" s="29">
        <v>88</v>
      </c>
      <c r="F177" s="28">
        <v>0.70640000000000003</v>
      </c>
      <c r="G177" s="28">
        <v>6.9999999999999999E-4</v>
      </c>
      <c r="H177" s="31" t="s">
        <v>12</v>
      </c>
      <c r="I177" s="31">
        <v>1</v>
      </c>
      <c r="J177" s="28">
        <v>4</v>
      </c>
      <c r="K177" s="28">
        <v>2</v>
      </c>
      <c r="L177" s="28">
        <v>57</v>
      </c>
      <c r="M177" s="28" t="s">
        <v>45</v>
      </c>
      <c r="N177" s="28" t="s">
        <v>20</v>
      </c>
      <c r="O177" s="33">
        <v>364.3</v>
      </c>
      <c r="P177" t="s">
        <v>18</v>
      </c>
    </row>
    <row r="178" spans="1:16" hidden="1" x14ac:dyDescent="0.2">
      <c r="A178" t="s">
        <v>11</v>
      </c>
      <c r="B178" s="25">
        <v>45748</v>
      </c>
      <c r="C178">
        <v>0</v>
      </c>
      <c r="D178" s="29">
        <v>236</v>
      </c>
      <c r="E178" s="29">
        <v>117</v>
      </c>
      <c r="F178" s="28">
        <v>2.3544999999999998</v>
      </c>
      <c r="G178" s="28">
        <v>1.9599999999999999E-2</v>
      </c>
      <c r="H178" s="31" t="s">
        <v>14</v>
      </c>
      <c r="I178" s="31">
        <v>2</v>
      </c>
      <c r="J178" s="28">
        <v>3</v>
      </c>
      <c r="K178" s="28">
        <v>1</v>
      </c>
      <c r="L178" s="28">
        <v>56</v>
      </c>
      <c r="M178" s="28" t="s">
        <v>43</v>
      </c>
      <c r="N178" s="28" t="s">
        <v>20</v>
      </c>
      <c r="O178" s="33">
        <v>564.20000000000005</v>
      </c>
      <c r="P178" t="s">
        <v>18</v>
      </c>
    </row>
    <row r="179" spans="1:16" hidden="1" x14ac:dyDescent="0.2">
      <c r="A179" t="s">
        <v>11</v>
      </c>
      <c r="B179" s="25">
        <v>45748</v>
      </c>
      <c r="C179">
        <v>0</v>
      </c>
      <c r="D179" s="29">
        <v>233</v>
      </c>
      <c r="E179" s="29">
        <v>117</v>
      </c>
      <c r="F179" s="28">
        <v>2.3544999999999998</v>
      </c>
      <c r="G179" s="28">
        <v>1.9599999999999999E-2</v>
      </c>
      <c r="H179" s="31" t="s">
        <v>14</v>
      </c>
      <c r="I179" s="31">
        <v>2</v>
      </c>
      <c r="J179" s="28">
        <v>3</v>
      </c>
      <c r="K179" s="28">
        <v>2</v>
      </c>
      <c r="L179" s="28">
        <v>2</v>
      </c>
      <c r="M179" s="28" t="s">
        <v>46</v>
      </c>
      <c r="N179" s="28" t="s">
        <v>19</v>
      </c>
      <c r="O179" s="33">
        <v>653.70000000000005</v>
      </c>
      <c r="P179" t="s">
        <v>18</v>
      </c>
    </row>
    <row r="180" spans="1:16" hidden="1" x14ac:dyDescent="0.2">
      <c r="A180" t="s">
        <v>11</v>
      </c>
      <c r="B180" s="25">
        <v>45748</v>
      </c>
      <c r="C180">
        <v>0</v>
      </c>
      <c r="D180" s="29">
        <v>177</v>
      </c>
      <c r="E180" s="29">
        <v>90</v>
      </c>
      <c r="F180" s="28">
        <v>7.0636000000000001</v>
      </c>
      <c r="G180" s="28">
        <v>6.4999999999999997E-3</v>
      </c>
      <c r="H180" s="31" t="s">
        <v>12</v>
      </c>
      <c r="I180" s="31">
        <v>2</v>
      </c>
      <c r="J180" s="28">
        <v>4</v>
      </c>
      <c r="K180" s="28">
        <v>1</v>
      </c>
      <c r="L180" s="28">
        <v>11</v>
      </c>
      <c r="M180" s="28" t="s">
        <v>43</v>
      </c>
      <c r="N180" s="28" t="s">
        <v>21</v>
      </c>
      <c r="O180" s="33">
        <v>496.9</v>
      </c>
      <c r="P180" t="s">
        <v>18</v>
      </c>
    </row>
    <row r="181" spans="1:16" hidden="1" x14ac:dyDescent="0.2">
      <c r="A181" t="s">
        <v>11</v>
      </c>
      <c r="B181" s="25">
        <v>45748</v>
      </c>
      <c r="C181">
        <v>0</v>
      </c>
      <c r="D181" s="29">
        <v>180</v>
      </c>
      <c r="E181" s="29">
        <v>90</v>
      </c>
      <c r="F181" s="28">
        <v>7.0636000000000001</v>
      </c>
      <c r="G181" s="28">
        <v>6.4999999999999997E-3</v>
      </c>
      <c r="H181" s="31" t="s">
        <v>12</v>
      </c>
      <c r="I181" s="31">
        <v>2</v>
      </c>
      <c r="J181" s="28">
        <v>4</v>
      </c>
      <c r="K181" s="28">
        <v>2</v>
      </c>
      <c r="L181" s="28">
        <v>47</v>
      </c>
      <c r="M181" s="28" t="s">
        <v>46</v>
      </c>
      <c r="N181" s="28" t="s">
        <v>48</v>
      </c>
      <c r="O181" s="33">
        <v>379.4</v>
      </c>
      <c r="P181" t="s">
        <v>18</v>
      </c>
    </row>
    <row r="182" spans="1:16" hidden="1" x14ac:dyDescent="0.2">
      <c r="A182" t="s">
        <v>11</v>
      </c>
      <c r="B182" s="25">
        <v>45748</v>
      </c>
      <c r="C182">
        <v>0</v>
      </c>
      <c r="D182" s="29">
        <v>183</v>
      </c>
      <c r="E182" s="29">
        <v>91</v>
      </c>
      <c r="F182" s="28">
        <v>39.721400000000003</v>
      </c>
      <c r="G182" s="28">
        <v>3.6700000000000003E-2</v>
      </c>
      <c r="H182" s="31" t="s">
        <v>12</v>
      </c>
      <c r="I182" s="31">
        <v>3</v>
      </c>
      <c r="J182" s="28">
        <v>3</v>
      </c>
      <c r="K182" s="28">
        <v>1</v>
      </c>
      <c r="L182" s="28">
        <v>71</v>
      </c>
      <c r="M182" s="28" t="s">
        <v>44</v>
      </c>
      <c r="N182" s="28" t="s">
        <v>24</v>
      </c>
      <c r="O182" s="33">
        <v>716.8</v>
      </c>
      <c r="P182" t="s">
        <v>18</v>
      </c>
    </row>
    <row r="183" spans="1:16" hidden="1" x14ac:dyDescent="0.2">
      <c r="A183" t="s">
        <v>11</v>
      </c>
      <c r="B183" s="25">
        <v>45748</v>
      </c>
      <c r="C183">
        <v>0</v>
      </c>
      <c r="D183" s="29">
        <v>184</v>
      </c>
      <c r="E183" s="29">
        <v>91</v>
      </c>
      <c r="F183" s="28">
        <v>39.721400000000003</v>
      </c>
      <c r="G183" s="28">
        <v>3.6700000000000003E-2</v>
      </c>
      <c r="H183" s="31" t="s">
        <v>12</v>
      </c>
      <c r="I183" s="31">
        <v>3</v>
      </c>
      <c r="J183" s="28">
        <v>3</v>
      </c>
      <c r="K183" s="28">
        <v>2</v>
      </c>
      <c r="L183" s="28">
        <v>72</v>
      </c>
      <c r="M183" s="28" t="s">
        <v>45</v>
      </c>
      <c r="N183" s="28" t="s">
        <v>24</v>
      </c>
      <c r="O183" s="33">
        <v>505.3</v>
      </c>
      <c r="P183" t="s">
        <v>18</v>
      </c>
    </row>
    <row r="184" spans="1:16" hidden="1" x14ac:dyDescent="0.2">
      <c r="A184" t="s">
        <v>11</v>
      </c>
      <c r="B184" s="25">
        <v>45748</v>
      </c>
      <c r="C184">
        <v>0</v>
      </c>
      <c r="D184" s="29">
        <v>181</v>
      </c>
      <c r="E184" s="29">
        <v>92</v>
      </c>
      <c r="F184" s="28">
        <v>39.721400000000003</v>
      </c>
      <c r="G184" s="28">
        <v>3.6700000000000003E-2</v>
      </c>
      <c r="H184" s="31" t="s">
        <v>12</v>
      </c>
      <c r="I184" s="31">
        <v>3</v>
      </c>
      <c r="J184" s="28">
        <v>4</v>
      </c>
      <c r="K184" s="28">
        <v>1</v>
      </c>
      <c r="L184" s="28">
        <v>40</v>
      </c>
      <c r="M184" s="28" t="s">
        <v>43</v>
      </c>
      <c r="N184" s="28" t="s">
        <v>47</v>
      </c>
      <c r="O184" s="33">
        <v>589.29999999999995</v>
      </c>
      <c r="P184" t="s">
        <v>18</v>
      </c>
    </row>
    <row r="185" spans="1:16" hidden="1" x14ac:dyDescent="0.2">
      <c r="A185" t="s">
        <v>11</v>
      </c>
      <c r="B185" s="25">
        <v>45748</v>
      </c>
      <c r="C185">
        <v>0</v>
      </c>
      <c r="D185" s="29">
        <v>182</v>
      </c>
      <c r="E185" s="29">
        <v>92</v>
      </c>
      <c r="F185" s="28">
        <v>39.721400000000003</v>
      </c>
      <c r="G185" s="28">
        <v>3.6700000000000003E-2</v>
      </c>
      <c r="H185" s="31" t="s">
        <v>12</v>
      </c>
      <c r="I185" s="31">
        <v>3</v>
      </c>
      <c r="J185" s="28">
        <v>4</v>
      </c>
      <c r="K185" s="28">
        <v>2</v>
      </c>
      <c r="L185" s="28">
        <v>42</v>
      </c>
      <c r="M185" s="28" t="s">
        <v>46</v>
      </c>
      <c r="N185" s="28" t="s">
        <v>24</v>
      </c>
      <c r="O185" s="33">
        <v>387.2</v>
      </c>
      <c r="P185" t="s">
        <v>18</v>
      </c>
    </row>
    <row r="186" spans="1:16" hidden="1" x14ac:dyDescent="0.2">
      <c r="A186" t="s">
        <v>11</v>
      </c>
      <c r="B186" s="25">
        <v>45748</v>
      </c>
      <c r="C186">
        <v>0</v>
      </c>
      <c r="D186" s="29">
        <v>186</v>
      </c>
      <c r="E186" s="29">
        <v>93</v>
      </c>
      <c r="F186" s="28">
        <v>70.6357</v>
      </c>
      <c r="G186" s="28">
        <v>6.5299999999999997E-2</v>
      </c>
      <c r="H186" s="31" t="s">
        <v>12</v>
      </c>
      <c r="I186" s="31">
        <v>4</v>
      </c>
      <c r="J186" s="28">
        <v>3</v>
      </c>
      <c r="K186" s="28">
        <v>1</v>
      </c>
      <c r="L186" s="28">
        <v>41</v>
      </c>
      <c r="M186" s="28" t="s">
        <v>43</v>
      </c>
      <c r="N186" s="28" t="s">
        <v>24</v>
      </c>
      <c r="O186" s="33">
        <v>909.6</v>
      </c>
      <c r="P186" t="s">
        <v>18</v>
      </c>
    </row>
    <row r="187" spans="1:16" hidden="1" x14ac:dyDescent="0.2">
      <c r="A187" t="s">
        <v>11</v>
      </c>
      <c r="B187" s="25">
        <v>45748</v>
      </c>
      <c r="C187">
        <v>0</v>
      </c>
      <c r="D187" s="29">
        <v>187</v>
      </c>
      <c r="E187" s="29">
        <v>93</v>
      </c>
      <c r="F187" s="28">
        <v>70.6357</v>
      </c>
      <c r="G187" s="28">
        <v>6.5299999999999997E-2</v>
      </c>
      <c r="H187" s="31" t="s">
        <v>12</v>
      </c>
      <c r="I187" s="31">
        <v>4</v>
      </c>
      <c r="J187" s="28">
        <v>3</v>
      </c>
      <c r="K187" s="28">
        <v>2</v>
      </c>
      <c r="L187" s="28">
        <v>56</v>
      </c>
      <c r="M187" s="28" t="s">
        <v>46</v>
      </c>
      <c r="N187" s="28" t="s">
        <v>20</v>
      </c>
      <c r="O187" s="33">
        <v>518.9</v>
      </c>
      <c r="P187" t="s">
        <v>18</v>
      </c>
    </row>
    <row r="188" spans="1:16" hidden="1" x14ac:dyDescent="0.2">
      <c r="A188" t="s">
        <v>11</v>
      </c>
      <c r="B188" s="25">
        <v>45748</v>
      </c>
      <c r="C188">
        <v>0</v>
      </c>
      <c r="D188" s="29">
        <v>188</v>
      </c>
      <c r="E188" s="29">
        <v>94</v>
      </c>
      <c r="F188" s="28">
        <v>70.6357</v>
      </c>
      <c r="G188" s="28">
        <v>6.5299999999999997E-2</v>
      </c>
      <c r="H188" s="31" t="s">
        <v>12</v>
      </c>
      <c r="I188" s="31">
        <v>4</v>
      </c>
      <c r="J188" s="28">
        <v>4</v>
      </c>
      <c r="K188" s="28">
        <v>1</v>
      </c>
      <c r="L188" s="28">
        <v>58</v>
      </c>
      <c r="M188" s="28" t="s">
        <v>44</v>
      </c>
      <c r="N188" s="28" t="s">
        <v>20</v>
      </c>
      <c r="O188" s="33">
        <v>456.2</v>
      </c>
      <c r="P188" t="s">
        <v>18</v>
      </c>
    </row>
    <row r="189" spans="1:16" hidden="1" x14ac:dyDescent="0.2">
      <c r="A189" t="s">
        <v>11</v>
      </c>
      <c r="B189" s="25">
        <v>45748</v>
      </c>
      <c r="C189">
        <v>0</v>
      </c>
      <c r="D189" s="29">
        <v>185</v>
      </c>
      <c r="E189" s="29">
        <v>94</v>
      </c>
      <c r="F189" s="28">
        <v>70.6357</v>
      </c>
      <c r="G189" s="28">
        <v>6.5299999999999997E-2</v>
      </c>
      <c r="H189" s="31" t="s">
        <v>12</v>
      </c>
      <c r="I189" s="31">
        <v>4</v>
      </c>
      <c r="J189" s="28">
        <v>4</v>
      </c>
      <c r="K189" s="28">
        <v>2</v>
      </c>
      <c r="L189" s="28">
        <v>35</v>
      </c>
      <c r="M189" s="28" t="s">
        <v>45</v>
      </c>
      <c r="N189" s="28" t="s">
        <v>47</v>
      </c>
      <c r="O189" s="33">
        <v>439.4</v>
      </c>
      <c r="P189" t="s">
        <v>18</v>
      </c>
    </row>
    <row r="190" spans="1:16" hidden="1" x14ac:dyDescent="0.2">
      <c r="A190" t="s">
        <v>11</v>
      </c>
      <c r="B190" s="25">
        <v>45748</v>
      </c>
      <c r="C190">
        <v>0</v>
      </c>
      <c r="D190" s="29">
        <v>189</v>
      </c>
      <c r="E190" s="29">
        <v>95</v>
      </c>
      <c r="F190" s="28">
        <v>125.6101</v>
      </c>
      <c r="G190" s="28">
        <v>0.11609999999999999</v>
      </c>
      <c r="H190" s="31" t="s">
        <v>12</v>
      </c>
      <c r="I190" s="31">
        <v>5</v>
      </c>
      <c r="J190" s="28">
        <v>3</v>
      </c>
      <c r="K190" s="28">
        <v>1</v>
      </c>
      <c r="L190" s="28">
        <v>19</v>
      </c>
      <c r="M190" s="28" t="s">
        <v>43</v>
      </c>
      <c r="N190" s="28" t="s">
        <v>21</v>
      </c>
      <c r="O190" s="33">
        <v>719.3</v>
      </c>
      <c r="P190" t="s">
        <v>18</v>
      </c>
    </row>
    <row r="191" spans="1:16" x14ac:dyDescent="0.2">
      <c r="A191" t="s">
        <v>11</v>
      </c>
      <c r="B191" s="25">
        <v>45748</v>
      </c>
      <c r="C191">
        <v>0</v>
      </c>
      <c r="D191" s="29">
        <v>190</v>
      </c>
      <c r="E191" s="29">
        <v>95</v>
      </c>
      <c r="F191" s="28">
        <v>125.6101</v>
      </c>
      <c r="G191" s="28">
        <v>0.11609999999999999</v>
      </c>
      <c r="H191" s="31" t="s">
        <v>12</v>
      </c>
      <c r="I191" s="31">
        <v>5</v>
      </c>
      <c r="J191" s="28">
        <v>3</v>
      </c>
      <c r="K191" s="28">
        <v>2</v>
      </c>
      <c r="L191" s="28">
        <v>24</v>
      </c>
      <c r="M191" s="28" t="s">
        <v>46</v>
      </c>
      <c r="N191" s="28" t="s">
        <v>32</v>
      </c>
      <c r="O191" s="33">
        <v>532.9</v>
      </c>
      <c r="P191" t="s">
        <v>18</v>
      </c>
    </row>
    <row r="192" spans="1:16" hidden="1" x14ac:dyDescent="0.2">
      <c r="A192" t="s">
        <v>11</v>
      </c>
      <c r="B192" s="25">
        <v>45748</v>
      </c>
      <c r="C192">
        <v>0</v>
      </c>
      <c r="D192" s="29">
        <v>191</v>
      </c>
      <c r="E192" s="29">
        <v>96</v>
      </c>
      <c r="F192" s="28">
        <v>125.6101</v>
      </c>
      <c r="G192" s="28">
        <v>0.11609999999999999</v>
      </c>
      <c r="H192" s="31" t="s">
        <v>12</v>
      </c>
      <c r="I192" s="31">
        <v>5</v>
      </c>
      <c r="J192" s="28">
        <v>4</v>
      </c>
      <c r="K192" s="28">
        <v>1</v>
      </c>
      <c r="L192" s="28">
        <v>71</v>
      </c>
      <c r="M192" s="28" t="s">
        <v>43</v>
      </c>
      <c r="N192" s="28" t="s">
        <v>24</v>
      </c>
      <c r="O192" s="33">
        <v>899</v>
      </c>
      <c r="P192" t="s">
        <v>18</v>
      </c>
    </row>
    <row r="193" spans="1:16" hidden="1" x14ac:dyDescent="0.2">
      <c r="A193" t="s">
        <v>11</v>
      </c>
      <c r="B193" s="25">
        <v>45748</v>
      </c>
      <c r="C193">
        <v>0</v>
      </c>
      <c r="D193" s="29">
        <v>192</v>
      </c>
      <c r="E193" s="29">
        <v>96</v>
      </c>
      <c r="F193" s="28">
        <v>125.6101</v>
      </c>
      <c r="G193" s="28">
        <v>0.11609999999999999</v>
      </c>
      <c r="H193" s="31" t="s">
        <v>12</v>
      </c>
      <c r="I193" s="31">
        <v>5</v>
      </c>
      <c r="J193" s="28">
        <v>4</v>
      </c>
      <c r="K193" s="28">
        <v>2</v>
      </c>
      <c r="L193" s="28">
        <v>72</v>
      </c>
      <c r="M193" s="28" t="s">
        <v>46</v>
      </c>
      <c r="N193" s="28" t="s">
        <v>24</v>
      </c>
      <c r="O193" s="33">
        <v>503.1</v>
      </c>
      <c r="P193" t="s">
        <v>18</v>
      </c>
    </row>
    <row r="194" spans="1:16" hidden="1" x14ac:dyDescent="0.2">
      <c r="A194" t="s">
        <v>11</v>
      </c>
      <c r="B194" s="25">
        <v>45748</v>
      </c>
      <c r="C194">
        <v>0</v>
      </c>
      <c r="D194" s="29">
        <v>193</v>
      </c>
      <c r="E194" s="29">
        <v>97</v>
      </c>
      <c r="F194" s="28">
        <v>223.3698</v>
      </c>
      <c r="G194" s="28">
        <v>0.2064</v>
      </c>
      <c r="H194" s="31" t="s">
        <v>12</v>
      </c>
      <c r="I194" s="31">
        <v>6</v>
      </c>
      <c r="J194" s="28">
        <v>3</v>
      </c>
      <c r="K194" s="28">
        <v>1</v>
      </c>
      <c r="L194" s="28">
        <v>24</v>
      </c>
      <c r="M194" s="28" t="s">
        <v>44</v>
      </c>
      <c r="N194" s="28" t="s">
        <v>32</v>
      </c>
      <c r="O194" s="33">
        <v>401.5</v>
      </c>
      <c r="P194" t="s">
        <v>18</v>
      </c>
    </row>
    <row r="195" spans="1:16" hidden="1" x14ac:dyDescent="0.2">
      <c r="A195" t="s">
        <v>11</v>
      </c>
      <c r="B195" s="25">
        <v>45748</v>
      </c>
      <c r="C195">
        <v>0</v>
      </c>
      <c r="D195" s="29">
        <v>195</v>
      </c>
      <c r="E195" s="29">
        <v>97</v>
      </c>
      <c r="F195" s="28">
        <v>223.3698</v>
      </c>
      <c r="G195" s="28">
        <v>0.2064</v>
      </c>
      <c r="H195" s="31" t="s">
        <v>12</v>
      </c>
      <c r="I195" s="31">
        <v>6</v>
      </c>
      <c r="J195" s="28">
        <v>3</v>
      </c>
      <c r="K195" s="28">
        <v>2</v>
      </c>
      <c r="L195" s="28">
        <v>58</v>
      </c>
      <c r="M195" s="28" t="s">
        <v>45</v>
      </c>
      <c r="N195" s="28" t="s">
        <v>20</v>
      </c>
      <c r="O195" s="33">
        <v>436.6</v>
      </c>
      <c r="P195" t="s">
        <v>18</v>
      </c>
    </row>
    <row r="196" spans="1:16" hidden="1" x14ac:dyDescent="0.2">
      <c r="A196" t="s">
        <v>11</v>
      </c>
      <c r="B196" s="25">
        <v>45748</v>
      </c>
      <c r="C196">
        <v>0</v>
      </c>
      <c r="D196" s="29">
        <v>200</v>
      </c>
      <c r="E196" s="29">
        <v>100</v>
      </c>
      <c r="F196" s="28">
        <v>397.214</v>
      </c>
      <c r="G196" s="28">
        <v>0.36709999999999998</v>
      </c>
      <c r="H196" s="31" t="s">
        <v>12</v>
      </c>
      <c r="I196" s="31">
        <v>6</v>
      </c>
      <c r="J196" s="28">
        <v>4</v>
      </c>
      <c r="K196" s="28">
        <v>1</v>
      </c>
      <c r="L196" s="28">
        <v>72</v>
      </c>
      <c r="M196" s="28" t="s">
        <v>44</v>
      </c>
      <c r="N196" s="28" t="s">
        <v>24</v>
      </c>
      <c r="O196" s="33">
        <v>506.3</v>
      </c>
      <c r="P196" t="s">
        <v>18</v>
      </c>
    </row>
    <row r="197" spans="1:16" hidden="1" x14ac:dyDescent="0.2">
      <c r="A197" t="s">
        <v>11</v>
      </c>
      <c r="B197" s="25">
        <v>45748</v>
      </c>
      <c r="C197">
        <v>0</v>
      </c>
      <c r="D197" s="29">
        <v>194</v>
      </c>
      <c r="E197" s="29">
        <v>98</v>
      </c>
      <c r="F197" s="28">
        <v>223.3698</v>
      </c>
      <c r="G197" s="28">
        <v>0.2064</v>
      </c>
      <c r="H197" s="31" t="s">
        <v>12</v>
      </c>
      <c r="I197" s="31">
        <v>6</v>
      </c>
      <c r="J197" s="28">
        <v>4</v>
      </c>
      <c r="K197" s="28">
        <v>2</v>
      </c>
      <c r="L197" s="28">
        <v>48</v>
      </c>
      <c r="M197" s="28" t="s">
        <v>45</v>
      </c>
      <c r="N197" s="28" t="s">
        <v>48</v>
      </c>
      <c r="O197" s="33">
        <v>424.2</v>
      </c>
      <c r="P197" t="s">
        <v>18</v>
      </c>
    </row>
    <row r="198" spans="1:16" hidden="1" x14ac:dyDescent="0.2">
      <c r="A198" t="s">
        <v>11</v>
      </c>
      <c r="B198" s="25">
        <v>45748</v>
      </c>
      <c r="C198">
        <v>0</v>
      </c>
      <c r="D198" s="29">
        <v>196</v>
      </c>
      <c r="E198" s="29">
        <v>98</v>
      </c>
      <c r="F198" s="28">
        <v>397.214</v>
      </c>
      <c r="G198" s="28">
        <v>0.36709999999999998</v>
      </c>
      <c r="H198" s="31" t="s">
        <v>12</v>
      </c>
      <c r="I198" s="31">
        <v>7</v>
      </c>
      <c r="J198" s="28">
        <v>3</v>
      </c>
      <c r="K198" s="28">
        <v>1</v>
      </c>
      <c r="L198" s="28">
        <v>22</v>
      </c>
      <c r="M198" s="28" t="s">
        <v>43</v>
      </c>
      <c r="N198" s="28" t="s">
        <v>32</v>
      </c>
      <c r="O198" s="33">
        <v>563.20000000000005</v>
      </c>
      <c r="P198" t="s">
        <v>18</v>
      </c>
    </row>
    <row r="199" spans="1:16" hidden="1" x14ac:dyDescent="0.2">
      <c r="A199" t="s">
        <v>11</v>
      </c>
      <c r="B199" s="25">
        <v>45748</v>
      </c>
      <c r="C199">
        <v>0</v>
      </c>
      <c r="D199" s="29">
        <v>197</v>
      </c>
      <c r="E199" s="29">
        <v>99</v>
      </c>
      <c r="F199" s="28">
        <v>397.214</v>
      </c>
      <c r="G199" s="28">
        <v>0.36709999999999998</v>
      </c>
      <c r="H199" s="31" t="s">
        <v>12</v>
      </c>
      <c r="I199" s="31">
        <v>7</v>
      </c>
      <c r="J199" s="28">
        <v>3</v>
      </c>
      <c r="K199" s="28">
        <v>2</v>
      </c>
      <c r="L199" s="28">
        <v>25</v>
      </c>
      <c r="M199" s="28" t="s">
        <v>46</v>
      </c>
      <c r="N199" s="28" t="s">
        <v>32</v>
      </c>
      <c r="O199" s="33">
        <v>727.1</v>
      </c>
      <c r="P199" t="s">
        <v>18</v>
      </c>
    </row>
    <row r="200" spans="1:16" hidden="1" x14ac:dyDescent="0.2">
      <c r="A200" t="s">
        <v>11</v>
      </c>
      <c r="B200" s="25">
        <v>45748</v>
      </c>
      <c r="C200">
        <v>0</v>
      </c>
      <c r="D200" s="29">
        <v>198</v>
      </c>
      <c r="E200" s="29">
        <v>99</v>
      </c>
      <c r="F200" s="28">
        <v>397.214</v>
      </c>
      <c r="G200" s="28">
        <v>0.36709999999999998</v>
      </c>
      <c r="H200" s="31" t="s">
        <v>12</v>
      </c>
      <c r="I200" s="31">
        <v>7</v>
      </c>
      <c r="J200" s="28">
        <v>4</v>
      </c>
      <c r="K200" s="28">
        <v>1</v>
      </c>
      <c r="L200" s="28">
        <v>48</v>
      </c>
      <c r="M200" s="28" t="s">
        <v>44</v>
      </c>
      <c r="N200" s="28" t="s">
        <v>48</v>
      </c>
      <c r="O200" s="33">
        <v>477.7</v>
      </c>
      <c r="P200" t="s">
        <v>18</v>
      </c>
    </row>
    <row r="201" spans="1:16" hidden="1" x14ac:dyDescent="0.2">
      <c r="A201" t="s">
        <v>11</v>
      </c>
      <c r="B201" s="25">
        <v>45748</v>
      </c>
      <c r="C201">
        <v>0</v>
      </c>
      <c r="D201" s="29">
        <v>199</v>
      </c>
      <c r="E201" s="29">
        <v>100</v>
      </c>
      <c r="F201" s="28">
        <v>397.214</v>
      </c>
      <c r="G201" s="28">
        <v>0.36709999999999998</v>
      </c>
      <c r="H201" s="31" t="s">
        <v>12</v>
      </c>
      <c r="I201" s="31">
        <v>7</v>
      </c>
      <c r="J201" s="28">
        <v>4</v>
      </c>
      <c r="K201" s="28">
        <v>2</v>
      </c>
      <c r="L201" s="28">
        <v>70</v>
      </c>
      <c r="M201" s="28" t="s">
        <v>45</v>
      </c>
      <c r="N201" s="28" t="s">
        <v>19</v>
      </c>
      <c r="O201" s="33">
        <v>431.3</v>
      </c>
      <c r="P201" t="s">
        <v>18</v>
      </c>
    </row>
    <row r="202" spans="1:16" hidden="1" x14ac:dyDescent="0.2">
      <c r="A202" t="s">
        <v>11</v>
      </c>
      <c r="B202" s="25">
        <v>45748</v>
      </c>
      <c r="C202">
        <v>0</v>
      </c>
      <c r="D202" s="29">
        <v>203</v>
      </c>
      <c r="E202" s="29">
        <v>101</v>
      </c>
      <c r="F202" s="28">
        <v>0.47089999999999999</v>
      </c>
      <c r="G202" s="28">
        <v>1.2999999999999999E-3</v>
      </c>
      <c r="H202" s="31" t="s">
        <v>13</v>
      </c>
      <c r="I202" s="31">
        <v>1</v>
      </c>
      <c r="J202" s="28">
        <v>3</v>
      </c>
      <c r="K202" s="28">
        <v>1</v>
      </c>
      <c r="L202" s="28">
        <v>49</v>
      </c>
      <c r="M202" s="28" t="s">
        <v>44</v>
      </c>
      <c r="N202" s="28" t="s">
        <v>48</v>
      </c>
      <c r="O202" s="33">
        <v>272.2</v>
      </c>
      <c r="P202" t="s">
        <v>18</v>
      </c>
    </row>
    <row r="203" spans="1:16" hidden="1" x14ac:dyDescent="0.2">
      <c r="A203" t="s">
        <v>11</v>
      </c>
      <c r="B203" s="25">
        <v>45748</v>
      </c>
      <c r="C203">
        <v>0</v>
      </c>
      <c r="D203" s="29">
        <v>202</v>
      </c>
      <c r="E203" s="29">
        <v>101</v>
      </c>
      <c r="F203" s="28">
        <v>0.47089999999999999</v>
      </c>
      <c r="G203" s="28">
        <v>1.2999999999999999E-3</v>
      </c>
      <c r="H203" s="31" t="s">
        <v>13</v>
      </c>
      <c r="I203" s="31">
        <v>1</v>
      </c>
      <c r="J203" s="28">
        <v>3</v>
      </c>
      <c r="K203" s="28">
        <v>2</v>
      </c>
      <c r="L203" s="28">
        <v>22</v>
      </c>
      <c r="M203" s="28" t="s">
        <v>45</v>
      </c>
      <c r="N203" s="28" t="s">
        <v>32</v>
      </c>
      <c r="O203" s="33">
        <v>390.5</v>
      </c>
      <c r="P203" t="s">
        <v>18</v>
      </c>
    </row>
    <row r="204" spans="1:16" hidden="1" x14ac:dyDescent="0.2">
      <c r="A204" t="s">
        <v>11</v>
      </c>
      <c r="B204" s="25">
        <v>45748</v>
      </c>
      <c r="C204">
        <v>0</v>
      </c>
      <c r="D204" s="29">
        <v>204</v>
      </c>
      <c r="E204" s="29">
        <v>102</v>
      </c>
      <c r="F204" s="28">
        <v>0.47089999999999999</v>
      </c>
      <c r="G204" s="28">
        <v>1.2999999999999999E-3</v>
      </c>
      <c r="H204" s="31" t="s">
        <v>13</v>
      </c>
      <c r="I204" s="31">
        <v>1</v>
      </c>
      <c r="J204" s="28">
        <v>4</v>
      </c>
      <c r="K204" s="28">
        <v>1</v>
      </c>
      <c r="L204" s="28">
        <v>53</v>
      </c>
      <c r="M204" s="28" t="s">
        <v>43</v>
      </c>
      <c r="N204" s="28" t="s">
        <v>22</v>
      </c>
      <c r="O204" s="33">
        <v>449</v>
      </c>
      <c r="P204" t="s">
        <v>18</v>
      </c>
    </row>
    <row r="205" spans="1:16" hidden="1" x14ac:dyDescent="0.2">
      <c r="A205" t="s">
        <v>11</v>
      </c>
      <c r="B205" s="25">
        <v>45748</v>
      </c>
      <c r="C205">
        <v>0</v>
      </c>
      <c r="D205" s="29">
        <v>201</v>
      </c>
      <c r="E205" s="29">
        <v>102</v>
      </c>
      <c r="F205" s="28">
        <v>0.47089999999999999</v>
      </c>
      <c r="G205" s="28">
        <v>1.2999999999999999E-3</v>
      </c>
      <c r="H205" s="31" t="s">
        <v>13</v>
      </c>
      <c r="I205" s="31">
        <v>1</v>
      </c>
      <c r="J205" s="28">
        <v>4</v>
      </c>
      <c r="K205" s="28">
        <v>2</v>
      </c>
      <c r="L205" s="28">
        <v>8</v>
      </c>
      <c r="M205" s="28" t="s">
        <v>46</v>
      </c>
      <c r="N205" s="28" t="s">
        <v>21</v>
      </c>
      <c r="O205" s="33">
        <v>386.2</v>
      </c>
      <c r="P205" t="s">
        <v>18</v>
      </c>
    </row>
    <row r="206" spans="1:16" hidden="1" x14ac:dyDescent="0.2">
      <c r="A206" t="s">
        <v>37</v>
      </c>
      <c r="B206" s="25">
        <v>45742</v>
      </c>
      <c r="C206" s="29">
        <v>0</v>
      </c>
      <c r="D206" s="29">
        <v>117</v>
      </c>
      <c r="E206" s="29">
        <v>59</v>
      </c>
      <c r="F206" s="28">
        <v>0</v>
      </c>
      <c r="G206" s="28">
        <v>2.6100000000000002E-2</v>
      </c>
      <c r="H206" s="31" t="s">
        <v>15</v>
      </c>
      <c r="I206" s="31">
        <v>2</v>
      </c>
      <c r="J206" s="28">
        <v>1</v>
      </c>
      <c r="K206" s="28">
        <v>1</v>
      </c>
      <c r="L206" s="28">
        <v>3</v>
      </c>
      <c r="M206" s="28" t="s">
        <v>43</v>
      </c>
      <c r="N206" s="28" t="s">
        <v>19</v>
      </c>
      <c r="O206" s="33">
        <v>380.2</v>
      </c>
      <c r="P206" t="s">
        <v>18</v>
      </c>
    </row>
    <row r="207" spans="1:16" hidden="1" x14ac:dyDescent="0.2">
      <c r="A207" t="s">
        <v>37</v>
      </c>
      <c r="B207" s="25">
        <v>45742</v>
      </c>
      <c r="C207" s="29">
        <v>0</v>
      </c>
      <c r="D207" s="29">
        <v>118</v>
      </c>
      <c r="E207" s="29">
        <v>59</v>
      </c>
      <c r="F207" s="28">
        <v>0</v>
      </c>
      <c r="G207" s="28">
        <v>2.6100000000000002E-2</v>
      </c>
      <c r="H207" s="31" t="s">
        <v>15</v>
      </c>
      <c r="I207" s="31">
        <v>2</v>
      </c>
      <c r="J207" s="28">
        <v>1</v>
      </c>
      <c r="K207" s="28">
        <v>2</v>
      </c>
      <c r="L207" s="28">
        <v>79</v>
      </c>
      <c r="M207" s="28" t="s">
        <v>46</v>
      </c>
      <c r="N207" s="28" t="s">
        <v>49</v>
      </c>
      <c r="O207" s="33">
        <v>702.7</v>
      </c>
      <c r="P207" t="s">
        <v>18</v>
      </c>
    </row>
    <row r="208" spans="1:16" hidden="1" x14ac:dyDescent="0.2">
      <c r="A208" t="s">
        <v>11</v>
      </c>
      <c r="B208" s="25">
        <v>45748</v>
      </c>
      <c r="C208">
        <v>0</v>
      </c>
      <c r="D208" s="29">
        <v>207</v>
      </c>
      <c r="E208" s="29">
        <v>104</v>
      </c>
      <c r="F208" s="28">
        <v>4.7089999999999996</v>
      </c>
      <c r="G208" s="28">
        <v>1.3100000000000001E-2</v>
      </c>
      <c r="H208" s="31" t="s">
        <v>13</v>
      </c>
      <c r="I208" s="31">
        <v>2</v>
      </c>
      <c r="J208" s="28">
        <v>4</v>
      </c>
      <c r="K208" s="28">
        <v>1</v>
      </c>
      <c r="L208" s="28">
        <v>47</v>
      </c>
      <c r="M208" s="28" t="s">
        <v>43</v>
      </c>
      <c r="N208" s="28" t="s">
        <v>48</v>
      </c>
      <c r="O208" s="33">
        <v>460.1</v>
      </c>
      <c r="P208" t="s">
        <v>18</v>
      </c>
    </row>
    <row r="209" spans="1:16" hidden="1" x14ac:dyDescent="0.2">
      <c r="A209" t="s">
        <v>11</v>
      </c>
      <c r="B209" s="25">
        <v>45748</v>
      </c>
      <c r="C209">
        <v>0</v>
      </c>
      <c r="D209" s="29">
        <v>206</v>
      </c>
      <c r="E209" s="29">
        <v>104</v>
      </c>
      <c r="F209" s="28">
        <v>4.7089999999999996</v>
      </c>
      <c r="G209" s="28">
        <v>1.3100000000000001E-2</v>
      </c>
      <c r="H209" s="31" t="s">
        <v>13</v>
      </c>
      <c r="I209" s="31">
        <v>2</v>
      </c>
      <c r="J209" s="28">
        <v>4</v>
      </c>
      <c r="K209" s="28">
        <v>2</v>
      </c>
      <c r="L209" s="28">
        <v>33</v>
      </c>
      <c r="M209" s="28" t="s">
        <v>46</v>
      </c>
      <c r="N209" s="28" t="s">
        <v>47</v>
      </c>
      <c r="O209" s="33">
        <v>531.4</v>
      </c>
      <c r="P209" t="s">
        <v>18</v>
      </c>
    </row>
    <row r="210" spans="1:16" hidden="1" x14ac:dyDescent="0.2">
      <c r="A210" t="s">
        <v>11</v>
      </c>
      <c r="B210" s="25">
        <v>45748</v>
      </c>
      <c r="C210">
        <v>0</v>
      </c>
      <c r="D210" s="29">
        <v>209</v>
      </c>
      <c r="E210" s="29">
        <v>105</v>
      </c>
      <c r="F210" s="28">
        <v>26.480899999999998</v>
      </c>
      <c r="G210" s="28">
        <v>7.3400000000000007E-2</v>
      </c>
      <c r="H210" s="31" t="s">
        <v>13</v>
      </c>
      <c r="I210" s="31">
        <v>3</v>
      </c>
      <c r="J210" s="28">
        <v>3</v>
      </c>
      <c r="K210" s="28">
        <v>1</v>
      </c>
      <c r="L210" s="28">
        <v>7</v>
      </c>
      <c r="M210" s="28" t="s">
        <v>44</v>
      </c>
      <c r="N210" s="28" t="s">
        <v>19</v>
      </c>
      <c r="O210" s="33">
        <v>380</v>
      </c>
      <c r="P210" t="s">
        <v>18</v>
      </c>
    </row>
    <row r="211" spans="1:16" hidden="1" x14ac:dyDescent="0.2">
      <c r="A211" t="s">
        <v>11</v>
      </c>
      <c r="B211" s="25">
        <v>45748</v>
      </c>
      <c r="C211">
        <v>0</v>
      </c>
      <c r="D211" s="29">
        <v>210</v>
      </c>
      <c r="E211" s="29">
        <v>105</v>
      </c>
      <c r="F211" s="28">
        <v>26.480899999999998</v>
      </c>
      <c r="G211" s="28">
        <v>7.3400000000000007E-2</v>
      </c>
      <c r="H211" s="31" t="s">
        <v>13</v>
      </c>
      <c r="I211" s="31">
        <v>3</v>
      </c>
      <c r="J211" s="28">
        <v>3</v>
      </c>
      <c r="K211" s="28">
        <v>2</v>
      </c>
      <c r="L211" s="28">
        <v>27</v>
      </c>
      <c r="M211" s="28" t="s">
        <v>45</v>
      </c>
      <c r="N211" s="28" t="s">
        <v>32</v>
      </c>
      <c r="O211" s="33">
        <v>362.8</v>
      </c>
      <c r="P211" t="s">
        <v>18</v>
      </c>
    </row>
    <row r="212" spans="1:16" hidden="1" x14ac:dyDescent="0.2">
      <c r="A212" t="s">
        <v>11</v>
      </c>
      <c r="B212" s="25">
        <v>45748</v>
      </c>
      <c r="C212">
        <v>0</v>
      </c>
      <c r="D212" s="29">
        <v>212</v>
      </c>
      <c r="E212" s="29">
        <v>106</v>
      </c>
      <c r="F212" s="28">
        <v>26.480899999999998</v>
      </c>
      <c r="G212" s="28">
        <v>7.3400000000000007E-2</v>
      </c>
      <c r="H212" s="31" t="s">
        <v>13</v>
      </c>
      <c r="I212" s="31">
        <v>3</v>
      </c>
      <c r="J212" s="28">
        <v>4</v>
      </c>
      <c r="K212" s="28">
        <v>1</v>
      </c>
      <c r="L212" s="28">
        <v>42</v>
      </c>
      <c r="M212" s="28" t="s">
        <v>43</v>
      </c>
      <c r="N212" s="28" t="s">
        <v>24</v>
      </c>
      <c r="O212" s="33">
        <v>400.3</v>
      </c>
      <c r="P212" t="s">
        <v>18</v>
      </c>
    </row>
    <row r="213" spans="1:16" hidden="1" x14ac:dyDescent="0.2">
      <c r="A213" t="s">
        <v>11</v>
      </c>
      <c r="B213" s="25">
        <v>45748</v>
      </c>
      <c r="C213">
        <v>0</v>
      </c>
      <c r="D213" s="29">
        <v>211</v>
      </c>
      <c r="E213" s="29">
        <v>106</v>
      </c>
      <c r="F213" s="28">
        <v>26.480899999999998</v>
      </c>
      <c r="G213" s="28">
        <v>7.3400000000000007E-2</v>
      </c>
      <c r="H213" s="31" t="s">
        <v>13</v>
      </c>
      <c r="I213" s="31">
        <v>3</v>
      </c>
      <c r="J213" s="28">
        <v>4</v>
      </c>
      <c r="K213" s="28">
        <v>2</v>
      </c>
      <c r="L213" s="28">
        <v>41</v>
      </c>
      <c r="M213" s="28" t="s">
        <v>46</v>
      </c>
      <c r="N213" s="28" t="s">
        <v>24</v>
      </c>
      <c r="O213" s="33">
        <v>404.8</v>
      </c>
      <c r="P213" t="s">
        <v>18</v>
      </c>
    </row>
    <row r="214" spans="1:16" hidden="1" x14ac:dyDescent="0.2">
      <c r="A214" t="s">
        <v>11</v>
      </c>
      <c r="B214" s="25">
        <v>45748</v>
      </c>
      <c r="C214">
        <v>0</v>
      </c>
      <c r="D214" s="29">
        <v>215</v>
      </c>
      <c r="E214" s="29">
        <v>107</v>
      </c>
      <c r="F214" s="28">
        <v>47.090499999999999</v>
      </c>
      <c r="G214" s="28">
        <v>0.1305</v>
      </c>
      <c r="H214" s="31" t="s">
        <v>13</v>
      </c>
      <c r="I214" s="31">
        <v>4</v>
      </c>
      <c r="J214" s="28">
        <v>3</v>
      </c>
      <c r="K214" s="28">
        <v>1</v>
      </c>
      <c r="L214" s="28">
        <v>68</v>
      </c>
      <c r="M214" s="28" t="s">
        <v>43</v>
      </c>
      <c r="N214" s="28" t="s">
        <v>19</v>
      </c>
      <c r="O214" s="33">
        <v>320.5</v>
      </c>
      <c r="P214" t="s">
        <v>18</v>
      </c>
    </row>
    <row r="215" spans="1:16" hidden="1" x14ac:dyDescent="0.2">
      <c r="A215" t="s">
        <v>11</v>
      </c>
      <c r="B215" s="25">
        <v>45748</v>
      </c>
      <c r="C215">
        <v>0</v>
      </c>
      <c r="D215" s="29">
        <v>216</v>
      </c>
      <c r="E215" s="29">
        <v>107</v>
      </c>
      <c r="F215" s="28">
        <v>47.090499999999999</v>
      </c>
      <c r="G215" s="28">
        <v>0.1305</v>
      </c>
      <c r="H215" s="31" t="s">
        <v>13</v>
      </c>
      <c r="I215" s="31">
        <v>4</v>
      </c>
      <c r="J215" s="28">
        <v>3</v>
      </c>
      <c r="K215" s="28">
        <v>2</v>
      </c>
      <c r="L215" s="28">
        <v>75</v>
      </c>
      <c r="M215" s="28" t="s">
        <v>46</v>
      </c>
      <c r="N215" s="28" t="s">
        <v>24</v>
      </c>
      <c r="O215" s="33">
        <v>642.6</v>
      </c>
      <c r="P215" t="s">
        <v>18</v>
      </c>
    </row>
    <row r="216" spans="1:16" hidden="1" x14ac:dyDescent="0.2">
      <c r="A216" t="s">
        <v>11</v>
      </c>
      <c r="B216" s="25">
        <v>45748</v>
      </c>
      <c r="C216">
        <v>0</v>
      </c>
      <c r="D216" s="29">
        <v>213</v>
      </c>
      <c r="E216" s="29">
        <v>108</v>
      </c>
      <c r="F216" s="28">
        <v>47.090499999999999</v>
      </c>
      <c r="G216" s="28">
        <v>0.1305</v>
      </c>
      <c r="H216" s="31" t="s">
        <v>13</v>
      </c>
      <c r="I216" s="31">
        <v>4</v>
      </c>
      <c r="J216" s="28">
        <v>4</v>
      </c>
      <c r="K216" s="28">
        <v>1</v>
      </c>
      <c r="L216" s="28">
        <v>54</v>
      </c>
      <c r="M216" s="28" t="s">
        <v>44</v>
      </c>
      <c r="N216" s="28" t="s">
        <v>21</v>
      </c>
      <c r="O216" s="33">
        <v>382.2</v>
      </c>
      <c r="P216" t="s">
        <v>18</v>
      </c>
    </row>
    <row r="217" spans="1:16" hidden="1" x14ac:dyDescent="0.2">
      <c r="A217" t="s">
        <v>11</v>
      </c>
      <c r="B217" s="25">
        <v>45748</v>
      </c>
      <c r="C217">
        <v>0</v>
      </c>
      <c r="D217" s="29">
        <v>214</v>
      </c>
      <c r="E217" s="29">
        <v>108</v>
      </c>
      <c r="F217" s="28">
        <v>47.090499999999999</v>
      </c>
      <c r="G217" s="28">
        <v>0.1305</v>
      </c>
      <c r="H217" s="31" t="s">
        <v>13</v>
      </c>
      <c r="I217" s="31">
        <v>4</v>
      </c>
      <c r="J217" s="28">
        <v>4</v>
      </c>
      <c r="K217" s="28">
        <v>2</v>
      </c>
      <c r="L217" s="28">
        <v>24</v>
      </c>
      <c r="M217" s="28" t="s">
        <v>45</v>
      </c>
      <c r="N217" s="28" t="s">
        <v>32</v>
      </c>
      <c r="O217" s="33">
        <v>847.8</v>
      </c>
      <c r="P217" t="s">
        <v>18</v>
      </c>
    </row>
    <row r="218" spans="1:16" hidden="1" x14ac:dyDescent="0.2">
      <c r="A218" t="s">
        <v>11</v>
      </c>
      <c r="B218" s="25">
        <v>45748</v>
      </c>
      <c r="C218">
        <v>0</v>
      </c>
      <c r="D218" s="29">
        <v>217</v>
      </c>
      <c r="E218" s="29">
        <v>109</v>
      </c>
      <c r="F218" s="28">
        <v>83.740099999999998</v>
      </c>
      <c r="G218" s="28">
        <v>0.2321</v>
      </c>
      <c r="H218" s="31" t="s">
        <v>13</v>
      </c>
      <c r="I218" s="31">
        <v>5</v>
      </c>
      <c r="J218" s="28">
        <v>3</v>
      </c>
      <c r="K218" s="28">
        <v>1</v>
      </c>
      <c r="L218" s="28">
        <v>7</v>
      </c>
      <c r="M218" s="28" t="s">
        <v>43</v>
      </c>
      <c r="N218" s="28" t="s">
        <v>19</v>
      </c>
      <c r="O218" s="33">
        <v>367.4</v>
      </c>
      <c r="P218" t="s">
        <v>18</v>
      </c>
    </row>
    <row r="219" spans="1:16" x14ac:dyDescent="0.2">
      <c r="A219" t="s">
        <v>11</v>
      </c>
      <c r="B219" s="25">
        <v>45748</v>
      </c>
      <c r="C219">
        <v>0</v>
      </c>
      <c r="D219" s="29">
        <v>218</v>
      </c>
      <c r="E219" s="29">
        <v>109</v>
      </c>
      <c r="F219" s="28">
        <v>83.740099999999998</v>
      </c>
      <c r="G219" s="28">
        <v>0.2321</v>
      </c>
      <c r="H219" s="31" t="s">
        <v>13</v>
      </c>
      <c r="I219" s="31">
        <v>5</v>
      </c>
      <c r="J219" s="28">
        <v>3</v>
      </c>
      <c r="K219" s="28">
        <v>2</v>
      </c>
      <c r="L219" s="28">
        <v>27</v>
      </c>
      <c r="M219" s="28" t="s">
        <v>46</v>
      </c>
      <c r="N219" s="28" t="s">
        <v>32</v>
      </c>
      <c r="O219" s="33">
        <v>296.7</v>
      </c>
      <c r="P219" t="s">
        <v>18</v>
      </c>
    </row>
    <row r="220" spans="1:16" hidden="1" x14ac:dyDescent="0.2">
      <c r="A220" t="s">
        <v>11</v>
      </c>
      <c r="B220" s="25">
        <v>45748</v>
      </c>
      <c r="C220">
        <v>0</v>
      </c>
      <c r="D220" s="29">
        <v>219</v>
      </c>
      <c r="E220" s="29">
        <v>110</v>
      </c>
      <c r="F220" s="28">
        <v>83.740099999999998</v>
      </c>
      <c r="G220" s="28">
        <v>0.2321</v>
      </c>
      <c r="H220" s="31" t="s">
        <v>13</v>
      </c>
      <c r="I220" s="31">
        <v>5</v>
      </c>
      <c r="J220" s="28">
        <v>4</v>
      </c>
      <c r="K220" s="28">
        <v>1</v>
      </c>
      <c r="L220" s="28">
        <v>51</v>
      </c>
      <c r="M220" s="28" t="s">
        <v>44</v>
      </c>
      <c r="N220" s="28" t="s">
        <v>22</v>
      </c>
      <c r="O220" s="33">
        <v>521</v>
      </c>
      <c r="P220" t="s">
        <v>18</v>
      </c>
    </row>
    <row r="221" spans="1:16" hidden="1" x14ac:dyDescent="0.2">
      <c r="A221" t="s">
        <v>11</v>
      </c>
      <c r="B221" s="25">
        <v>45748</v>
      </c>
      <c r="C221">
        <v>0</v>
      </c>
      <c r="D221" s="29">
        <v>220</v>
      </c>
      <c r="E221" s="29">
        <v>110</v>
      </c>
      <c r="F221" s="28">
        <v>83.740099999999998</v>
      </c>
      <c r="G221" s="28">
        <v>0.2321</v>
      </c>
      <c r="H221" s="31" t="s">
        <v>13</v>
      </c>
      <c r="I221" s="31">
        <v>5</v>
      </c>
      <c r="J221" s="28">
        <v>4</v>
      </c>
      <c r="K221" s="28">
        <v>2</v>
      </c>
      <c r="L221" s="28">
        <v>53</v>
      </c>
      <c r="M221" s="28" t="s">
        <v>45</v>
      </c>
      <c r="N221" s="28" t="s">
        <v>22</v>
      </c>
      <c r="O221" s="33">
        <v>581.70000000000005</v>
      </c>
      <c r="P221" t="s">
        <v>18</v>
      </c>
    </row>
    <row r="222" spans="1:16" hidden="1" x14ac:dyDescent="0.2">
      <c r="A222" t="s">
        <v>11</v>
      </c>
      <c r="B222" s="25">
        <v>45748</v>
      </c>
      <c r="C222">
        <v>0</v>
      </c>
      <c r="D222" s="29">
        <v>222</v>
      </c>
      <c r="E222" s="29">
        <v>111</v>
      </c>
      <c r="F222" s="28">
        <v>148.91319999999999</v>
      </c>
      <c r="G222" s="28">
        <v>0.4128</v>
      </c>
      <c r="H222" s="31" t="s">
        <v>13</v>
      </c>
      <c r="I222" s="31">
        <v>6</v>
      </c>
      <c r="J222" s="28">
        <v>3</v>
      </c>
      <c r="K222" s="28">
        <v>1</v>
      </c>
      <c r="L222" s="28">
        <v>16</v>
      </c>
      <c r="M222" s="28" t="s">
        <v>43</v>
      </c>
      <c r="N222" s="28" t="s">
        <v>21</v>
      </c>
      <c r="O222" s="33">
        <v>352.6</v>
      </c>
      <c r="P222" t="s">
        <v>18</v>
      </c>
    </row>
    <row r="223" spans="1:16" hidden="1" x14ac:dyDescent="0.2">
      <c r="A223" t="s">
        <v>11</v>
      </c>
      <c r="B223" s="25">
        <v>45748</v>
      </c>
      <c r="C223">
        <v>0</v>
      </c>
      <c r="D223" s="29">
        <v>223</v>
      </c>
      <c r="E223" s="29">
        <v>111</v>
      </c>
      <c r="F223" s="28">
        <v>148.91319999999999</v>
      </c>
      <c r="G223" s="28">
        <v>0.4128</v>
      </c>
      <c r="H223" s="31" t="s">
        <v>13</v>
      </c>
      <c r="I223" s="31">
        <v>6</v>
      </c>
      <c r="J223" s="28">
        <v>3</v>
      </c>
      <c r="K223" s="28">
        <v>2</v>
      </c>
      <c r="L223" s="28">
        <v>30</v>
      </c>
      <c r="M223" s="28" t="s">
        <v>46</v>
      </c>
      <c r="N223" s="28" t="s">
        <v>32</v>
      </c>
      <c r="O223" s="33">
        <v>614.70000000000005</v>
      </c>
      <c r="P223" t="s">
        <v>18</v>
      </c>
    </row>
    <row r="224" spans="1:16" hidden="1" x14ac:dyDescent="0.2">
      <c r="A224" t="s">
        <v>11</v>
      </c>
      <c r="B224" s="25">
        <v>45748</v>
      </c>
      <c r="C224">
        <v>0</v>
      </c>
      <c r="D224" s="29">
        <v>224</v>
      </c>
      <c r="E224" s="29">
        <v>112</v>
      </c>
      <c r="F224" s="28">
        <v>148.91319999999999</v>
      </c>
      <c r="G224" s="28">
        <v>0.4128</v>
      </c>
      <c r="H224" s="31" t="s">
        <v>13</v>
      </c>
      <c r="I224" s="31">
        <v>6</v>
      </c>
      <c r="J224" s="28">
        <v>4</v>
      </c>
      <c r="K224" s="28">
        <v>1</v>
      </c>
      <c r="L224" s="28">
        <v>75</v>
      </c>
      <c r="M224" s="28" t="s">
        <v>44</v>
      </c>
      <c r="N224" s="28" t="s">
        <v>24</v>
      </c>
      <c r="O224" s="33">
        <v>594.29999999999995</v>
      </c>
      <c r="P224" t="s">
        <v>18</v>
      </c>
    </row>
    <row r="225" spans="1:16" hidden="1" x14ac:dyDescent="0.2">
      <c r="A225" t="s">
        <v>11</v>
      </c>
      <c r="B225" s="25">
        <v>45748</v>
      </c>
      <c r="C225">
        <v>0</v>
      </c>
      <c r="D225" s="29">
        <v>221</v>
      </c>
      <c r="E225" s="29">
        <v>112</v>
      </c>
      <c r="F225" s="28">
        <v>148.91319999999999</v>
      </c>
      <c r="G225" s="28">
        <v>0.4128</v>
      </c>
      <c r="H225" s="31" t="s">
        <v>13</v>
      </c>
      <c r="I225" s="31">
        <v>6</v>
      </c>
      <c r="J225" s="28">
        <v>4</v>
      </c>
      <c r="K225" s="28">
        <v>2</v>
      </c>
      <c r="L225" s="28">
        <v>7</v>
      </c>
      <c r="M225" s="28" t="s">
        <v>45</v>
      </c>
      <c r="N225" s="28" t="s">
        <v>19</v>
      </c>
      <c r="O225" s="33">
        <v>398.5</v>
      </c>
      <c r="P225" t="s">
        <v>18</v>
      </c>
    </row>
    <row r="226" spans="1:16" hidden="1" x14ac:dyDescent="0.2">
      <c r="A226" t="s">
        <v>11</v>
      </c>
      <c r="B226" s="25">
        <v>45748</v>
      </c>
      <c r="C226">
        <v>0</v>
      </c>
      <c r="D226" s="29">
        <v>228</v>
      </c>
      <c r="E226" s="29">
        <v>113</v>
      </c>
      <c r="F226" s="28">
        <v>264.80930000000001</v>
      </c>
      <c r="G226" s="28">
        <v>0.73409999999999997</v>
      </c>
      <c r="H226" s="31" t="s">
        <v>13</v>
      </c>
      <c r="I226" s="31">
        <v>7</v>
      </c>
      <c r="J226" s="28">
        <v>3</v>
      </c>
      <c r="K226" s="28">
        <v>1</v>
      </c>
      <c r="L226" s="28">
        <v>56</v>
      </c>
      <c r="M226" s="28" t="s">
        <v>44</v>
      </c>
      <c r="N226" s="28" t="s">
        <v>20</v>
      </c>
      <c r="O226" s="33">
        <v>464.9</v>
      </c>
      <c r="P226" t="s">
        <v>18</v>
      </c>
    </row>
    <row r="227" spans="1:16" hidden="1" x14ac:dyDescent="0.2">
      <c r="A227" t="s">
        <v>11</v>
      </c>
      <c r="B227" s="25">
        <v>45748</v>
      </c>
      <c r="C227">
        <v>0</v>
      </c>
      <c r="D227" s="29">
        <v>225</v>
      </c>
      <c r="E227" s="29">
        <v>113</v>
      </c>
      <c r="F227" s="28">
        <v>264.80930000000001</v>
      </c>
      <c r="G227" s="28">
        <v>0.73409999999999997</v>
      </c>
      <c r="H227" s="31" t="s">
        <v>13</v>
      </c>
      <c r="I227" s="31">
        <v>7</v>
      </c>
      <c r="J227" s="28">
        <v>3</v>
      </c>
      <c r="K227" s="28">
        <v>2</v>
      </c>
      <c r="L227" s="28">
        <v>2</v>
      </c>
      <c r="M227" s="28" t="s">
        <v>45</v>
      </c>
      <c r="N227" s="28" t="s">
        <v>19</v>
      </c>
      <c r="O227" s="33">
        <v>442.9</v>
      </c>
      <c r="P227" t="s">
        <v>18</v>
      </c>
    </row>
    <row r="228" spans="1:16" hidden="1" x14ac:dyDescent="0.2">
      <c r="A228" t="s">
        <v>11</v>
      </c>
      <c r="B228" s="25">
        <v>45748</v>
      </c>
      <c r="C228">
        <v>0</v>
      </c>
      <c r="D228" s="29">
        <v>226</v>
      </c>
      <c r="E228" s="29">
        <v>114</v>
      </c>
      <c r="F228" s="28">
        <v>264.80930000000001</v>
      </c>
      <c r="G228" s="28">
        <v>0.73409999999999997</v>
      </c>
      <c r="H228" s="31" t="s">
        <v>13</v>
      </c>
      <c r="I228" s="31">
        <v>7</v>
      </c>
      <c r="J228" s="28">
        <v>4</v>
      </c>
      <c r="K228" s="28">
        <v>1</v>
      </c>
      <c r="L228" s="28">
        <v>30</v>
      </c>
      <c r="M228" s="28" t="s">
        <v>44</v>
      </c>
      <c r="N228" s="28" t="s">
        <v>32</v>
      </c>
      <c r="O228" s="33">
        <v>480.6</v>
      </c>
      <c r="P228" t="s">
        <v>18</v>
      </c>
    </row>
    <row r="229" spans="1:16" hidden="1" x14ac:dyDescent="0.2">
      <c r="A229" t="s">
        <v>11</v>
      </c>
      <c r="B229" s="25">
        <v>45748</v>
      </c>
      <c r="C229">
        <v>0</v>
      </c>
      <c r="D229" s="29">
        <v>227</v>
      </c>
      <c r="E229" s="29">
        <v>114</v>
      </c>
      <c r="F229" s="28">
        <v>264.80930000000001</v>
      </c>
      <c r="G229" s="28">
        <v>0.73409999999999997</v>
      </c>
      <c r="H229" s="31" t="s">
        <v>13</v>
      </c>
      <c r="I229" s="31">
        <v>7</v>
      </c>
      <c r="J229" s="28">
        <v>4</v>
      </c>
      <c r="K229" s="28">
        <v>2</v>
      </c>
      <c r="L229" s="28">
        <v>49</v>
      </c>
      <c r="M229" s="28" t="s">
        <v>45</v>
      </c>
      <c r="N229" s="28" t="s">
        <v>48</v>
      </c>
      <c r="O229" s="33">
        <v>301.5</v>
      </c>
      <c r="P229" t="s">
        <v>18</v>
      </c>
    </row>
    <row r="230" spans="1:16" hidden="1" x14ac:dyDescent="0.2">
      <c r="A230" t="s">
        <v>11</v>
      </c>
      <c r="B230" s="25">
        <v>45748</v>
      </c>
      <c r="C230">
        <v>0</v>
      </c>
      <c r="D230" s="29">
        <v>229</v>
      </c>
      <c r="E230" s="29">
        <v>115</v>
      </c>
      <c r="F230" s="28">
        <v>0.23549999999999999</v>
      </c>
      <c r="G230" s="28">
        <v>2E-3</v>
      </c>
      <c r="H230" s="31" t="s">
        <v>14</v>
      </c>
      <c r="I230" s="31">
        <v>1</v>
      </c>
      <c r="J230" s="28">
        <v>3</v>
      </c>
      <c r="K230" s="28">
        <v>1</v>
      </c>
      <c r="L230" s="28">
        <v>17</v>
      </c>
      <c r="M230" s="28" t="s">
        <v>43</v>
      </c>
      <c r="N230" s="28" t="s">
        <v>21</v>
      </c>
      <c r="O230" s="33">
        <v>477.9</v>
      </c>
      <c r="P230" t="s">
        <v>18</v>
      </c>
    </row>
    <row r="231" spans="1:16" hidden="1" x14ac:dyDescent="0.2">
      <c r="A231" t="s">
        <v>11</v>
      </c>
      <c r="B231" s="25">
        <v>45748</v>
      </c>
      <c r="C231">
        <v>0</v>
      </c>
      <c r="D231" s="29">
        <v>231</v>
      </c>
      <c r="E231" s="29">
        <v>115</v>
      </c>
      <c r="F231" s="28">
        <v>0.23549999999999999</v>
      </c>
      <c r="G231" s="28">
        <v>2E-3</v>
      </c>
      <c r="H231" s="31" t="s">
        <v>14</v>
      </c>
      <c r="I231" s="31">
        <v>1</v>
      </c>
      <c r="J231" s="28">
        <v>3</v>
      </c>
      <c r="K231" s="28">
        <v>2</v>
      </c>
      <c r="L231" s="28">
        <v>52</v>
      </c>
      <c r="M231" s="28" t="s">
        <v>46</v>
      </c>
      <c r="N231" s="28" t="s">
        <v>22</v>
      </c>
      <c r="O231" s="33">
        <v>462.6</v>
      </c>
      <c r="P231" t="s">
        <v>18</v>
      </c>
    </row>
    <row r="232" spans="1:16" hidden="1" x14ac:dyDescent="0.2">
      <c r="A232" t="s">
        <v>11</v>
      </c>
      <c r="B232" s="25">
        <v>45748</v>
      </c>
      <c r="C232">
        <v>0</v>
      </c>
      <c r="D232" s="29">
        <v>232</v>
      </c>
      <c r="E232" s="29">
        <v>116</v>
      </c>
      <c r="F232" s="28">
        <v>0.23549999999999999</v>
      </c>
      <c r="G232" s="28">
        <v>2E-3</v>
      </c>
      <c r="H232" s="31" t="s">
        <v>14</v>
      </c>
      <c r="I232" s="31">
        <v>1</v>
      </c>
      <c r="J232" s="28">
        <v>4</v>
      </c>
      <c r="K232" s="28">
        <v>1</v>
      </c>
      <c r="L232" s="28">
        <v>72</v>
      </c>
      <c r="M232" s="28" t="s">
        <v>43</v>
      </c>
      <c r="N232" s="28" t="s">
        <v>24</v>
      </c>
      <c r="O232" s="33">
        <v>594.20000000000005</v>
      </c>
      <c r="P232" t="s">
        <v>18</v>
      </c>
    </row>
    <row r="233" spans="1:16" hidden="1" x14ac:dyDescent="0.2">
      <c r="A233" t="s">
        <v>11</v>
      </c>
      <c r="B233" s="25">
        <v>45748</v>
      </c>
      <c r="C233">
        <v>0</v>
      </c>
      <c r="D233" s="29">
        <v>230</v>
      </c>
      <c r="E233" s="29">
        <v>116</v>
      </c>
      <c r="F233" s="28">
        <v>0.23549999999999999</v>
      </c>
      <c r="G233" s="28">
        <v>2E-3</v>
      </c>
      <c r="H233" s="31" t="s">
        <v>14</v>
      </c>
      <c r="I233" s="31">
        <v>1</v>
      </c>
      <c r="J233" s="28">
        <v>4</v>
      </c>
      <c r="K233" s="28">
        <v>2</v>
      </c>
      <c r="L233" s="28">
        <v>48</v>
      </c>
      <c r="M233" s="28" t="s">
        <v>46</v>
      </c>
      <c r="N233" s="28" t="s">
        <v>48</v>
      </c>
      <c r="O233" s="33">
        <v>428.2</v>
      </c>
      <c r="P233" t="s">
        <v>18</v>
      </c>
    </row>
    <row r="234" spans="1:16" hidden="1" x14ac:dyDescent="0.2">
      <c r="A234" t="s">
        <v>11</v>
      </c>
      <c r="B234" s="25">
        <v>45748</v>
      </c>
      <c r="C234">
        <v>0</v>
      </c>
      <c r="D234" s="29">
        <v>263</v>
      </c>
      <c r="E234" s="29">
        <v>131</v>
      </c>
      <c r="F234" s="28">
        <v>0</v>
      </c>
      <c r="G234" s="28">
        <v>2.6100000000000002E-2</v>
      </c>
      <c r="H234" s="31" t="s">
        <v>15</v>
      </c>
      <c r="I234" s="31">
        <v>2</v>
      </c>
      <c r="J234" s="28">
        <v>3</v>
      </c>
      <c r="K234" s="28">
        <v>1</v>
      </c>
      <c r="L234" s="28">
        <v>58</v>
      </c>
      <c r="M234" s="28" t="s">
        <v>43</v>
      </c>
      <c r="N234" s="28" t="s">
        <v>20</v>
      </c>
      <c r="O234" s="33">
        <v>541.70000000000005</v>
      </c>
      <c r="P234" t="s">
        <v>18</v>
      </c>
    </row>
    <row r="235" spans="1:16" hidden="1" x14ac:dyDescent="0.2">
      <c r="A235" t="s">
        <v>11</v>
      </c>
      <c r="B235" s="25">
        <v>45748</v>
      </c>
      <c r="C235">
        <v>0</v>
      </c>
      <c r="D235" s="29">
        <v>262</v>
      </c>
      <c r="E235" s="29">
        <v>131</v>
      </c>
      <c r="F235" s="28">
        <v>0</v>
      </c>
      <c r="G235" s="28">
        <v>2.6100000000000002E-2</v>
      </c>
      <c r="H235" s="31" t="s">
        <v>15</v>
      </c>
      <c r="I235" s="31">
        <v>2</v>
      </c>
      <c r="J235" s="28">
        <v>3</v>
      </c>
      <c r="K235" s="28">
        <v>2</v>
      </c>
      <c r="L235" s="28">
        <v>35</v>
      </c>
      <c r="M235" s="28" t="s">
        <v>46</v>
      </c>
      <c r="N235" s="28" t="s">
        <v>47</v>
      </c>
      <c r="O235" s="33">
        <v>418.7</v>
      </c>
      <c r="P235" t="s">
        <v>18</v>
      </c>
    </row>
    <row r="236" spans="1:16" hidden="1" x14ac:dyDescent="0.2">
      <c r="A236" t="s">
        <v>11</v>
      </c>
      <c r="B236" s="25">
        <v>45748</v>
      </c>
      <c r="C236">
        <v>0</v>
      </c>
      <c r="D236" s="29">
        <v>234</v>
      </c>
      <c r="E236" s="29">
        <v>118</v>
      </c>
      <c r="F236" s="28">
        <v>2.3544999999999998</v>
      </c>
      <c r="G236" s="28">
        <v>1.9599999999999999E-2</v>
      </c>
      <c r="H236" s="31" t="s">
        <v>14</v>
      </c>
      <c r="I236" s="31">
        <v>2</v>
      </c>
      <c r="J236" s="28">
        <v>4</v>
      </c>
      <c r="K236" s="28">
        <v>1</v>
      </c>
      <c r="L236" s="28">
        <v>40</v>
      </c>
      <c r="M236" s="28" t="s">
        <v>44</v>
      </c>
      <c r="N236" s="28" t="s">
        <v>47</v>
      </c>
      <c r="O236" s="33">
        <v>404</v>
      </c>
      <c r="P236" t="s">
        <v>18</v>
      </c>
    </row>
    <row r="237" spans="1:16" hidden="1" x14ac:dyDescent="0.2">
      <c r="A237" t="s">
        <v>11</v>
      </c>
      <c r="B237" s="25">
        <v>45748</v>
      </c>
      <c r="C237">
        <v>0</v>
      </c>
      <c r="D237" s="29">
        <v>235</v>
      </c>
      <c r="E237" s="29">
        <v>118</v>
      </c>
      <c r="F237" s="28">
        <v>2.3544999999999998</v>
      </c>
      <c r="G237" s="28">
        <v>1.9599999999999999E-2</v>
      </c>
      <c r="H237" s="31" t="s">
        <v>14</v>
      </c>
      <c r="I237" s="31">
        <v>2</v>
      </c>
      <c r="J237" s="28">
        <v>4</v>
      </c>
      <c r="K237" s="28">
        <v>2</v>
      </c>
      <c r="L237" s="28">
        <v>42</v>
      </c>
      <c r="M237" s="28" t="s">
        <v>45</v>
      </c>
      <c r="N237" s="28" t="s">
        <v>24</v>
      </c>
      <c r="O237" s="33">
        <v>125.5</v>
      </c>
      <c r="P237" t="s">
        <v>18</v>
      </c>
    </row>
    <row r="238" spans="1:16" hidden="1" x14ac:dyDescent="0.2">
      <c r="A238" t="s">
        <v>11</v>
      </c>
      <c r="B238" s="25">
        <v>45748</v>
      </c>
      <c r="C238">
        <v>0</v>
      </c>
      <c r="D238" s="29">
        <v>240</v>
      </c>
      <c r="E238" s="29">
        <v>119</v>
      </c>
      <c r="F238" s="28">
        <v>13.240500000000001</v>
      </c>
      <c r="G238" s="28">
        <v>0.1101</v>
      </c>
      <c r="H238" s="31" t="s">
        <v>14</v>
      </c>
      <c r="I238" s="31">
        <v>3</v>
      </c>
      <c r="J238" s="28">
        <v>3</v>
      </c>
      <c r="K238" s="28">
        <v>1</v>
      </c>
      <c r="L238" s="28">
        <v>70</v>
      </c>
      <c r="M238" s="28" t="s">
        <v>44</v>
      </c>
      <c r="N238" s="28" t="s">
        <v>19</v>
      </c>
      <c r="O238" s="33">
        <v>549.29999999999995</v>
      </c>
      <c r="P238" t="s">
        <v>18</v>
      </c>
    </row>
    <row r="239" spans="1:16" hidden="1" x14ac:dyDescent="0.2">
      <c r="A239" t="s">
        <v>11</v>
      </c>
      <c r="B239" s="25">
        <v>45748</v>
      </c>
      <c r="C239">
        <v>0</v>
      </c>
      <c r="D239" s="29">
        <v>237</v>
      </c>
      <c r="E239" s="29">
        <v>119</v>
      </c>
      <c r="F239" s="28">
        <v>13.240500000000001</v>
      </c>
      <c r="G239" s="28">
        <v>0.1101</v>
      </c>
      <c r="H239" s="31" t="s">
        <v>14</v>
      </c>
      <c r="I239" s="31">
        <v>3</v>
      </c>
      <c r="J239" s="28">
        <v>3</v>
      </c>
      <c r="K239" s="28">
        <v>2</v>
      </c>
      <c r="L239" s="28">
        <v>59</v>
      </c>
      <c r="M239" s="28" t="s">
        <v>45</v>
      </c>
      <c r="N239" s="28" t="s">
        <v>25</v>
      </c>
      <c r="O239" s="33">
        <v>508.6</v>
      </c>
      <c r="P239" t="s">
        <v>18</v>
      </c>
    </row>
    <row r="240" spans="1:16" hidden="1" x14ac:dyDescent="0.2">
      <c r="A240" t="s">
        <v>11</v>
      </c>
      <c r="B240" s="25">
        <v>45748</v>
      </c>
      <c r="C240">
        <v>0</v>
      </c>
      <c r="D240" s="29">
        <v>238</v>
      </c>
      <c r="E240" s="29">
        <v>120</v>
      </c>
      <c r="F240" s="28">
        <v>13.240500000000001</v>
      </c>
      <c r="G240" s="28">
        <v>0.1101</v>
      </c>
      <c r="H240" s="31" t="s">
        <v>14</v>
      </c>
      <c r="I240" s="31">
        <v>3</v>
      </c>
      <c r="J240" s="28">
        <v>4</v>
      </c>
      <c r="K240" s="28">
        <v>1</v>
      </c>
      <c r="L240" s="28">
        <v>62</v>
      </c>
      <c r="M240" s="28" t="s">
        <v>44</v>
      </c>
      <c r="N240" s="28" t="s">
        <v>25</v>
      </c>
      <c r="O240" s="33">
        <v>410</v>
      </c>
      <c r="P240" t="s">
        <v>18</v>
      </c>
    </row>
    <row r="241" spans="1:16" hidden="1" x14ac:dyDescent="0.2">
      <c r="A241" t="s">
        <v>11</v>
      </c>
      <c r="B241" s="25">
        <v>45748</v>
      </c>
      <c r="C241">
        <v>0</v>
      </c>
      <c r="D241" s="29">
        <v>239</v>
      </c>
      <c r="E241" s="29">
        <v>120</v>
      </c>
      <c r="F241" s="28">
        <v>13.240500000000001</v>
      </c>
      <c r="G241" s="28">
        <v>0.1101</v>
      </c>
      <c r="H241" s="31" t="s">
        <v>14</v>
      </c>
      <c r="I241" s="31">
        <v>3</v>
      </c>
      <c r="J241" s="28">
        <v>4</v>
      </c>
      <c r="K241" s="28">
        <v>2</v>
      </c>
      <c r="L241" s="28">
        <v>62</v>
      </c>
      <c r="M241" s="28" t="s">
        <v>45</v>
      </c>
      <c r="N241" s="28" t="s">
        <v>25</v>
      </c>
      <c r="O241" s="33">
        <v>708.2</v>
      </c>
      <c r="P241" t="s">
        <v>18</v>
      </c>
    </row>
    <row r="242" spans="1:16" hidden="1" x14ac:dyDescent="0.2">
      <c r="A242" t="s">
        <v>11</v>
      </c>
      <c r="B242" s="25">
        <v>45748</v>
      </c>
      <c r="C242">
        <v>0</v>
      </c>
      <c r="D242" s="29">
        <v>241</v>
      </c>
      <c r="E242" s="29">
        <v>121</v>
      </c>
      <c r="F242" s="28">
        <v>23.545200000000001</v>
      </c>
      <c r="G242" s="28">
        <v>0.1958</v>
      </c>
      <c r="H242" s="31" t="s">
        <v>14</v>
      </c>
      <c r="I242" s="31">
        <v>4</v>
      </c>
      <c r="J242" s="28">
        <v>3</v>
      </c>
      <c r="K242" s="28">
        <v>1</v>
      </c>
      <c r="L242" s="28">
        <v>8</v>
      </c>
      <c r="M242" s="28" t="s">
        <v>44</v>
      </c>
      <c r="N242" s="28" t="s">
        <v>21</v>
      </c>
      <c r="O242" s="33">
        <v>342.8</v>
      </c>
      <c r="P242" t="s">
        <v>18</v>
      </c>
    </row>
    <row r="243" spans="1:16" hidden="1" x14ac:dyDescent="0.2">
      <c r="A243" t="s">
        <v>11</v>
      </c>
      <c r="B243" s="25">
        <v>45748</v>
      </c>
      <c r="C243">
        <v>0</v>
      </c>
      <c r="D243" s="29">
        <v>242</v>
      </c>
      <c r="E243" s="29">
        <v>121</v>
      </c>
      <c r="F243" s="28">
        <v>23.545200000000001</v>
      </c>
      <c r="G243" s="28">
        <v>0.1958</v>
      </c>
      <c r="H243" s="31" t="s">
        <v>14</v>
      </c>
      <c r="I243" s="31">
        <v>4</v>
      </c>
      <c r="J243" s="28">
        <v>3</v>
      </c>
      <c r="K243" s="28">
        <v>2</v>
      </c>
      <c r="L243" s="28">
        <v>40</v>
      </c>
      <c r="M243" s="28" t="s">
        <v>45</v>
      </c>
      <c r="N243" s="28" t="s">
        <v>47</v>
      </c>
      <c r="O243" s="33">
        <v>467.9</v>
      </c>
      <c r="P243" t="s">
        <v>18</v>
      </c>
    </row>
    <row r="244" spans="1:16" hidden="1" x14ac:dyDescent="0.2">
      <c r="A244" t="s">
        <v>11</v>
      </c>
      <c r="B244" s="25">
        <v>45748</v>
      </c>
      <c r="C244">
        <v>0</v>
      </c>
      <c r="D244" s="29">
        <v>243</v>
      </c>
      <c r="E244" s="29">
        <v>122</v>
      </c>
      <c r="F244" s="28">
        <v>23.545200000000001</v>
      </c>
      <c r="G244" s="28">
        <v>0.1958</v>
      </c>
      <c r="H244" s="31" t="s">
        <v>14</v>
      </c>
      <c r="I244" s="31">
        <v>4</v>
      </c>
      <c r="J244" s="28">
        <v>4</v>
      </c>
      <c r="K244" s="28">
        <v>1</v>
      </c>
      <c r="L244" s="28">
        <v>51</v>
      </c>
      <c r="M244" s="28" t="s">
        <v>43</v>
      </c>
      <c r="N244" s="28" t="s">
        <v>22</v>
      </c>
      <c r="O244" s="33">
        <v>759.5</v>
      </c>
      <c r="P244" t="s">
        <v>18</v>
      </c>
    </row>
    <row r="245" spans="1:16" hidden="1" x14ac:dyDescent="0.2">
      <c r="A245" t="s">
        <v>11</v>
      </c>
      <c r="B245" s="25">
        <v>45748</v>
      </c>
      <c r="C245">
        <v>0</v>
      </c>
      <c r="D245" s="29">
        <v>244</v>
      </c>
      <c r="E245" s="29">
        <v>122</v>
      </c>
      <c r="F245" s="28">
        <v>23.545200000000001</v>
      </c>
      <c r="G245" s="28">
        <v>0.1958</v>
      </c>
      <c r="H245" s="31" t="s">
        <v>14</v>
      </c>
      <c r="I245" s="31">
        <v>4</v>
      </c>
      <c r="J245" s="28">
        <v>4</v>
      </c>
      <c r="K245" s="28">
        <v>2</v>
      </c>
      <c r="L245" s="28">
        <v>53</v>
      </c>
      <c r="M245" s="28" t="s">
        <v>46</v>
      </c>
      <c r="N245" s="28" t="s">
        <v>22</v>
      </c>
      <c r="O245" s="33">
        <v>293.89999999999998</v>
      </c>
      <c r="P245" t="s">
        <v>18</v>
      </c>
    </row>
    <row r="246" spans="1:16" hidden="1" x14ac:dyDescent="0.2">
      <c r="A246" t="s">
        <v>11</v>
      </c>
      <c r="B246" s="25">
        <v>45748</v>
      </c>
      <c r="C246">
        <v>0</v>
      </c>
      <c r="D246" s="29">
        <v>247</v>
      </c>
      <c r="E246" s="29">
        <v>123</v>
      </c>
      <c r="F246" s="28">
        <v>41.87</v>
      </c>
      <c r="G246" s="28">
        <v>0.34820000000000001</v>
      </c>
      <c r="H246" s="31" t="s">
        <v>14</v>
      </c>
      <c r="I246" s="31">
        <v>5</v>
      </c>
      <c r="J246" s="28">
        <v>3</v>
      </c>
      <c r="K246" s="28">
        <v>1</v>
      </c>
      <c r="L246" s="28">
        <v>68</v>
      </c>
      <c r="M246" s="28" t="s">
        <v>44</v>
      </c>
      <c r="N246" s="28" t="s">
        <v>19</v>
      </c>
      <c r="O246" s="33">
        <v>423.8</v>
      </c>
      <c r="P246" t="s">
        <v>18</v>
      </c>
    </row>
    <row r="247" spans="1:16" x14ac:dyDescent="0.2">
      <c r="A247" t="s">
        <v>11</v>
      </c>
      <c r="B247" s="25">
        <v>45748</v>
      </c>
      <c r="C247">
        <v>0</v>
      </c>
      <c r="D247" s="29">
        <v>248</v>
      </c>
      <c r="E247" s="29">
        <v>123</v>
      </c>
      <c r="F247" s="28">
        <v>41.87</v>
      </c>
      <c r="G247" s="28">
        <v>0.34820000000000001</v>
      </c>
      <c r="H247" s="31" t="s">
        <v>14</v>
      </c>
      <c r="I247" s="31">
        <v>5</v>
      </c>
      <c r="J247" s="28">
        <v>3</v>
      </c>
      <c r="K247" s="28">
        <v>2</v>
      </c>
      <c r="L247" s="28">
        <v>75</v>
      </c>
      <c r="M247" s="28" t="s">
        <v>45</v>
      </c>
      <c r="N247" s="28" t="s">
        <v>24</v>
      </c>
      <c r="O247" s="33">
        <v>753</v>
      </c>
      <c r="P247" t="s">
        <v>18</v>
      </c>
    </row>
    <row r="248" spans="1:16" hidden="1" x14ac:dyDescent="0.2">
      <c r="A248" t="s">
        <v>11</v>
      </c>
      <c r="B248" s="25">
        <v>45748</v>
      </c>
      <c r="C248">
        <v>0</v>
      </c>
      <c r="D248" s="29">
        <v>246</v>
      </c>
      <c r="E248" s="29">
        <v>124</v>
      </c>
      <c r="F248" s="28">
        <v>41.87</v>
      </c>
      <c r="G248" s="28">
        <v>0.34820000000000001</v>
      </c>
      <c r="H248" s="31" t="s">
        <v>14</v>
      </c>
      <c r="I248" s="31">
        <v>5</v>
      </c>
      <c r="J248" s="28">
        <v>4</v>
      </c>
      <c r="K248" s="28">
        <v>1</v>
      </c>
      <c r="L248" s="28">
        <v>25</v>
      </c>
      <c r="M248" s="28" t="s">
        <v>44</v>
      </c>
      <c r="N248" s="28" t="s">
        <v>32</v>
      </c>
      <c r="O248" s="33">
        <v>554.5</v>
      </c>
      <c r="P248" t="s">
        <v>18</v>
      </c>
    </row>
    <row r="249" spans="1:16" hidden="1" x14ac:dyDescent="0.2">
      <c r="A249" t="s">
        <v>11</v>
      </c>
      <c r="B249" s="25">
        <v>45748</v>
      </c>
      <c r="C249">
        <v>0</v>
      </c>
      <c r="D249" s="29">
        <v>245</v>
      </c>
      <c r="E249" s="29">
        <v>124</v>
      </c>
      <c r="F249" s="28">
        <v>41.87</v>
      </c>
      <c r="G249" s="28">
        <v>0.34820000000000001</v>
      </c>
      <c r="H249" s="31" t="s">
        <v>14</v>
      </c>
      <c r="I249" s="31">
        <v>5</v>
      </c>
      <c r="J249" s="28">
        <v>4</v>
      </c>
      <c r="K249" s="28">
        <v>2</v>
      </c>
      <c r="L249" s="28">
        <v>19</v>
      </c>
      <c r="M249" s="28" t="s">
        <v>45</v>
      </c>
      <c r="N249" s="28" t="s">
        <v>21</v>
      </c>
      <c r="O249" s="33">
        <v>354.2</v>
      </c>
      <c r="P249" t="s">
        <v>18</v>
      </c>
    </row>
    <row r="250" spans="1:16" hidden="1" x14ac:dyDescent="0.2">
      <c r="A250" t="s">
        <v>11</v>
      </c>
      <c r="B250" s="25">
        <v>45748</v>
      </c>
      <c r="C250">
        <v>0</v>
      </c>
      <c r="D250" s="29">
        <v>251</v>
      </c>
      <c r="E250" s="29">
        <v>125</v>
      </c>
      <c r="F250" s="28">
        <v>74.456599999999995</v>
      </c>
      <c r="G250" s="28">
        <v>0.61919999999999997</v>
      </c>
      <c r="H250" s="31" t="s">
        <v>14</v>
      </c>
      <c r="I250" s="31">
        <v>6</v>
      </c>
      <c r="J250" s="28">
        <v>3</v>
      </c>
      <c r="K250" s="28">
        <v>1</v>
      </c>
      <c r="L250" s="28">
        <v>62</v>
      </c>
      <c r="M250" s="28" t="s">
        <v>43</v>
      </c>
      <c r="N250" s="28" t="s">
        <v>25</v>
      </c>
      <c r="O250" s="33">
        <v>815.3</v>
      </c>
      <c r="P250" t="s">
        <v>18</v>
      </c>
    </row>
    <row r="251" spans="1:16" hidden="1" x14ac:dyDescent="0.2">
      <c r="A251" t="s">
        <v>11</v>
      </c>
      <c r="B251" s="25">
        <v>45748</v>
      </c>
      <c r="C251">
        <v>0</v>
      </c>
      <c r="D251" s="29">
        <v>252</v>
      </c>
      <c r="E251" s="29">
        <v>125</v>
      </c>
      <c r="F251" s="28">
        <v>74.456599999999995</v>
      </c>
      <c r="G251" s="28">
        <v>0.61919999999999997</v>
      </c>
      <c r="H251" s="31" t="s">
        <v>14</v>
      </c>
      <c r="I251" s="31">
        <v>6</v>
      </c>
      <c r="J251" s="28">
        <v>3</v>
      </c>
      <c r="K251" s="28">
        <v>2</v>
      </c>
      <c r="L251" s="28">
        <v>62</v>
      </c>
      <c r="M251" s="28" t="s">
        <v>46</v>
      </c>
      <c r="N251" s="28" t="s">
        <v>25</v>
      </c>
      <c r="O251" s="33">
        <v>455.5</v>
      </c>
      <c r="P251" t="s">
        <v>18</v>
      </c>
    </row>
    <row r="252" spans="1:16" hidden="1" x14ac:dyDescent="0.2">
      <c r="A252" t="s">
        <v>11</v>
      </c>
      <c r="B252" s="25">
        <v>45748</v>
      </c>
      <c r="C252">
        <v>0</v>
      </c>
      <c r="D252" s="29">
        <v>249</v>
      </c>
      <c r="E252" s="29">
        <v>126</v>
      </c>
      <c r="F252" s="28">
        <v>74.456599999999995</v>
      </c>
      <c r="G252" s="28">
        <v>0.61919999999999997</v>
      </c>
      <c r="H252" s="31" t="s">
        <v>14</v>
      </c>
      <c r="I252" s="31">
        <v>6</v>
      </c>
      <c r="J252" s="28">
        <v>4</v>
      </c>
      <c r="K252" s="28">
        <v>1</v>
      </c>
      <c r="L252" s="28">
        <v>22</v>
      </c>
      <c r="M252" s="28" t="s">
        <v>44</v>
      </c>
      <c r="N252" s="28" t="s">
        <v>32</v>
      </c>
      <c r="O252" s="33">
        <v>664.6</v>
      </c>
      <c r="P252" t="s">
        <v>18</v>
      </c>
    </row>
    <row r="253" spans="1:16" hidden="1" x14ac:dyDescent="0.2">
      <c r="A253" t="s">
        <v>11</v>
      </c>
      <c r="B253" s="25">
        <v>45748</v>
      </c>
      <c r="C253">
        <v>0</v>
      </c>
      <c r="D253" s="29">
        <v>250</v>
      </c>
      <c r="E253" s="29">
        <v>126</v>
      </c>
      <c r="F253" s="28">
        <v>74.456599999999995</v>
      </c>
      <c r="G253" s="28">
        <v>0.61919999999999997</v>
      </c>
      <c r="H253" s="31" t="s">
        <v>14</v>
      </c>
      <c r="I253" s="31">
        <v>6</v>
      </c>
      <c r="J253" s="28">
        <v>4</v>
      </c>
      <c r="K253" s="28">
        <v>2</v>
      </c>
      <c r="L253" s="28">
        <v>25</v>
      </c>
      <c r="M253" s="28" t="s">
        <v>45</v>
      </c>
      <c r="N253" s="28" t="s">
        <v>32</v>
      </c>
      <c r="O253" s="33">
        <v>564.79999999999995</v>
      </c>
      <c r="P253" t="s">
        <v>18</v>
      </c>
    </row>
    <row r="254" spans="1:16" hidden="1" x14ac:dyDescent="0.2">
      <c r="A254" t="s">
        <v>11</v>
      </c>
      <c r="B254" s="25">
        <v>45748</v>
      </c>
      <c r="C254">
        <v>0</v>
      </c>
      <c r="D254" s="29">
        <v>256</v>
      </c>
      <c r="E254" s="29">
        <v>127</v>
      </c>
      <c r="F254" s="28">
        <v>132.40469999999999</v>
      </c>
      <c r="G254" s="28">
        <v>1.1012</v>
      </c>
      <c r="H254" s="31" t="s">
        <v>14</v>
      </c>
      <c r="I254" s="31">
        <v>7</v>
      </c>
      <c r="J254" s="28">
        <v>3</v>
      </c>
      <c r="K254" s="28">
        <v>1</v>
      </c>
      <c r="L254" s="28">
        <v>76</v>
      </c>
      <c r="M254" s="28" t="s">
        <v>43</v>
      </c>
      <c r="N254" s="28" t="s">
        <v>25</v>
      </c>
      <c r="O254" s="33">
        <v>351.7</v>
      </c>
      <c r="P254" t="s">
        <v>18</v>
      </c>
    </row>
    <row r="255" spans="1:16" hidden="1" x14ac:dyDescent="0.2">
      <c r="A255" t="s">
        <v>11</v>
      </c>
      <c r="B255" s="25">
        <v>45748</v>
      </c>
      <c r="C255">
        <v>0</v>
      </c>
      <c r="D255" s="29">
        <v>253</v>
      </c>
      <c r="E255" s="29">
        <v>127</v>
      </c>
      <c r="F255" s="28">
        <v>132.40469999999999</v>
      </c>
      <c r="G255" s="28">
        <v>1.1012</v>
      </c>
      <c r="H255" s="31" t="s">
        <v>14</v>
      </c>
      <c r="I255" s="31">
        <v>7</v>
      </c>
      <c r="J255" s="28">
        <v>3</v>
      </c>
      <c r="K255" s="28">
        <v>2</v>
      </c>
      <c r="L255" s="28">
        <v>11</v>
      </c>
      <c r="M255" s="28" t="s">
        <v>46</v>
      </c>
      <c r="N255" s="28" t="s">
        <v>21</v>
      </c>
      <c r="O255" s="33">
        <v>784.5</v>
      </c>
      <c r="P255" t="s">
        <v>18</v>
      </c>
    </row>
    <row r="256" spans="1:16" hidden="1" x14ac:dyDescent="0.2">
      <c r="A256" t="s">
        <v>11</v>
      </c>
      <c r="B256" s="25">
        <v>45748</v>
      </c>
      <c r="C256">
        <v>0</v>
      </c>
      <c r="D256" s="29">
        <v>254</v>
      </c>
      <c r="E256" s="29">
        <v>128</v>
      </c>
      <c r="F256" s="28">
        <v>132.40469999999999</v>
      </c>
      <c r="G256" s="28">
        <v>1.1012</v>
      </c>
      <c r="H256" s="31" t="s">
        <v>14</v>
      </c>
      <c r="I256" s="31">
        <v>7</v>
      </c>
      <c r="J256" s="28">
        <v>4</v>
      </c>
      <c r="K256" s="28">
        <v>1</v>
      </c>
      <c r="L256" s="28">
        <v>12</v>
      </c>
      <c r="M256" s="28" t="s">
        <v>44</v>
      </c>
      <c r="N256" s="28" t="s">
        <v>21</v>
      </c>
      <c r="O256" s="33">
        <v>781</v>
      </c>
      <c r="P256" t="s">
        <v>18</v>
      </c>
    </row>
    <row r="257" spans="1:16" hidden="1" x14ac:dyDescent="0.2">
      <c r="A257" t="s">
        <v>11</v>
      </c>
      <c r="B257" s="25">
        <v>45748</v>
      </c>
      <c r="C257">
        <v>0</v>
      </c>
      <c r="D257" s="29">
        <v>255</v>
      </c>
      <c r="E257" s="29">
        <v>128</v>
      </c>
      <c r="F257" s="28">
        <v>132.40469999999999</v>
      </c>
      <c r="G257" s="28">
        <v>1.1012</v>
      </c>
      <c r="H257" s="31" t="s">
        <v>14</v>
      </c>
      <c r="I257" s="31">
        <v>7</v>
      </c>
      <c r="J257" s="28">
        <v>4</v>
      </c>
      <c r="K257" s="28">
        <v>2</v>
      </c>
      <c r="L257" s="28">
        <v>16</v>
      </c>
      <c r="M257" s="28" t="s">
        <v>45</v>
      </c>
      <c r="N257" s="28" t="s">
        <v>21</v>
      </c>
      <c r="O257" s="33">
        <v>431.5</v>
      </c>
      <c r="P257" t="s">
        <v>18</v>
      </c>
    </row>
    <row r="258" spans="1:16" hidden="1" x14ac:dyDescent="0.2">
      <c r="A258" t="s">
        <v>11</v>
      </c>
      <c r="B258" s="25">
        <v>45748</v>
      </c>
      <c r="C258">
        <v>0</v>
      </c>
      <c r="D258" s="29">
        <v>260</v>
      </c>
      <c r="E258" s="29">
        <v>129</v>
      </c>
      <c r="F258" s="28">
        <v>0</v>
      </c>
      <c r="G258" s="28">
        <v>2.5999999999999999E-3</v>
      </c>
      <c r="H258" s="31" t="s">
        <v>15</v>
      </c>
      <c r="I258" s="31">
        <v>1</v>
      </c>
      <c r="J258" s="28">
        <v>3</v>
      </c>
      <c r="K258" s="28">
        <v>1</v>
      </c>
      <c r="L258" s="28">
        <v>75</v>
      </c>
      <c r="M258" s="28" t="s">
        <v>43</v>
      </c>
      <c r="N258" s="28" t="s">
        <v>24</v>
      </c>
      <c r="O258" s="33">
        <v>603</v>
      </c>
      <c r="P258" t="s">
        <v>18</v>
      </c>
    </row>
    <row r="259" spans="1:16" hidden="1" x14ac:dyDescent="0.2">
      <c r="A259" t="s">
        <v>11</v>
      </c>
      <c r="B259" s="25">
        <v>45748</v>
      </c>
      <c r="C259">
        <v>0</v>
      </c>
      <c r="D259" s="29">
        <v>257</v>
      </c>
      <c r="E259" s="29">
        <v>129</v>
      </c>
      <c r="F259" s="28">
        <v>0</v>
      </c>
      <c r="G259" s="28">
        <v>2.5999999999999999E-3</v>
      </c>
      <c r="H259" s="31" t="s">
        <v>15</v>
      </c>
      <c r="I259" s="31">
        <v>1</v>
      </c>
      <c r="J259" s="28">
        <v>3</v>
      </c>
      <c r="K259" s="28">
        <v>2</v>
      </c>
      <c r="L259" s="28">
        <v>7</v>
      </c>
      <c r="M259" s="28" t="s">
        <v>46</v>
      </c>
      <c r="N259" s="28" t="s">
        <v>19</v>
      </c>
      <c r="O259" s="33">
        <v>300.39999999999998</v>
      </c>
      <c r="P259" t="s">
        <v>18</v>
      </c>
    </row>
    <row r="260" spans="1:16" hidden="1" x14ac:dyDescent="0.2">
      <c r="A260" t="s">
        <v>11</v>
      </c>
      <c r="B260" s="25">
        <v>45748</v>
      </c>
      <c r="C260">
        <v>0</v>
      </c>
      <c r="D260" s="29">
        <v>258</v>
      </c>
      <c r="E260" s="29">
        <v>130</v>
      </c>
      <c r="F260" s="28">
        <v>0</v>
      </c>
      <c r="G260" s="28">
        <v>2.5999999999999999E-3</v>
      </c>
      <c r="H260" s="31" t="s">
        <v>15</v>
      </c>
      <c r="I260" s="31">
        <v>1</v>
      </c>
      <c r="J260" s="28">
        <v>4</v>
      </c>
      <c r="K260" s="28">
        <v>1</v>
      </c>
      <c r="L260" s="28">
        <v>30</v>
      </c>
      <c r="M260" s="28" t="s">
        <v>43</v>
      </c>
      <c r="N260" s="28" t="s">
        <v>32</v>
      </c>
      <c r="O260" s="33">
        <v>501.6</v>
      </c>
      <c r="P260" t="s">
        <v>18</v>
      </c>
    </row>
    <row r="261" spans="1:16" hidden="1" x14ac:dyDescent="0.2">
      <c r="A261" t="s">
        <v>11</v>
      </c>
      <c r="B261" s="25">
        <v>45748</v>
      </c>
      <c r="C261">
        <v>0</v>
      </c>
      <c r="D261" s="29">
        <v>259</v>
      </c>
      <c r="E261" s="29">
        <v>130</v>
      </c>
      <c r="F261" s="28">
        <v>0</v>
      </c>
      <c r="G261" s="28">
        <v>2.5999999999999999E-3</v>
      </c>
      <c r="H261" s="31" t="s">
        <v>15</v>
      </c>
      <c r="I261" s="31">
        <v>1</v>
      </c>
      <c r="J261" s="28">
        <v>4</v>
      </c>
      <c r="K261" s="28">
        <v>2</v>
      </c>
      <c r="L261" s="28">
        <v>49</v>
      </c>
      <c r="M261" s="28" t="s">
        <v>46</v>
      </c>
      <c r="N261" s="28" t="s">
        <v>48</v>
      </c>
      <c r="O261" s="33">
        <v>263.89999999999998</v>
      </c>
      <c r="P261" t="s">
        <v>18</v>
      </c>
    </row>
    <row r="262" spans="1:16" hidden="1" x14ac:dyDescent="0.2">
      <c r="A262" t="s">
        <v>37</v>
      </c>
      <c r="B262" s="25">
        <v>45742</v>
      </c>
      <c r="C262" s="29">
        <v>0</v>
      </c>
      <c r="D262" s="29">
        <v>141</v>
      </c>
      <c r="E262" s="29">
        <v>71</v>
      </c>
      <c r="F262" s="28">
        <v>0</v>
      </c>
      <c r="G262" s="28">
        <v>0</v>
      </c>
      <c r="H262" s="31" t="s">
        <v>16</v>
      </c>
      <c r="I262" s="31">
        <v>0</v>
      </c>
      <c r="J262" s="28">
        <v>1</v>
      </c>
      <c r="K262" s="28">
        <v>1</v>
      </c>
      <c r="L262" s="28">
        <v>23</v>
      </c>
      <c r="M262" s="28" t="s">
        <v>44</v>
      </c>
      <c r="N262" s="28" t="s">
        <v>32</v>
      </c>
      <c r="O262" s="33">
        <v>507.5</v>
      </c>
      <c r="P262" t="s">
        <v>18</v>
      </c>
    </row>
    <row r="263" spans="1:16" hidden="1" x14ac:dyDescent="0.2">
      <c r="A263" t="s">
        <v>37</v>
      </c>
      <c r="B263" s="25">
        <v>45742</v>
      </c>
      <c r="C263" s="29">
        <v>0</v>
      </c>
      <c r="D263" s="29">
        <v>142</v>
      </c>
      <c r="E263" s="29">
        <v>71</v>
      </c>
      <c r="F263" s="28">
        <v>0</v>
      </c>
      <c r="G263" s="28">
        <v>0</v>
      </c>
      <c r="H263" s="31" t="s">
        <v>16</v>
      </c>
      <c r="I263" s="31">
        <v>0</v>
      </c>
      <c r="J263" s="28">
        <v>1</v>
      </c>
      <c r="K263" s="28">
        <v>2</v>
      </c>
      <c r="L263" s="28">
        <v>4</v>
      </c>
      <c r="M263" s="28" t="s">
        <v>45</v>
      </c>
      <c r="N263" s="28" t="s">
        <v>19</v>
      </c>
      <c r="O263" s="33">
        <v>308</v>
      </c>
      <c r="P263" t="s">
        <v>18</v>
      </c>
    </row>
    <row r="264" spans="1:16" hidden="1" x14ac:dyDescent="0.2">
      <c r="A264" t="s">
        <v>11</v>
      </c>
      <c r="B264" s="25">
        <v>45748</v>
      </c>
      <c r="C264">
        <v>0</v>
      </c>
      <c r="D264" s="29">
        <v>261</v>
      </c>
      <c r="E264" s="29">
        <v>132</v>
      </c>
      <c r="F264" s="28">
        <v>0</v>
      </c>
      <c r="G264" s="28">
        <v>2.6100000000000002E-2</v>
      </c>
      <c r="H264" s="31" t="s">
        <v>15</v>
      </c>
      <c r="I264" s="31">
        <v>2</v>
      </c>
      <c r="J264" s="28">
        <v>4</v>
      </c>
      <c r="K264" s="28">
        <v>1</v>
      </c>
      <c r="L264" s="28">
        <v>24</v>
      </c>
      <c r="M264" s="28" t="s">
        <v>43</v>
      </c>
      <c r="N264" s="28" t="s">
        <v>32</v>
      </c>
      <c r="O264" s="33">
        <v>361.5</v>
      </c>
      <c r="P264" t="s">
        <v>18</v>
      </c>
    </row>
    <row r="265" spans="1:16" hidden="1" x14ac:dyDescent="0.2">
      <c r="A265" t="s">
        <v>11</v>
      </c>
      <c r="B265" s="25">
        <v>45748</v>
      </c>
      <c r="C265">
        <v>0</v>
      </c>
      <c r="D265" s="29">
        <v>264</v>
      </c>
      <c r="E265" s="29">
        <v>132</v>
      </c>
      <c r="F265" s="28">
        <v>0</v>
      </c>
      <c r="G265" s="28">
        <v>2.6100000000000002E-2</v>
      </c>
      <c r="H265" s="31" t="s">
        <v>15</v>
      </c>
      <c r="I265" s="31">
        <v>2</v>
      </c>
      <c r="J265" s="28">
        <v>4</v>
      </c>
      <c r="K265" s="28">
        <v>2</v>
      </c>
      <c r="L265" s="28">
        <v>58</v>
      </c>
      <c r="M265" s="28" t="s">
        <v>46</v>
      </c>
      <c r="N265" s="28" t="s">
        <v>20</v>
      </c>
      <c r="O265" s="33">
        <v>418.7</v>
      </c>
      <c r="P265" t="s">
        <v>18</v>
      </c>
    </row>
    <row r="266" spans="1:16" hidden="1" x14ac:dyDescent="0.2">
      <c r="A266" t="s">
        <v>11</v>
      </c>
      <c r="B266" s="25">
        <v>45748</v>
      </c>
      <c r="C266">
        <v>0</v>
      </c>
      <c r="D266" s="29">
        <v>267</v>
      </c>
      <c r="E266" s="29">
        <v>133</v>
      </c>
      <c r="F266" s="28">
        <v>0</v>
      </c>
      <c r="G266" s="28">
        <v>0.14680000000000001</v>
      </c>
      <c r="H266" s="31" t="s">
        <v>15</v>
      </c>
      <c r="I266" s="31">
        <v>3</v>
      </c>
      <c r="J266" s="28">
        <v>3</v>
      </c>
      <c r="K266" s="28">
        <v>1</v>
      </c>
      <c r="L266" s="28">
        <v>57</v>
      </c>
      <c r="M266" s="28" t="s">
        <v>43</v>
      </c>
      <c r="N266" s="28" t="s">
        <v>20</v>
      </c>
      <c r="O266" s="33">
        <v>645</v>
      </c>
      <c r="P266" t="s">
        <v>18</v>
      </c>
    </row>
    <row r="267" spans="1:16" hidden="1" x14ac:dyDescent="0.2">
      <c r="A267" t="s">
        <v>11</v>
      </c>
      <c r="B267" s="25">
        <v>45748</v>
      </c>
      <c r="C267">
        <v>0</v>
      </c>
      <c r="D267" s="29">
        <v>268</v>
      </c>
      <c r="E267" s="29">
        <v>133</v>
      </c>
      <c r="F267" s="28">
        <v>0</v>
      </c>
      <c r="G267" s="28">
        <v>0.14680000000000001</v>
      </c>
      <c r="H267" s="31" t="s">
        <v>15</v>
      </c>
      <c r="I267" s="31">
        <v>3</v>
      </c>
      <c r="J267" s="28">
        <v>3</v>
      </c>
      <c r="K267" s="28">
        <v>2</v>
      </c>
      <c r="L267" s="28">
        <v>76</v>
      </c>
      <c r="M267" s="28" t="s">
        <v>46</v>
      </c>
      <c r="N267" s="28" t="s">
        <v>25</v>
      </c>
      <c r="O267" s="33">
        <v>462.4</v>
      </c>
      <c r="P267" t="s">
        <v>18</v>
      </c>
    </row>
    <row r="268" spans="1:16" hidden="1" x14ac:dyDescent="0.2">
      <c r="A268" t="s">
        <v>11</v>
      </c>
      <c r="B268" s="25">
        <v>45748</v>
      </c>
      <c r="C268">
        <v>0</v>
      </c>
      <c r="D268" s="29">
        <v>265</v>
      </c>
      <c r="E268" s="29">
        <v>134</v>
      </c>
      <c r="F268" s="28">
        <v>0</v>
      </c>
      <c r="G268" s="28">
        <v>0.14680000000000001</v>
      </c>
      <c r="H268" s="31" t="s">
        <v>15</v>
      </c>
      <c r="I268" s="31">
        <v>3</v>
      </c>
      <c r="J268" s="28">
        <v>4</v>
      </c>
      <c r="K268" s="28">
        <v>1</v>
      </c>
      <c r="L268" s="28">
        <v>41</v>
      </c>
      <c r="M268" s="28" t="s">
        <v>44</v>
      </c>
      <c r="N268" s="28" t="s">
        <v>24</v>
      </c>
      <c r="O268" s="33">
        <v>471.3</v>
      </c>
      <c r="P268" t="s">
        <v>18</v>
      </c>
    </row>
    <row r="269" spans="1:16" hidden="1" x14ac:dyDescent="0.2">
      <c r="A269" t="s">
        <v>11</v>
      </c>
      <c r="B269" s="25">
        <v>45748</v>
      </c>
      <c r="C269">
        <v>0</v>
      </c>
      <c r="D269" s="29">
        <v>266</v>
      </c>
      <c r="E269" s="29">
        <v>134</v>
      </c>
      <c r="F269" s="28">
        <v>0</v>
      </c>
      <c r="G269" s="28">
        <v>0.14680000000000001</v>
      </c>
      <c r="H269" s="31" t="s">
        <v>15</v>
      </c>
      <c r="I269" s="31">
        <v>3</v>
      </c>
      <c r="J269" s="28">
        <v>4</v>
      </c>
      <c r="K269" s="28">
        <v>2</v>
      </c>
      <c r="L269" s="28">
        <v>56</v>
      </c>
      <c r="M269" s="28" t="s">
        <v>45</v>
      </c>
      <c r="N269" s="28" t="s">
        <v>20</v>
      </c>
      <c r="O269" s="33">
        <v>526.29999999999995</v>
      </c>
      <c r="P269" t="s">
        <v>18</v>
      </c>
    </row>
    <row r="270" spans="1:16" hidden="1" x14ac:dyDescent="0.2">
      <c r="A270" t="s">
        <v>11</v>
      </c>
      <c r="B270" s="25">
        <v>45748</v>
      </c>
      <c r="C270">
        <v>0</v>
      </c>
      <c r="D270" s="29">
        <v>269</v>
      </c>
      <c r="E270" s="29">
        <v>135</v>
      </c>
      <c r="F270" s="28">
        <v>0</v>
      </c>
      <c r="G270" s="28">
        <v>0.2611</v>
      </c>
      <c r="H270" s="31" t="s">
        <v>15</v>
      </c>
      <c r="I270" s="31">
        <v>4</v>
      </c>
      <c r="J270" s="28">
        <v>3</v>
      </c>
      <c r="K270" s="28">
        <v>1</v>
      </c>
      <c r="L270" s="28">
        <v>27</v>
      </c>
      <c r="M270" s="28" t="s">
        <v>44</v>
      </c>
      <c r="N270" s="28" t="s">
        <v>32</v>
      </c>
      <c r="O270" s="33">
        <v>382.4</v>
      </c>
      <c r="P270" t="s">
        <v>18</v>
      </c>
    </row>
    <row r="271" spans="1:16" hidden="1" x14ac:dyDescent="0.2">
      <c r="A271" t="s">
        <v>11</v>
      </c>
      <c r="B271" s="25">
        <v>45748</v>
      </c>
      <c r="C271">
        <v>0</v>
      </c>
      <c r="D271" s="29">
        <v>271</v>
      </c>
      <c r="E271" s="29">
        <v>135</v>
      </c>
      <c r="F271" s="28">
        <v>0</v>
      </c>
      <c r="G271" s="28">
        <v>0.2611</v>
      </c>
      <c r="H271" s="31" t="s">
        <v>15</v>
      </c>
      <c r="I271" s="31">
        <v>4</v>
      </c>
      <c r="J271" s="28">
        <v>3</v>
      </c>
      <c r="K271" s="28">
        <v>2</v>
      </c>
      <c r="L271" s="28">
        <v>51</v>
      </c>
      <c r="M271" s="28" t="s">
        <v>45</v>
      </c>
      <c r="N271" s="28" t="s">
        <v>22</v>
      </c>
      <c r="O271" s="33">
        <v>502.6</v>
      </c>
      <c r="P271" t="s">
        <v>18</v>
      </c>
    </row>
    <row r="272" spans="1:16" hidden="1" x14ac:dyDescent="0.2">
      <c r="A272" t="s">
        <v>11</v>
      </c>
      <c r="B272" s="25">
        <v>45748</v>
      </c>
      <c r="C272">
        <v>0</v>
      </c>
      <c r="D272" s="29">
        <v>270</v>
      </c>
      <c r="E272" s="29">
        <v>136</v>
      </c>
      <c r="F272" s="28">
        <v>0</v>
      </c>
      <c r="G272" s="28">
        <v>0.2611</v>
      </c>
      <c r="H272" s="31" t="s">
        <v>15</v>
      </c>
      <c r="I272" s="31">
        <v>4</v>
      </c>
      <c r="J272" s="28">
        <v>4</v>
      </c>
      <c r="K272" s="28">
        <v>1</v>
      </c>
      <c r="L272" s="28">
        <v>33</v>
      </c>
      <c r="M272" s="28" t="s">
        <v>43</v>
      </c>
      <c r="N272" s="28" t="s">
        <v>47</v>
      </c>
      <c r="O272" s="33">
        <v>527.6</v>
      </c>
      <c r="P272" t="s">
        <v>18</v>
      </c>
    </row>
    <row r="273" spans="1:16" hidden="1" x14ac:dyDescent="0.2">
      <c r="A273" t="s">
        <v>11</v>
      </c>
      <c r="B273" s="25">
        <v>45748</v>
      </c>
      <c r="C273">
        <v>0</v>
      </c>
      <c r="D273" s="29">
        <v>272</v>
      </c>
      <c r="E273" s="29">
        <v>136</v>
      </c>
      <c r="F273" s="28">
        <v>0</v>
      </c>
      <c r="G273" s="28">
        <v>0.2611</v>
      </c>
      <c r="H273" s="31" t="s">
        <v>15</v>
      </c>
      <c r="I273" s="31">
        <v>4</v>
      </c>
      <c r="J273" s="28">
        <v>4</v>
      </c>
      <c r="K273" s="28">
        <v>2</v>
      </c>
      <c r="L273" s="28">
        <v>68</v>
      </c>
      <c r="M273" s="28" t="s">
        <v>46</v>
      </c>
      <c r="N273" s="28" t="s">
        <v>19</v>
      </c>
      <c r="O273" s="33">
        <v>481</v>
      </c>
      <c r="P273" t="s">
        <v>18</v>
      </c>
    </row>
    <row r="274" spans="1:16" hidden="1" x14ac:dyDescent="0.2">
      <c r="A274" t="s">
        <v>11</v>
      </c>
      <c r="B274" s="25">
        <v>45748</v>
      </c>
      <c r="C274">
        <v>0</v>
      </c>
      <c r="D274" s="29">
        <v>273</v>
      </c>
      <c r="E274" s="29">
        <v>137</v>
      </c>
      <c r="F274" s="28">
        <v>0</v>
      </c>
      <c r="G274" s="28">
        <v>0.46429999999999999</v>
      </c>
      <c r="H274" s="31" t="s">
        <v>15</v>
      </c>
      <c r="I274" s="31">
        <v>5</v>
      </c>
      <c r="J274" s="28">
        <v>3</v>
      </c>
      <c r="K274" s="28">
        <v>1</v>
      </c>
      <c r="L274" s="28">
        <v>15</v>
      </c>
      <c r="M274" s="28" t="s">
        <v>43</v>
      </c>
      <c r="N274" s="28" t="s">
        <v>21</v>
      </c>
      <c r="O274" s="33">
        <v>359.4</v>
      </c>
      <c r="P274" t="s">
        <v>18</v>
      </c>
    </row>
    <row r="275" spans="1:16" x14ac:dyDescent="0.2">
      <c r="A275" t="s">
        <v>11</v>
      </c>
      <c r="B275" s="25">
        <v>45748</v>
      </c>
      <c r="C275">
        <v>0</v>
      </c>
      <c r="D275" s="29">
        <v>274</v>
      </c>
      <c r="E275" s="29">
        <v>137</v>
      </c>
      <c r="F275" s="28">
        <v>0</v>
      </c>
      <c r="G275" s="28">
        <v>0.46429999999999999</v>
      </c>
      <c r="H275" s="31" t="s">
        <v>15</v>
      </c>
      <c r="I275" s="31">
        <v>5</v>
      </c>
      <c r="J275" s="28">
        <v>3</v>
      </c>
      <c r="K275" s="28">
        <v>2</v>
      </c>
      <c r="L275" s="28">
        <v>15</v>
      </c>
      <c r="M275" s="28" t="s">
        <v>46</v>
      </c>
      <c r="N275" s="28" t="s">
        <v>21</v>
      </c>
      <c r="O275" s="33">
        <v>505.8</v>
      </c>
      <c r="P275" t="s">
        <v>18</v>
      </c>
    </row>
    <row r="276" spans="1:16" hidden="1" x14ac:dyDescent="0.2">
      <c r="A276" t="s">
        <v>11</v>
      </c>
      <c r="B276" s="25">
        <v>45748</v>
      </c>
      <c r="C276">
        <v>0</v>
      </c>
      <c r="D276" s="29">
        <v>276</v>
      </c>
      <c r="E276" s="29">
        <v>138</v>
      </c>
      <c r="F276" s="28">
        <v>0</v>
      </c>
      <c r="G276" s="28">
        <v>0.46429999999999999</v>
      </c>
      <c r="H276" s="31" t="s">
        <v>15</v>
      </c>
      <c r="I276" s="31">
        <v>5</v>
      </c>
      <c r="J276" s="28">
        <v>4</v>
      </c>
      <c r="K276" s="28">
        <v>1</v>
      </c>
      <c r="L276" s="28">
        <v>25</v>
      </c>
      <c r="M276" s="28" t="s">
        <v>43</v>
      </c>
      <c r="N276" s="28" t="s">
        <v>32</v>
      </c>
      <c r="O276" s="33">
        <v>433.4</v>
      </c>
      <c r="P276" t="s">
        <v>18</v>
      </c>
    </row>
    <row r="277" spans="1:16" hidden="1" x14ac:dyDescent="0.2">
      <c r="A277" t="s">
        <v>11</v>
      </c>
      <c r="B277" s="25">
        <v>45748</v>
      </c>
      <c r="C277">
        <v>0</v>
      </c>
      <c r="D277" s="29">
        <v>275</v>
      </c>
      <c r="E277" s="29">
        <v>138</v>
      </c>
      <c r="F277" s="28">
        <v>0</v>
      </c>
      <c r="G277" s="28">
        <v>0.46429999999999999</v>
      </c>
      <c r="H277" s="31" t="s">
        <v>15</v>
      </c>
      <c r="I277" s="31">
        <v>5</v>
      </c>
      <c r="J277" s="28">
        <v>4</v>
      </c>
      <c r="K277" s="28">
        <v>2</v>
      </c>
      <c r="L277" s="28">
        <v>19</v>
      </c>
      <c r="M277" s="28" t="s">
        <v>46</v>
      </c>
      <c r="N277" s="28" t="s">
        <v>21</v>
      </c>
      <c r="O277" s="33">
        <v>360.5</v>
      </c>
      <c r="P277" t="s">
        <v>18</v>
      </c>
    </row>
    <row r="278" spans="1:16" hidden="1" x14ac:dyDescent="0.2">
      <c r="A278" t="s">
        <v>11</v>
      </c>
      <c r="B278" s="25">
        <v>45748</v>
      </c>
      <c r="C278">
        <v>0</v>
      </c>
      <c r="D278" s="29">
        <v>278</v>
      </c>
      <c r="E278" s="29">
        <v>139</v>
      </c>
      <c r="F278" s="28">
        <v>0</v>
      </c>
      <c r="G278" s="28">
        <v>0.8256</v>
      </c>
      <c r="H278" s="31" t="s">
        <v>15</v>
      </c>
      <c r="I278" s="31">
        <v>6</v>
      </c>
      <c r="J278" s="28">
        <v>3</v>
      </c>
      <c r="K278" s="28">
        <v>1</v>
      </c>
      <c r="L278" s="28">
        <v>52</v>
      </c>
      <c r="M278" s="28" t="s">
        <v>44</v>
      </c>
      <c r="N278" s="28" t="s">
        <v>22</v>
      </c>
      <c r="O278" s="33">
        <v>400.7</v>
      </c>
      <c r="P278" t="s">
        <v>18</v>
      </c>
    </row>
    <row r="279" spans="1:16" hidden="1" x14ac:dyDescent="0.2">
      <c r="A279" t="s">
        <v>11</v>
      </c>
      <c r="B279" s="25">
        <v>45748</v>
      </c>
      <c r="C279">
        <v>0</v>
      </c>
      <c r="D279" s="29">
        <v>277</v>
      </c>
      <c r="E279" s="29">
        <v>139</v>
      </c>
      <c r="F279" s="28">
        <v>0</v>
      </c>
      <c r="G279" s="28">
        <v>0.8256</v>
      </c>
      <c r="H279" s="31" t="s">
        <v>15</v>
      </c>
      <c r="I279" s="31">
        <v>6</v>
      </c>
      <c r="J279" s="28">
        <v>3</v>
      </c>
      <c r="K279" s="28">
        <v>2</v>
      </c>
      <c r="L279" s="28">
        <v>12</v>
      </c>
      <c r="M279" s="28" t="s">
        <v>45</v>
      </c>
      <c r="N279" s="28" t="s">
        <v>21</v>
      </c>
      <c r="O279" s="33">
        <v>393.5</v>
      </c>
      <c r="P279" t="s">
        <v>18</v>
      </c>
    </row>
    <row r="280" spans="1:16" hidden="1" x14ac:dyDescent="0.2">
      <c r="A280" t="s">
        <v>11</v>
      </c>
      <c r="B280" s="25">
        <v>45748</v>
      </c>
      <c r="C280">
        <v>0</v>
      </c>
      <c r="D280" s="29">
        <v>280</v>
      </c>
      <c r="E280" s="29">
        <v>140</v>
      </c>
      <c r="F280" s="28">
        <v>0</v>
      </c>
      <c r="G280" s="28">
        <v>0.8256</v>
      </c>
      <c r="H280" s="31" t="s">
        <v>15</v>
      </c>
      <c r="I280" s="31">
        <v>6</v>
      </c>
      <c r="J280" s="28">
        <v>4</v>
      </c>
      <c r="K280" s="28">
        <v>1</v>
      </c>
      <c r="L280" s="28">
        <v>59</v>
      </c>
      <c r="M280" s="28" t="s">
        <v>43</v>
      </c>
      <c r="N280" s="28" t="s">
        <v>25</v>
      </c>
      <c r="O280" s="33">
        <v>323.60000000000002</v>
      </c>
      <c r="P280" t="s">
        <v>18</v>
      </c>
    </row>
    <row r="281" spans="1:16" hidden="1" x14ac:dyDescent="0.2">
      <c r="A281" t="s">
        <v>11</v>
      </c>
      <c r="B281" s="25">
        <v>45748</v>
      </c>
      <c r="C281">
        <v>0</v>
      </c>
      <c r="D281" s="29">
        <v>279</v>
      </c>
      <c r="E281" s="29">
        <v>140</v>
      </c>
      <c r="F281" s="28">
        <v>0</v>
      </c>
      <c r="G281" s="28">
        <v>0.8256</v>
      </c>
      <c r="H281" s="31" t="s">
        <v>15</v>
      </c>
      <c r="I281" s="31">
        <v>6</v>
      </c>
      <c r="J281" s="28">
        <v>4</v>
      </c>
      <c r="K281" s="28">
        <v>2</v>
      </c>
      <c r="L281" s="28">
        <v>57</v>
      </c>
      <c r="M281" s="28" t="s">
        <v>46</v>
      </c>
      <c r="N281" s="28" t="s">
        <v>20</v>
      </c>
      <c r="O281" s="33">
        <v>561.1</v>
      </c>
      <c r="P281" t="s">
        <v>18</v>
      </c>
    </row>
    <row r="282" spans="1:16" hidden="1" x14ac:dyDescent="0.2">
      <c r="A282" t="s">
        <v>11</v>
      </c>
      <c r="B282" s="25">
        <v>45748</v>
      </c>
      <c r="C282">
        <v>0</v>
      </c>
      <c r="D282" s="29">
        <v>282</v>
      </c>
      <c r="E282" s="29">
        <v>141</v>
      </c>
      <c r="F282" s="28">
        <v>0</v>
      </c>
      <c r="G282" s="28">
        <v>1.4681999999999999</v>
      </c>
      <c r="H282" s="31" t="s">
        <v>15</v>
      </c>
      <c r="I282" s="31">
        <v>7</v>
      </c>
      <c r="J282" s="28">
        <v>3</v>
      </c>
      <c r="K282" s="28">
        <v>1</v>
      </c>
      <c r="L282" s="28">
        <v>27</v>
      </c>
      <c r="M282" s="28" t="s">
        <v>43</v>
      </c>
      <c r="N282" s="28" t="s">
        <v>32</v>
      </c>
      <c r="O282" s="33">
        <v>511.5</v>
      </c>
      <c r="P282" t="s">
        <v>18</v>
      </c>
    </row>
    <row r="283" spans="1:16" hidden="1" x14ac:dyDescent="0.2">
      <c r="A283" t="s">
        <v>11</v>
      </c>
      <c r="B283" s="25">
        <v>45748</v>
      </c>
      <c r="C283">
        <v>0</v>
      </c>
      <c r="D283" s="29">
        <v>283</v>
      </c>
      <c r="E283" s="29">
        <v>141</v>
      </c>
      <c r="F283" s="28">
        <v>0</v>
      </c>
      <c r="G283" s="28">
        <v>1.4681999999999999</v>
      </c>
      <c r="H283" s="31" t="s">
        <v>15</v>
      </c>
      <c r="I283" s="31">
        <v>7</v>
      </c>
      <c r="J283" s="28">
        <v>3</v>
      </c>
      <c r="K283" s="28">
        <v>2</v>
      </c>
      <c r="L283" s="28">
        <v>51</v>
      </c>
      <c r="M283" s="28" t="s">
        <v>46</v>
      </c>
      <c r="N283" s="28" t="s">
        <v>22</v>
      </c>
      <c r="O283" s="33">
        <v>413.4</v>
      </c>
      <c r="P283" t="s">
        <v>18</v>
      </c>
    </row>
    <row r="284" spans="1:16" hidden="1" x14ac:dyDescent="0.2">
      <c r="A284" t="s">
        <v>11</v>
      </c>
      <c r="B284" s="25">
        <v>45748</v>
      </c>
      <c r="C284">
        <v>0</v>
      </c>
      <c r="D284" s="29">
        <v>281</v>
      </c>
      <c r="E284" s="29">
        <v>142</v>
      </c>
      <c r="F284" s="28">
        <v>0</v>
      </c>
      <c r="G284" s="28">
        <v>1.4681999999999999</v>
      </c>
      <c r="H284" s="31" t="s">
        <v>15</v>
      </c>
      <c r="I284" s="31">
        <v>7</v>
      </c>
      <c r="J284" s="28">
        <v>4</v>
      </c>
      <c r="K284" s="28">
        <v>1</v>
      </c>
      <c r="L284" s="28">
        <v>54</v>
      </c>
      <c r="M284" s="28" t="s">
        <v>44</v>
      </c>
      <c r="N284" s="28" t="s">
        <v>22</v>
      </c>
      <c r="O284" s="33">
        <v>605.70000000000005</v>
      </c>
      <c r="P284" t="s">
        <v>18</v>
      </c>
    </row>
    <row r="285" spans="1:16" hidden="1" x14ac:dyDescent="0.2">
      <c r="A285" t="s">
        <v>11</v>
      </c>
      <c r="B285" s="25">
        <v>45748</v>
      </c>
      <c r="C285">
        <v>0</v>
      </c>
      <c r="D285" s="29">
        <v>284</v>
      </c>
      <c r="E285" s="29">
        <v>142</v>
      </c>
      <c r="F285" s="28">
        <v>0</v>
      </c>
      <c r="G285" s="28">
        <v>1.4681999999999999</v>
      </c>
      <c r="H285" s="31" t="s">
        <v>15</v>
      </c>
      <c r="I285" s="31">
        <v>7</v>
      </c>
      <c r="J285" s="28">
        <v>4</v>
      </c>
      <c r="K285" s="28">
        <v>2</v>
      </c>
      <c r="L285" s="28">
        <v>71</v>
      </c>
      <c r="M285" s="28" t="s">
        <v>45</v>
      </c>
      <c r="N285" s="28" t="s">
        <v>24</v>
      </c>
      <c r="O285" s="33">
        <v>609.5</v>
      </c>
      <c r="P285" t="s">
        <v>18</v>
      </c>
    </row>
    <row r="286" spans="1:16" hidden="1" x14ac:dyDescent="0.2">
      <c r="A286" t="s">
        <v>11</v>
      </c>
      <c r="B286" s="25">
        <v>45748</v>
      </c>
      <c r="C286">
        <v>0</v>
      </c>
      <c r="D286" s="29">
        <v>288</v>
      </c>
      <c r="E286" s="29">
        <v>143</v>
      </c>
      <c r="F286" s="28">
        <v>0</v>
      </c>
      <c r="G286" s="28">
        <v>0</v>
      </c>
      <c r="H286" s="31" t="s">
        <v>16</v>
      </c>
      <c r="I286" s="31">
        <v>0</v>
      </c>
      <c r="J286" s="28">
        <v>3</v>
      </c>
      <c r="K286" s="28">
        <v>1</v>
      </c>
      <c r="L286" s="28">
        <v>35</v>
      </c>
      <c r="M286" s="28" t="s">
        <v>44</v>
      </c>
      <c r="N286" s="28" t="s">
        <v>47</v>
      </c>
      <c r="O286" s="33">
        <v>623.9</v>
      </c>
      <c r="P286" t="s">
        <v>18</v>
      </c>
    </row>
    <row r="287" spans="1:16" hidden="1" x14ac:dyDescent="0.2">
      <c r="A287" t="s">
        <v>11</v>
      </c>
      <c r="B287" s="25">
        <v>45748</v>
      </c>
      <c r="C287">
        <v>0</v>
      </c>
      <c r="D287" s="29">
        <v>286</v>
      </c>
      <c r="E287" s="29">
        <v>143</v>
      </c>
      <c r="F287" s="28">
        <v>0</v>
      </c>
      <c r="G287" s="28">
        <v>0</v>
      </c>
      <c r="H287" s="31" t="s">
        <v>16</v>
      </c>
      <c r="I287" s="31">
        <v>0</v>
      </c>
      <c r="J287" s="28">
        <v>3</v>
      </c>
      <c r="K287" s="28">
        <v>2</v>
      </c>
      <c r="L287" s="28">
        <v>17</v>
      </c>
      <c r="M287" s="28" t="s">
        <v>45</v>
      </c>
      <c r="N287" s="28" t="s">
        <v>21</v>
      </c>
      <c r="O287" s="33">
        <v>582.5</v>
      </c>
      <c r="P287" t="s">
        <v>18</v>
      </c>
    </row>
    <row r="288" spans="1:16" hidden="1" x14ac:dyDescent="0.2">
      <c r="A288" t="s">
        <v>11</v>
      </c>
      <c r="B288" s="25">
        <v>45748</v>
      </c>
      <c r="C288">
        <v>0</v>
      </c>
      <c r="D288" s="29">
        <v>285</v>
      </c>
      <c r="E288" s="29">
        <v>144</v>
      </c>
      <c r="F288" s="28">
        <v>0</v>
      </c>
      <c r="G288" s="28">
        <v>0</v>
      </c>
      <c r="H288" s="31" t="s">
        <v>16</v>
      </c>
      <c r="I288" s="31">
        <v>0</v>
      </c>
      <c r="J288" s="28">
        <v>4</v>
      </c>
      <c r="K288" s="28">
        <v>1</v>
      </c>
      <c r="L288" s="28">
        <v>16</v>
      </c>
      <c r="M288" s="28" t="s">
        <v>44</v>
      </c>
      <c r="N288" s="28" t="s">
        <v>21</v>
      </c>
      <c r="O288" s="46">
        <v>406.2</v>
      </c>
      <c r="P288" t="s">
        <v>18</v>
      </c>
    </row>
    <row r="289" spans="1:17" hidden="1" x14ac:dyDescent="0.2">
      <c r="A289" s="40" t="s">
        <v>11</v>
      </c>
      <c r="B289" s="41">
        <v>45748</v>
      </c>
      <c r="C289" s="40">
        <v>0</v>
      </c>
      <c r="D289" s="42">
        <v>287</v>
      </c>
      <c r="E289" s="42">
        <v>144</v>
      </c>
      <c r="F289" s="43">
        <v>0</v>
      </c>
      <c r="G289" s="43">
        <v>0</v>
      </c>
      <c r="H289" s="44" t="s">
        <v>16</v>
      </c>
      <c r="I289" s="44">
        <v>0</v>
      </c>
      <c r="J289" s="43">
        <v>4</v>
      </c>
      <c r="K289" s="43">
        <v>2</v>
      </c>
      <c r="L289" s="43">
        <v>30</v>
      </c>
      <c r="M289" s="43" t="s">
        <v>45</v>
      </c>
      <c r="N289" s="43" t="s">
        <v>32</v>
      </c>
      <c r="O289" s="45">
        <v>518.5</v>
      </c>
      <c r="P289" s="40" t="s">
        <v>18</v>
      </c>
      <c r="Q289" s="40"/>
    </row>
    <row r="290" spans="1:17" hidden="1" x14ac:dyDescent="0.2">
      <c r="A290" t="s">
        <v>37</v>
      </c>
      <c r="B290" s="25">
        <v>45770</v>
      </c>
      <c r="C290" s="29">
        <v>28</v>
      </c>
      <c r="D290" s="29">
        <v>1</v>
      </c>
      <c r="E290" s="29">
        <v>1</v>
      </c>
      <c r="F290" s="28">
        <v>0.94179999999999997</v>
      </c>
      <c r="G290" s="28">
        <v>0</v>
      </c>
      <c r="H290" s="31" t="s">
        <v>11</v>
      </c>
      <c r="I290" s="31">
        <v>1</v>
      </c>
      <c r="J290" s="28">
        <v>1</v>
      </c>
      <c r="K290" s="28">
        <v>1</v>
      </c>
      <c r="L290" s="28">
        <v>74</v>
      </c>
      <c r="M290" s="28" t="s">
        <v>43</v>
      </c>
      <c r="N290" s="28" t="s">
        <v>24</v>
      </c>
      <c r="O290" s="33">
        <v>744.9</v>
      </c>
      <c r="P290" t="s">
        <v>18</v>
      </c>
    </row>
    <row r="291" spans="1:17" hidden="1" x14ac:dyDescent="0.2">
      <c r="A291" t="s">
        <v>37</v>
      </c>
      <c r="B291" s="25">
        <v>45770</v>
      </c>
      <c r="C291" s="29">
        <v>28</v>
      </c>
      <c r="D291" s="29">
        <v>2</v>
      </c>
      <c r="E291" s="29">
        <v>1</v>
      </c>
      <c r="F291" s="28">
        <v>0.94179999999999997</v>
      </c>
      <c r="G291" s="28">
        <v>0</v>
      </c>
      <c r="H291" s="31" t="s">
        <v>11</v>
      </c>
      <c r="I291" s="31">
        <v>1</v>
      </c>
      <c r="J291" s="28">
        <v>1</v>
      </c>
      <c r="K291" s="28">
        <v>2</v>
      </c>
      <c r="L291" s="28">
        <v>69</v>
      </c>
      <c r="M291" s="28" t="s">
        <v>46</v>
      </c>
      <c r="N291" s="28" t="s">
        <v>19</v>
      </c>
      <c r="O291" s="33">
        <v>651.4</v>
      </c>
      <c r="P291" t="s">
        <v>18</v>
      </c>
    </row>
    <row r="292" spans="1:17" hidden="1" x14ac:dyDescent="0.2">
      <c r="A292" t="s">
        <v>37</v>
      </c>
      <c r="B292" s="25">
        <v>45770</v>
      </c>
      <c r="C292" s="29">
        <v>28</v>
      </c>
      <c r="D292" s="29">
        <v>3</v>
      </c>
      <c r="E292" s="29">
        <v>2</v>
      </c>
      <c r="F292" s="28">
        <v>0.94179999999999997</v>
      </c>
      <c r="G292" s="28">
        <v>0</v>
      </c>
      <c r="H292" s="31" t="s">
        <v>11</v>
      </c>
      <c r="I292" s="31">
        <v>1</v>
      </c>
      <c r="J292" s="28">
        <v>2</v>
      </c>
      <c r="K292" s="28">
        <v>1</v>
      </c>
      <c r="L292" s="28">
        <v>3</v>
      </c>
      <c r="M292" s="28" t="s">
        <v>44</v>
      </c>
      <c r="N292" s="28" t="s">
        <v>19</v>
      </c>
      <c r="O292" s="33">
        <v>724.4</v>
      </c>
      <c r="P292" t="s">
        <v>18</v>
      </c>
    </row>
    <row r="293" spans="1:17" hidden="1" x14ac:dyDescent="0.2">
      <c r="A293" t="s">
        <v>37</v>
      </c>
      <c r="B293" s="25">
        <v>45770</v>
      </c>
      <c r="C293" s="29">
        <v>28</v>
      </c>
      <c r="D293" s="29">
        <v>4</v>
      </c>
      <c r="E293" s="29">
        <v>2</v>
      </c>
      <c r="F293" s="28">
        <v>0.94179999999999997</v>
      </c>
      <c r="G293" s="28">
        <v>0</v>
      </c>
      <c r="H293" s="31" t="s">
        <v>11</v>
      </c>
      <c r="I293" s="31">
        <v>1</v>
      </c>
      <c r="J293" s="28">
        <v>2</v>
      </c>
      <c r="K293" s="28">
        <v>2</v>
      </c>
      <c r="L293" s="28">
        <v>79</v>
      </c>
      <c r="M293" s="28" t="s">
        <v>45</v>
      </c>
      <c r="N293" s="28" t="s">
        <v>49</v>
      </c>
      <c r="O293" s="33">
        <v>1075.2</v>
      </c>
      <c r="P293" t="s">
        <v>18</v>
      </c>
    </row>
    <row r="294" spans="1:17" hidden="1" x14ac:dyDescent="0.2">
      <c r="A294" t="s">
        <v>37</v>
      </c>
      <c r="B294" s="25">
        <v>45770</v>
      </c>
      <c r="C294" s="29">
        <v>28</v>
      </c>
      <c r="D294" s="29">
        <v>5</v>
      </c>
      <c r="E294" s="29">
        <v>3</v>
      </c>
      <c r="F294" s="28">
        <v>9.4181000000000008</v>
      </c>
      <c r="G294" s="28">
        <v>0</v>
      </c>
      <c r="H294" s="31" t="s">
        <v>11</v>
      </c>
      <c r="I294" s="31">
        <v>2</v>
      </c>
      <c r="J294" s="28">
        <v>1</v>
      </c>
      <c r="K294" s="28">
        <v>1</v>
      </c>
      <c r="L294" s="28">
        <v>36</v>
      </c>
      <c r="M294" s="28" t="s">
        <v>44</v>
      </c>
      <c r="N294" s="28" t="s">
        <v>47</v>
      </c>
      <c r="O294" s="33">
        <v>819</v>
      </c>
      <c r="P294" t="s">
        <v>18</v>
      </c>
    </row>
    <row r="295" spans="1:17" hidden="1" x14ac:dyDescent="0.2">
      <c r="A295" t="s">
        <v>37</v>
      </c>
      <c r="B295" s="25">
        <v>45770</v>
      </c>
      <c r="C295" s="29">
        <v>28</v>
      </c>
      <c r="D295" s="29">
        <v>6</v>
      </c>
      <c r="E295" s="29">
        <v>3</v>
      </c>
      <c r="F295" s="28">
        <v>9.4181000000000008</v>
      </c>
      <c r="G295" s="28">
        <v>0</v>
      </c>
      <c r="H295" s="31" t="s">
        <v>11</v>
      </c>
      <c r="I295" s="31">
        <v>2</v>
      </c>
      <c r="J295" s="28">
        <v>1</v>
      </c>
      <c r="K295" s="28">
        <v>2</v>
      </c>
      <c r="L295" s="28">
        <v>45</v>
      </c>
      <c r="M295" s="28" t="s">
        <v>45</v>
      </c>
      <c r="N295" s="28" t="s">
        <v>24</v>
      </c>
      <c r="O295" s="33">
        <v>863</v>
      </c>
      <c r="P295" t="s">
        <v>18</v>
      </c>
    </row>
    <row r="296" spans="1:17" hidden="1" x14ac:dyDescent="0.2">
      <c r="A296" t="s">
        <v>37</v>
      </c>
      <c r="B296" s="25">
        <v>45770</v>
      </c>
      <c r="C296" s="29">
        <v>28</v>
      </c>
      <c r="D296" s="29">
        <v>7</v>
      </c>
      <c r="E296" s="29">
        <v>4</v>
      </c>
      <c r="F296" s="28">
        <v>9.4181000000000008</v>
      </c>
      <c r="G296" s="28">
        <v>0</v>
      </c>
      <c r="H296" s="31" t="s">
        <v>11</v>
      </c>
      <c r="I296" s="31">
        <v>2</v>
      </c>
      <c r="J296" s="28">
        <v>2</v>
      </c>
      <c r="K296" s="28">
        <v>1</v>
      </c>
      <c r="L296" s="28">
        <v>73</v>
      </c>
      <c r="M296" s="28" t="s">
        <v>44</v>
      </c>
      <c r="N296" s="28" t="s">
        <v>24</v>
      </c>
      <c r="O296" s="33">
        <v>841.4</v>
      </c>
      <c r="P296" t="s">
        <v>18</v>
      </c>
    </row>
    <row r="297" spans="1:17" hidden="1" x14ac:dyDescent="0.2">
      <c r="A297" t="s">
        <v>37</v>
      </c>
      <c r="B297" s="25">
        <v>45770</v>
      </c>
      <c r="C297" s="29">
        <v>28</v>
      </c>
      <c r="D297" s="29">
        <v>8</v>
      </c>
      <c r="E297" s="29">
        <v>4</v>
      </c>
      <c r="F297" s="28">
        <v>9.4181000000000008</v>
      </c>
      <c r="G297" s="28">
        <v>0</v>
      </c>
      <c r="H297" s="31" t="s">
        <v>11</v>
      </c>
      <c r="I297" s="31">
        <v>2</v>
      </c>
      <c r="J297" s="28">
        <v>2</v>
      </c>
      <c r="K297" s="28">
        <v>2</v>
      </c>
      <c r="L297" s="28">
        <v>77</v>
      </c>
      <c r="M297" s="28" t="s">
        <v>45</v>
      </c>
      <c r="N297" s="28" t="s">
        <v>25</v>
      </c>
      <c r="O297" s="33">
        <v>740.3</v>
      </c>
      <c r="P297" t="s">
        <v>18</v>
      </c>
    </row>
    <row r="298" spans="1:17" hidden="1" x14ac:dyDescent="0.2">
      <c r="A298" t="s">
        <v>37</v>
      </c>
      <c r="B298" s="25">
        <v>45770</v>
      </c>
      <c r="C298" s="29">
        <v>28</v>
      </c>
      <c r="D298" s="29">
        <v>9</v>
      </c>
      <c r="E298" s="29">
        <v>5</v>
      </c>
      <c r="F298" s="28">
        <v>52.9619</v>
      </c>
      <c r="G298" s="28">
        <v>0</v>
      </c>
      <c r="H298" s="31" t="s">
        <v>11</v>
      </c>
      <c r="I298" s="31">
        <v>3</v>
      </c>
      <c r="J298" s="28">
        <v>1</v>
      </c>
      <c r="K298" s="28">
        <v>1</v>
      </c>
      <c r="L298" s="28">
        <v>39</v>
      </c>
      <c r="M298" s="28" t="s">
        <v>43</v>
      </c>
      <c r="N298" s="28" t="s">
        <v>47</v>
      </c>
      <c r="O298" s="33">
        <v>569.6</v>
      </c>
      <c r="P298" t="s">
        <v>18</v>
      </c>
    </row>
    <row r="299" spans="1:17" hidden="1" x14ac:dyDescent="0.2">
      <c r="A299" t="s">
        <v>37</v>
      </c>
      <c r="B299" s="25">
        <v>45770</v>
      </c>
      <c r="C299" s="29">
        <v>28</v>
      </c>
      <c r="D299" s="29">
        <v>10</v>
      </c>
      <c r="E299" s="29">
        <v>5</v>
      </c>
      <c r="F299" s="28">
        <v>52.9619</v>
      </c>
      <c r="G299" s="28">
        <v>0</v>
      </c>
      <c r="H299" s="31" t="s">
        <v>11</v>
      </c>
      <c r="I299" s="31">
        <v>3</v>
      </c>
      <c r="J299" s="28">
        <v>1</v>
      </c>
      <c r="K299" s="28">
        <v>2</v>
      </c>
      <c r="L299" s="28">
        <v>31</v>
      </c>
      <c r="M299" s="28" t="s">
        <v>46</v>
      </c>
      <c r="N299" s="28" t="s">
        <v>47</v>
      </c>
      <c r="O299" s="33">
        <v>661.8</v>
      </c>
      <c r="P299" t="s">
        <v>18</v>
      </c>
    </row>
    <row r="300" spans="1:17" hidden="1" x14ac:dyDescent="0.2">
      <c r="A300" t="s">
        <v>37</v>
      </c>
      <c r="B300" s="25">
        <v>45770</v>
      </c>
      <c r="C300" s="29">
        <v>28</v>
      </c>
      <c r="D300" s="29">
        <v>11</v>
      </c>
      <c r="E300" s="29">
        <v>6</v>
      </c>
      <c r="F300" s="28">
        <v>52.9619</v>
      </c>
      <c r="G300" s="28">
        <v>0</v>
      </c>
      <c r="H300" s="31" t="s">
        <v>11</v>
      </c>
      <c r="I300" s="31">
        <v>3</v>
      </c>
      <c r="J300" s="28">
        <v>2</v>
      </c>
      <c r="K300" s="28">
        <v>1</v>
      </c>
      <c r="L300" s="28">
        <v>45</v>
      </c>
      <c r="M300" s="28" t="s">
        <v>44</v>
      </c>
      <c r="N300" s="28" t="s">
        <v>24</v>
      </c>
      <c r="O300" s="33">
        <v>1015.2</v>
      </c>
      <c r="P300" t="s">
        <v>18</v>
      </c>
    </row>
    <row r="301" spans="1:17" hidden="1" x14ac:dyDescent="0.2">
      <c r="A301" t="s">
        <v>37</v>
      </c>
      <c r="B301" s="25">
        <v>45770</v>
      </c>
      <c r="C301" s="29">
        <v>28</v>
      </c>
      <c r="D301" s="29">
        <v>12</v>
      </c>
      <c r="E301" s="29">
        <v>6</v>
      </c>
      <c r="F301" s="28">
        <v>52.9619</v>
      </c>
      <c r="G301" s="28">
        <v>0</v>
      </c>
      <c r="H301" s="31" t="s">
        <v>11</v>
      </c>
      <c r="I301" s="31">
        <v>3</v>
      </c>
      <c r="J301" s="28">
        <v>2</v>
      </c>
      <c r="K301" s="28">
        <v>2</v>
      </c>
      <c r="L301" s="28">
        <v>6</v>
      </c>
      <c r="M301" s="28" t="s">
        <v>45</v>
      </c>
      <c r="N301" s="28" t="s">
        <v>19</v>
      </c>
      <c r="O301" s="33">
        <v>840.3</v>
      </c>
      <c r="P301" t="s">
        <v>18</v>
      </c>
    </row>
    <row r="302" spans="1:17" hidden="1" x14ac:dyDescent="0.2">
      <c r="A302" t="s">
        <v>37</v>
      </c>
      <c r="B302" s="25">
        <v>45770</v>
      </c>
      <c r="C302" s="29">
        <v>28</v>
      </c>
      <c r="D302" s="29">
        <v>13</v>
      </c>
      <c r="E302" s="29">
        <v>7</v>
      </c>
      <c r="F302" s="28">
        <v>94.180999999999997</v>
      </c>
      <c r="G302" s="28">
        <v>0</v>
      </c>
      <c r="H302" s="31" t="s">
        <v>11</v>
      </c>
      <c r="I302" s="31">
        <v>4</v>
      </c>
      <c r="J302" s="28">
        <v>1</v>
      </c>
      <c r="K302" s="28">
        <v>1</v>
      </c>
      <c r="L302" s="28">
        <v>21</v>
      </c>
      <c r="M302" s="28" t="s">
        <v>43</v>
      </c>
      <c r="N302" s="28" t="s">
        <v>32</v>
      </c>
      <c r="O302" s="33">
        <v>761.5</v>
      </c>
      <c r="P302" t="s">
        <v>18</v>
      </c>
    </row>
    <row r="303" spans="1:17" hidden="1" x14ac:dyDescent="0.2">
      <c r="A303" t="s">
        <v>37</v>
      </c>
      <c r="B303" s="25">
        <v>45770</v>
      </c>
      <c r="C303" s="29">
        <v>28</v>
      </c>
      <c r="D303" s="29">
        <v>14</v>
      </c>
      <c r="E303" s="29">
        <v>7</v>
      </c>
      <c r="F303" s="28">
        <v>94.180999999999997</v>
      </c>
      <c r="G303" s="28">
        <v>0</v>
      </c>
      <c r="H303" s="31" t="s">
        <v>11</v>
      </c>
      <c r="I303" s="31">
        <v>4</v>
      </c>
      <c r="J303" s="28">
        <v>1</v>
      </c>
      <c r="K303" s="28">
        <v>2</v>
      </c>
      <c r="L303" s="28">
        <v>44</v>
      </c>
      <c r="M303" s="28" t="s">
        <v>46</v>
      </c>
      <c r="N303" s="28" t="s">
        <v>24</v>
      </c>
      <c r="O303" s="33">
        <v>605.70000000000005</v>
      </c>
      <c r="P303" t="s">
        <v>18</v>
      </c>
    </row>
    <row r="304" spans="1:17" hidden="1" x14ac:dyDescent="0.2">
      <c r="A304" t="s">
        <v>37</v>
      </c>
      <c r="B304" s="25">
        <v>45770</v>
      </c>
      <c r="C304" s="29">
        <v>28</v>
      </c>
      <c r="D304" s="29">
        <v>15</v>
      </c>
      <c r="E304" s="29">
        <v>8</v>
      </c>
      <c r="F304" s="28">
        <v>94.180999999999997</v>
      </c>
      <c r="G304" s="28">
        <v>0</v>
      </c>
      <c r="H304" s="31" t="s">
        <v>11</v>
      </c>
      <c r="I304" s="31">
        <v>4</v>
      </c>
      <c r="J304" s="28">
        <v>2</v>
      </c>
      <c r="K304" s="28">
        <v>1</v>
      </c>
      <c r="L304" s="28">
        <v>67</v>
      </c>
      <c r="M304" s="28" t="s">
        <v>44</v>
      </c>
      <c r="N304" s="28" t="s">
        <v>23</v>
      </c>
      <c r="O304" s="33">
        <v>533.20000000000005</v>
      </c>
      <c r="P304" t="s">
        <v>18</v>
      </c>
    </row>
    <row r="305" spans="1:16" hidden="1" x14ac:dyDescent="0.2">
      <c r="A305" t="s">
        <v>37</v>
      </c>
      <c r="B305" s="25">
        <v>45770</v>
      </c>
      <c r="C305" s="29">
        <v>28</v>
      </c>
      <c r="D305" s="29">
        <v>16</v>
      </c>
      <c r="E305" s="29">
        <v>8</v>
      </c>
      <c r="F305" s="28">
        <v>94.180999999999997</v>
      </c>
      <c r="G305" s="28">
        <v>0</v>
      </c>
      <c r="H305" s="31" t="s">
        <v>11</v>
      </c>
      <c r="I305" s="31">
        <v>4</v>
      </c>
      <c r="J305" s="28">
        <v>2</v>
      </c>
      <c r="K305" s="28">
        <v>2</v>
      </c>
      <c r="L305" s="28">
        <v>73</v>
      </c>
      <c r="M305" s="28" t="s">
        <v>45</v>
      </c>
      <c r="N305" s="28" t="s">
        <v>24</v>
      </c>
      <c r="O305" s="33">
        <v>449.5</v>
      </c>
      <c r="P305" t="s">
        <v>18</v>
      </c>
    </row>
    <row r="306" spans="1:16" hidden="1" x14ac:dyDescent="0.2">
      <c r="A306" t="s">
        <v>37</v>
      </c>
      <c r="B306" s="25">
        <v>45770</v>
      </c>
      <c r="C306" s="29">
        <v>28</v>
      </c>
      <c r="D306" s="29">
        <v>17</v>
      </c>
      <c r="E306" s="29">
        <v>9</v>
      </c>
      <c r="F306" s="28">
        <v>167.48009999999999</v>
      </c>
      <c r="G306" s="28">
        <v>0</v>
      </c>
      <c r="H306" s="31" t="s">
        <v>11</v>
      </c>
      <c r="I306" s="31">
        <v>5</v>
      </c>
      <c r="J306" s="28">
        <v>1</v>
      </c>
      <c r="K306" s="28">
        <v>1</v>
      </c>
      <c r="L306" s="28">
        <v>31</v>
      </c>
      <c r="M306" s="28" t="s">
        <v>43</v>
      </c>
      <c r="N306" s="28" t="s">
        <v>47</v>
      </c>
      <c r="O306" s="33">
        <v>817</v>
      </c>
      <c r="P306" t="s">
        <v>18</v>
      </c>
    </row>
    <row r="307" spans="1:16" x14ac:dyDescent="0.2">
      <c r="A307" t="s">
        <v>37</v>
      </c>
      <c r="B307" s="25">
        <v>45770</v>
      </c>
      <c r="C307" s="29">
        <v>28</v>
      </c>
      <c r="D307" s="29">
        <v>18</v>
      </c>
      <c r="E307" s="29">
        <v>9</v>
      </c>
      <c r="F307" s="28">
        <v>167.48009999999999</v>
      </c>
      <c r="G307" s="28">
        <v>0</v>
      </c>
      <c r="H307" s="31" t="s">
        <v>11</v>
      </c>
      <c r="I307" s="31">
        <v>5</v>
      </c>
      <c r="J307" s="28">
        <v>1</v>
      </c>
      <c r="K307" s="28">
        <v>2</v>
      </c>
      <c r="L307" s="28">
        <v>20</v>
      </c>
      <c r="M307" s="28" t="s">
        <v>46</v>
      </c>
      <c r="N307" s="28" t="s">
        <v>21</v>
      </c>
      <c r="O307" s="33">
        <v>771.4</v>
      </c>
      <c r="P307" t="s">
        <v>18</v>
      </c>
    </row>
    <row r="308" spans="1:16" hidden="1" x14ac:dyDescent="0.2">
      <c r="A308" t="s">
        <v>37</v>
      </c>
      <c r="B308" s="25">
        <v>45770</v>
      </c>
      <c r="C308" s="29">
        <v>28</v>
      </c>
      <c r="D308" s="29">
        <v>19</v>
      </c>
      <c r="E308" s="29">
        <v>10</v>
      </c>
      <c r="F308" s="28">
        <v>167.48009999999999</v>
      </c>
      <c r="G308" s="28">
        <v>0</v>
      </c>
      <c r="H308" s="31" t="s">
        <v>11</v>
      </c>
      <c r="I308" s="31">
        <v>5</v>
      </c>
      <c r="J308" s="28">
        <v>2</v>
      </c>
      <c r="K308" s="28">
        <v>1</v>
      </c>
      <c r="L308" s="28">
        <v>18</v>
      </c>
      <c r="M308" s="28" t="s">
        <v>44</v>
      </c>
      <c r="N308" s="28" t="s">
        <v>21</v>
      </c>
      <c r="O308" s="33">
        <v>728.7</v>
      </c>
      <c r="P308" t="s">
        <v>18</v>
      </c>
    </row>
    <row r="309" spans="1:16" hidden="1" x14ac:dyDescent="0.2">
      <c r="A309" t="s">
        <v>37</v>
      </c>
      <c r="B309" s="25">
        <v>45770</v>
      </c>
      <c r="C309" s="29">
        <v>28</v>
      </c>
      <c r="D309" s="29">
        <v>20</v>
      </c>
      <c r="E309" s="29">
        <v>10</v>
      </c>
      <c r="F309" s="28">
        <v>167.48009999999999</v>
      </c>
      <c r="G309" s="28">
        <v>0</v>
      </c>
      <c r="H309" s="31" t="s">
        <v>11</v>
      </c>
      <c r="I309" s="31">
        <v>5</v>
      </c>
      <c r="J309" s="28">
        <v>2</v>
      </c>
      <c r="K309" s="28">
        <v>2</v>
      </c>
      <c r="L309" s="28">
        <v>26</v>
      </c>
      <c r="M309" s="28" t="s">
        <v>45</v>
      </c>
      <c r="N309" s="28" t="s">
        <v>32</v>
      </c>
      <c r="O309" s="33">
        <v>680.5</v>
      </c>
      <c r="P309" t="s">
        <v>18</v>
      </c>
    </row>
    <row r="310" spans="1:16" hidden="1" x14ac:dyDescent="0.2">
      <c r="A310" t="s">
        <v>37</v>
      </c>
      <c r="B310" s="25">
        <v>45770</v>
      </c>
      <c r="C310" s="29">
        <v>28</v>
      </c>
      <c r="D310" s="29">
        <v>21</v>
      </c>
      <c r="E310" s="29">
        <v>11</v>
      </c>
      <c r="F310" s="28">
        <v>297.82639999999998</v>
      </c>
      <c r="G310" s="28">
        <v>0</v>
      </c>
      <c r="H310" s="31" t="s">
        <v>11</v>
      </c>
      <c r="I310" s="31">
        <v>6</v>
      </c>
      <c r="J310" s="28">
        <v>1</v>
      </c>
      <c r="K310" s="28">
        <v>1</v>
      </c>
      <c r="L310" s="28">
        <v>4</v>
      </c>
      <c r="M310" s="28" t="s">
        <v>43</v>
      </c>
      <c r="N310" s="28" t="s">
        <v>19</v>
      </c>
      <c r="O310" s="33">
        <v>329.4</v>
      </c>
      <c r="P310" t="s">
        <v>18</v>
      </c>
    </row>
    <row r="311" spans="1:16" hidden="1" x14ac:dyDescent="0.2">
      <c r="A311" t="s">
        <v>37</v>
      </c>
      <c r="B311" s="25">
        <v>45770</v>
      </c>
      <c r="C311" s="29">
        <v>28</v>
      </c>
      <c r="D311" s="29">
        <v>22</v>
      </c>
      <c r="E311" s="29">
        <v>11</v>
      </c>
      <c r="F311" s="28">
        <v>297.82639999999998</v>
      </c>
      <c r="G311" s="28">
        <v>0</v>
      </c>
      <c r="H311" s="31" t="s">
        <v>11</v>
      </c>
      <c r="I311" s="31">
        <v>6</v>
      </c>
      <c r="J311" s="28">
        <v>1</v>
      </c>
      <c r="K311" s="28">
        <v>2</v>
      </c>
      <c r="L311" s="28">
        <v>43</v>
      </c>
      <c r="M311" s="28" t="s">
        <v>46</v>
      </c>
      <c r="N311" s="28" t="s">
        <v>24</v>
      </c>
      <c r="O311" s="33">
        <v>542.29999999999995</v>
      </c>
      <c r="P311" t="s">
        <v>18</v>
      </c>
    </row>
    <row r="312" spans="1:16" hidden="1" x14ac:dyDescent="0.2">
      <c r="A312" t="s">
        <v>37</v>
      </c>
      <c r="B312" s="25">
        <v>45770</v>
      </c>
      <c r="C312" s="29">
        <v>28</v>
      </c>
      <c r="D312" s="29">
        <v>23</v>
      </c>
      <c r="E312" s="29">
        <v>12</v>
      </c>
      <c r="F312" s="28">
        <v>297.82639999999998</v>
      </c>
      <c r="G312" s="28">
        <v>0</v>
      </c>
      <c r="H312" s="31" t="s">
        <v>11</v>
      </c>
      <c r="I312" s="31">
        <v>6</v>
      </c>
      <c r="J312" s="28">
        <v>2</v>
      </c>
      <c r="K312" s="28">
        <v>1</v>
      </c>
      <c r="L312" s="28">
        <v>79</v>
      </c>
      <c r="M312" s="28" t="s">
        <v>44</v>
      </c>
      <c r="N312" s="28" t="s">
        <v>49</v>
      </c>
      <c r="O312" s="33">
        <v>828.1</v>
      </c>
      <c r="P312" t="s">
        <v>18</v>
      </c>
    </row>
    <row r="313" spans="1:16" hidden="1" x14ac:dyDescent="0.2">
      <c r="A313" t="s">
        <v>37</v>
      </c>
      <c r="B313" s="25">
        <v>45770</v>
      </c>
      <c r="C313" s="29">
        <v>28</v>
      </c>
      <c r="D313" s="29">
        <v>24</v>
      </c>
      <c r="E313" s="29">
        <v>12</v>
      </c>
      <c r="F313" s="28">
        <v>297.82639999999998</v>
      </c>
      <c r="G313" s="28">
        <v>0</v>
      </c>
      <c r="H313" s="31" t="s">
        <v>11</v>
      </c>
      <c r="I313" s="31">
        <v>6</v>
      </c>
      <c r="J313" s="28">
        <v>2</v>
      </c>
      <c r="K313" s="28">
        <v>2</v>
      </c>
      <c r="L313" s="28">
        <v>65</v>
      </c>
      <c r="M313" s="28" t="s">
        <v>45</v>
      </c>
      <c r="N313" s="28" t="s">
        <v>23</v>
      </c>
      <c r="O313" s="33">
        <v>501.8</v>
      </c>
      <c r="P313" t="s">
        <v>18</v>
      </c>
    </row>
    <row r="314" spans="1:16" hidden="1" x14ac:dyDescent="0.2">
      <c r="A314" t="s">
        <v>37</v>
      </c>
      <c r="B314" s="25">
        <v>45770</v>
      </c>
      <c r="C314" s="29">
        <v>28</v>
      </c>
      <c r="D314" s="29">
        <v>25</v>
      </c>
      <c r="E314" s="29">
        <v>13</v>
      </c>
      <c r="F314" s="28">
        <v>529.61860000000001</v>
      </c>
      <c r="G314" s="28">
        <v>0</v>
      </c>
      <c r="H314" s="31" t="s">
        <v>11</v>
      </c>
      <c r="I314" s="31">
        <v>7</v>
      </c>
      <c r="J314" s="28">
        <v>1</v>
      </c>
      <c r="K314" s="28">
        <v>1</v>
      </c>
      <c r="L314" s="28">
        <v>13</v>
      </c>
      <c r="M314" s="28" t="s">
        <v>44</v>
      </c>
      <c r="N314" s="28" t="s">
        <v>21</v>
      </c>
      <c r="O314" s="33">
        <v>440.2</v>
      </c>
      <c r="P314" t="s">
        <v>18</v>
      </c>
    </row>
    <row r="315" spans="1:16" hidden="1" x14ac:dyDescent="0.2">
      <c r="A315" t="s">
        <v>37</v>
      </c>
      <c r="B315" s="25">
        <v>45770</v>
      </c>
      <c r="C315" s="29">
        <v>28</v>
      </c>
      <c r="D315" s="29">
        <v>26</v>
      </c>
      <c r="E315" s="29">
        <v>13</v>
      </c>
      <c r="F315" s="28">
        <v>529.61860000000001</v>
      </c>
      <c r="G315" s="28">
        <v>0</v>
      </c>
      <c r="H315" s="31" t="s">
        <v>11</v>
      </c>
      <c r="I315" s="31">
        <v>7</v>
      </c>
      <c r="J315" s="28">
        <v>1</v>
      </c>
      <c r="K315" s="28">
        <v>2</v>
      </c>
      <c r="L315" s="28">
        <v>1</v>
      </c>
      <c r="M315" s="28" t="s">
        <v>45</v>
      </c>
      <c r="N315" s="28" t="s">
        <v>19</v>
      </c>
      <c r="O315" s="33">
        <v>333</v>
      </c>
      <c r="P315" t="s">
        <v>18</v>
      </c>
    </row>
    <row r="316" spans="1:16" hidden="1" x14ac:dyDescent="0.2">
      <c r="A316" t="s">
        <v>37</v>
      </c>
      <c r="B316" s="25">
        <v>45770</v>
      </c>
      <c r="C316" s="29">
        <v>28</v>
      </c>
      <c r="D316" s="29">
        <v>27</v>
      </c>
      <c r="E316" s="29">
        <v>14</v>
      </c>
      <c r="F316" s="28">
        <v>529.61860000000001</v>
      </c>
      <c r="G316" s="28">
        <v>0</v>
      </c>
      <c r="H316" s="31" t="s">
        <v>11</v>
      </c>
      <c r="I316" s="31">
        <v>7</v>
      </c>
      <c r="J316" s="28">
        <v>2</v>
      </c>
      <c r="K316" s="28">
        <v>1</v>
      </c>
      <c r="L316" s="28">
        <v>9</v>
      </c>
      <c r="M316" s="28" t="s">
        <v>43</v>
      </c>
      <c r="N316" s="28" t="s">
        <v>19</v>
      </c>
      <c r="O316" s="33">
        <v>516.5</v>
      </c>
      <c r="P316" t="s">
        <v>18</v>
      </c>
    </row>
    <row r="317" spans="1:16" hidden="1" x14ac:dyDescent="0.2">
      <c r="A317" t="s">
        <v>37</v>
      </c>
      <c r="B317" s="25">
        <v>45770</v>
      </c>
      <c r="C317" s="29">
        <v>28</v>
      </c>
      <c r="D317" s="29">
        <v>28</v>
      </c>
      <c r="E317" s="29">
        <v>14</v>
      </c>
      <c r="F317" s="28">
        <v>529.61860000000001</v>
      </c>
      <c r="G317" s="28">
        <v>0</v>
      </c>
      <c r="H317" s="31" t="s">
        <v>11</v>
      </c>
      <c r="I317" s="31">
        <v>7</v>
      </c>
      <c r="J317" s="28">
        <v>2</v>
      </c>
      <c r="K317" s="28">
        <v>2</v>
      </c>
      <c r="L317" s="28">
        <v>3</v>
      </c>
      <c r="M317" s="28" t="s">
        <v>46</v>
      </c>
      <c r="N317" s="28" t="s">
        <v>19</v>
      </c>
      <c r="O317" s="33">
        <v>345.1</v>
      </c>
      <c r="P317" t="s">
        <v>18</v>
      </c>
    </row>
    <row r="318" spans="1:16" hidden="1" x14ac:dyDescent="0.2">
      <c r="A318" t="s">
        <v>37</v>
      </c>
      <c r="B318" s="25">
        <v>45770</v>
      </c>
      <c r="C318" s="29">
        <v>28</v>
      </c>
      <c r="D318" s="29">
        <v>29</v>
      </c>
      <c r="E318" s="29">
        <v>15</v>
      </c>
      <c r="F318" s="28">
        <v>0.70640000000000003</v>
      </c>
      <c r="G318" s="28">
        <v>6.9999999999999999E-4</v>
      </c>
      <c r="H318" s="31" t="s">
        <v>12</v>
      </c>
      <c r="I318" s="31">
        <v>1</v>
      </c>
      <c r="J318" s="28">
        <v>1</v>
      </c>
      <c r="K318" s="28">
        <v>1</v>
      </c>
      <c r="L318" s="28">
        <v>73</v>
      </c>
      <c r="M318" s="28" t="s">
        <v>43</v>
      </c>
      <c r="N318" s="28" t="s">
        <v>24</v>
      </c>
      <c r="O318" s="33">
        <v>585.29999999999995</v>
      </c>
      <c r="P318" t="s">
        <v>18</v>
      </c>
    </row>
    <row r="319" spans="1:16" hidden="1" x14ac:dyDescent="0.2">
      <c r="A319" t="s">
        <v>37</v>
      </c>
      <c r="B319" s="25">
        <v>45770</v>
      </c>
      <c r="C319" s="29">
        <v>28</v>
      </c>
      <c r="D319" s="29">
        <v>30</v>
      </c>
      <c r="E319" s="29">
        <v>15</v>
      </c>
      <c r="F319" s="28">
        <v>0.70640000000000003</v>
      </c>
      <c r="G319" s="28">
        <v>6.9999999999999999E-4</v>
      </c>
      <c r="H319" s="31" t="s">
        <v>12</v>
      </c>
      <c r="I319" s="31">
        <v>1</v>
      </c>
      <c r="J319" s="28">
        <v>1</v>
      </c>
      <c r="K319" s="28">
        <v>2</v>
      </c>
      <c r="L319" s="28">
        <v>77</v>
      </c>
      <c r="M319" s="28" t="s">
        <v>46</v>
      </c>
      <c r="N319" s="28" t="s">
        <v>25</v>
      </c>
      <c r="O319" s="33">
        <v>561</v>
      </c>
      <c r="P319" t="s">
        <v>18</v>
      </c>
    </row>
    <row r="320" spans="1:16" hidden="1" x14ac:dyDescent="0.2">
      <c r="A320" t="s">
        <v>37</v>
      </c>
      <c r="B320" s="25">
        <v>45770</v>
      </c>
      <c r="C320" s="29">
        <v>28</v>
      </c>
      <c r="D320" s="29">
        <v>31</v>
      </c>
      <c r="E320" s="29">
        <v>16</v>
      </c>
      <c r="F320" s="28">
        <v>0.70640000000000003</v>
      </c>
      <c r="G320" s="28">
        <v>6.9999999999999999E-4</v>
      </c>
      <c r="H320" s="31" t="s">
        <v>12</v>
      </c>
      <c r="I320" s="31">
        <v>1</v>
      </c>
      <c r="J320" s="28">
        <v>2</v>
      </c>
      <c r="K320" s="28">
        <v>1</v>
      </c>
      <c r="L320" s="28">
        <v>26</v>
      </c>
      <c r="M320" s="28" t="s">
        <v>43</v>
      </c>
      <c r="N320" s="28" t="s">
        <v>32</v>
      </c>
      <c r="O320" s="33">
        <v>1078.3</v>
      </c>
      <c r="P320" t="s">
        <v>18</v>
      </c>
    </row>
    <row r="321" spans="1:16" hidden="1" x14ac:dyDescent="0.2">
      <c r="A321" t="s">
        <v>37</v>
      </c>
      <c r="B321" s="25">
        <v>45770</v>
      </c>
      <c r="C321" s="29">
        <v>28</v>
      </c>
      <c r="D321" s="29">
        <v>32</v>
      </c>
      <c r="E321" s="29">
        <v>16</v>
      </c>
      <c r="F321" s="28">
        <v>0.70640000000000003</v>
      </c>
      <c r="G321" s="28">
        <v>6.9999999999999999E-4</v>
      </c>
      <c r="H321" s="31" t="s">
        <v>12</v>
      </c>
      <c r="I321" s="31">
        <v>1</v>
      </c>
      <c r="J321" s="28">
        <v>2</v>
      </c>
      <c r="K321" s="28">
        <v>2</v>
      </c>
      <c r="L321" s="28">
        <v>63</v>
      </c>
      <c r="M321" s="28" t="s">
        <v>46</v>
      </c>
      <c r="N321" s="28" t="s">
        <v>25</v>
      </c>
      <c r="O321" s="33">
        <v>888.8</v>
      </c>
      <c r="P321" t="s">
        <v>18</v>
      </c>
    </row>
    <row r="322" spans="1:16" hidden="1" x14ac:dyDescent="0.2">
      <c r="A322" t="s">
        <v>11</v>
      </c>
      <c r="B322" s="25">
        <v>45776</v>
      </c>
      <c r="C322" s="29">
        <v>28</v>
      </c>
      <c r="D322" s="29">
        <v>149</v>
      </c>
      <c r="E322" s="29">
        <v>75</v>
      </c>
      <c r="F322" s="28">
        <v>9.4181000000000008</v>
      </c>
      <c r="G322" s="28">
        <v>0</v>
      </c>
      <c r="H322" s="31" t="s">
        <v>11</v>
      </c>
      <c r="I322" s="31">
        <v>2</v>
      </c>
      <c r="J322" s="28">
        <v>3</v>
      </c>
      <c r="K322" s="28">
        <v>1</v>
      </c>
      <c r="L322" s="28">
        <v>17</v>
      </c>
      <c r="M322" s="28" t="s">
        <v>44</v>
      </c>
      <c r="N322" s="28" t="s">
        <v>21</v>
      </c>
      <c r="O322" s="33">
        <v>604.5</v>
      </c>
      <c r="P322" t="s">
        <v>18</v>
      </c>
    </row>
    <row r="323" spans="1:16" hidden="1" x14ac:dyDescent="0.2">
      <c r="A323" t="s">
        <v>11</v>
      </c>
      <c r="B323" s="25">
        <v>45776</v>
      </c>
      <c r="C323" s="29">
        <v>28</v>
      </c>
      <c r="D323" s="29">
        <v>152</v>
      </c>
      <c r="E323" s="29">
        <v>75</v>
      </c>
      <c r="F323" s="28">
        <v>9.4181000000000008</v>
      </c>
      <c r="G323" s="28">
        <v>0</v>
      </c>
      <c r="H323" s="31" t="s">
        <v>11</v>
      </c>
      <c r="I323" s="31">
        <v>2</v>
      </c>
      <c r="J323" s="28">
        <v>3</v>
      </c>
      <c r="K323" s="28">
        <v>2</v>
      </c>
      <c r="L323" s="28">
        <v>52</v>
      </c>
      <c r="M323" s="28" t="s">
        <v>45</v>
      </c>
      <c r="N323" s="28" t="s">
        <v>22</v>
      </c>
      <c r="O323" s="33">
        <v>648.5</v>
      </c>
      <c r="P323" t="s">
        <v>18</v>
      </c>
    </row>
    <row r="324" spans="1:16" hidden="1" x14ac:dyDescent="0.2">
      <c r="A324" t="s">
        <v>37</v>
      </c>
      <c r="B324" s="25">
        <v>45770</v>
      </c>
      <c r="C324" s="29">
        <v>28</v>
      </c>
      <c r="D324" s="29">
        <v>35</v>
      </c>
      <c r="E324" s="29">
        <v>18</v>
      </c>
      <c r="F324" s="28">
        <v>7.0636000000000001</v>
      </c>
      <c r="G324" s="28">
        <v>6.4999999999999997E-3</v>
      </c>
      <c r="H324" s="31" t="s">
        <v>12</v>
      </c>
      <c r="I324" s="31">
        <v>2</v>
      </c>
      <c r="J324" s="28">
        <v>2</v>
      </c>
      <c r="K324" s="28">
        <v>1</v>
      </c>
      <c r="L324" s="28">
        <v>6</v>
      </c>
      <c r="M324" s="28" t="s">
        <v>43</v>
      </c>
      <c r="N324" s="28" t="s">
        <v>19</v>
      </c>
      <c r="O324" s="33">
        <v>418.5</v>
      </c>
      <c r="P324" t="s">
        <v>18</v>
      </c>
    </row>
    <row r="325" spans="1:16" hidden="1" x14ac:dyDescent="0.2">
      <c r="A325" t="s">
        <v>37</v>
      </c>
      <c r="B325" s="25">
        <v>45770</v>
      </c>
      <c r="C325" s="29">
        <v>28</v>
      </c>
      <c r="D325" s="29">
        <v>36</v>
      </c>
      <c r="E325" s="29">
        <v>18</v>
      </c>
      <c r="F325" s="28">
        <v>7.0636000000000001</v>
      </c>
      <c r="G325" s="28">
        <v>6.4999999999999997E-3</v>
      </c>
      <c r="H325" s="31" t="s">
        <v>12</v>
      </c>
      <c r="I325" s="31">
        <v>2</v>
      </c>
      <c r="J325" s="28">
        <v>2</v>
      </c>
      <c r="K325" s="28">
        <v>2</v>
      </c>
      <c r="L325" s="28">
        <v>36</v>
      </c>
      <c r="M325" s="28" t="s">
        <v>46</v>
      </c>
      <c r="N325" s="28" t="s">
        <v>47</v>
      </c>
      <c r="O325" s="33">
        <v>1287.9000000000001</v>
      </c>
      <c r="P325" t="s">
        <v>18</v>
      </c>
    </row>
    <row r="326" spans="1:16" hidden="1" x14ac:dyDescent="0.2">
      <c r="A326" t="s">
        <v>37</v>
      </c>
      <c r="B326" s="25">
        <v>45770</v>
      </c>
      <c r="C326" s="29">
        <v>28</v>
      </c>
      <c r="D326" s="29">
        <v>37</v>
      </c>
      <c r="E326" s="29">
        <v>19</v>
      </c>
      <c r="F326" s="28">
        <v>39.721400000000003</v>
      </c>
      <c r="G326" s="28">
        <v>3.6700000000000003E-2</v>
      </c>
      <c r="H326" s="31" t="s">
        <v>12</v>
      </c>
      <c r="I326" s="31">
        <v>3</v>
      </c>
      <c r="J326" s="28">
        <v>1</v>
      </c>
      <c r="K326" s="28">
        <v>1</v>
      </c>
      <c r="L326" s="28">
        <v>20</v>
      </c>
      <c r="M326" s="28" t="s">
        <v>44</v>
      </c>
      <c r="N326" s="28" t="s">
        <v>21</v>
      </c>
      <c r="O326" s="33">
        <v>970.2</v>
      </c>
      <c r="P326" t="s">
        <v>18</v>
      </c>
    </row>
    <row r="327" spans="1:16" hidden="1" x14ac:dyDescent="0.2">
      <c r="A327" t="s">
        <v>37</v>
      </c>
      <c r="B327" s="25">
        <v>45770</v>
      </c>
      <c r="C327" s="29">
        <v>28</v>
      </c>
      <c r="D327" s="29">
        <v>38</v>
      </c>
      <c r="E327" s="29">
        <v>19</v>
      </c>
      <c r="F327" s="28">
        <v>39.721400000000003</v>
      </c>
      <c r="G327" s="28">
        <v>3.6700000000000003E-2</v>
      </c>
      <c r="H327" s="31" t="s">
        <v>12</v>
      </c>
      <c r="I327" s="31">
        <v>3</v>
      </c>
      <c r="J327" s="28">
        <v>1</v>
      </c>
      <c r="K327" s="28">
        <v>2</v>
      </c>
      <c r="L327" s="28">
        <v>74</v>
      </c>
      <c r="M327" s="28" t="s">
        <v>45</v>
      </c>
      <c r="N327" s="28" t="s">
        <v>24</v>
      </c>
      <c r="O327" s="33">
        <v>279.10000000000002</v>
      </c>
      <c r="P327" t="s">
        <v>18</v>
      </c>
    </row>
    <row r="328" spans="1:16" hidden="1" x14ac:dyDescent="0.2">
      <c r="A328" t="s">
        <v>37</v>
      </c>
      <c r="B328" s="25">
        <v>45770</v>
      </c>
      <c r="C328" s="29">
        <v>28</v>
      </c>
      <c r="D328" s="29">
        <v>39</v>
      </c>
      <c r="E328" s="29">
        <v>20</v>
      </c>
      <c r="F328" s="28">
        <v>39.721400000000003</v>
      </c>
      <c r="G328" s="28">
        <v>3.6700000000000003E-2</v>
      </c>
      <c r="H328" s="31" t="s">
        <v>12</v>
      </c>
      <c r="I328" s="31">
        <v>3</v>
      </c>
      <c r="J328" s="28">
        <v>2</v>
      </c>
      <c r="K328" s="28">
        <v>1</v>
      </c>
      <c r="L328" s="28">
        <v>14</v>
      </c>
      <c r="M328" s="28" t="s">
        <v>44</v>
      </c>
      <c r="N328" s="28" t="s">
        <v>21</v>
      </c>
      <c r="O328" s="33">
        <v>1126.8</v>
      </c>
      <c r="P328" t="s">
        <v>18</v>
      </c>
    </row>
    <row r="329" spans="1:16" hidden="1" x14ac:dyDescent="0.2">
      <c r="A329" t="s">
        <v>37</v>
      </c>
      <c r="B329" s="25">
        <v>45770</v>
      </c>
      <c r="C329" s="29">
        <v>28</v>
      </c>
      <c r="D329" s="29">
        <v>40</v>
      </c>
      <c r="E329" s="29">
        <v>20</v>
      </c>
      <c r="F329" s="28">
        <v>39.721400000000003</v>
      </c>
      <c r="G329" s="28">
        <v>3.6700000000000003E-2</v>
      </c>
      <c r="H329" s="31" t="s">
        <v>12</v>
      </c>
      <c r="I329" s="31">
        <v>3</v>
      </c>
      <c r="J329" s="28">
        <v>2</v>
      </c>
      <c r="K329" s="28">
        <v>2</v>
      </c>
      <c r="L329" s="28">
        <v>10</v>
      </c>
      <c r="M329" s="28" t="s">
        <v>45</v>
      </c>
      <c r="N329" s="28" t="s">
        <v>19</v>
      </c>
      <c r="O329" s="33">
        <v>653.29999999999995</v>
      </c>
      <c r="P329" t="s">
        <v>18</v>
      </c>
    </row>
    <row r="330" spans="1:16" hidden="1" x14ac:dyDescent="0.2">
      <c r="A330" t="s">
        <v>37</v>
      </c>
      <c r="B330" s="25">
        <v>45770</v>
      </c>
      <c r="C330" s="29">
        <v>28</v>
      </c>
      <c r="D330" s="29">
        <v>41</v>
      </c>
      <c r="E330" s="29">
        <v>21</v>
      </c>
      <c r="F330" s="28">
        <v>70.6357</v>
      </c>
      <c r="G330" s="28">
        <v>6.5299999999999997E-2</v>
      </c>
      <c r="H330" s="31" t="s">
        <v>12</v>
      </c>
      <c r="I330" s="31">
        <v>4</v>
      </c>
      <c r="J330" s="28">
        <v>1</v>
      </c>
      <c r="K330" s="28">
        <v>1</v>
      </c>
      <c r="L330" s="28">
        <v>20</v>
      </c>
      <c r="M330" s="28" t="s">
        <v>43</v>
      </c>
      <c r="N330" s="28" t="s">
        <v>21</v>
      </c>
      <c r="O330" s="33">
        <v>618.4</v>
      </c>
      <c r="P330" t="s">
        <v>18</v>
      </c>
    </row>
    <row r="331" spans="1:16" hidden="1" x14ac:dyDescent="0.2">
      <c r="A331" t="s">
        <v>37</v>
      </c>
      <c r="B331" s="25">
        <v>45770</v>
      </c>
      <c r="C331" s="29">
        <v>28</v>
      </c>
      <c r="D331" s="29">
        <v>42</v>
      </c>
      <c r="E331" s="29">
        <v>21</v>
      </c>
      <c r="F331" s="28">
        <v>70.6357</v>
      </c>
      <c r="G331" s="28">
        <v>6.5299999999999997E-2</v>
      </c>
      <c r="H331" s="31" t="s">
        <v>12</v>
      </c>
      <c r="I331" s="31">
        <v>4</v>
      </c>
      <c r="J331" s="28">
        <v>1</v>
      </c>
      <c r="K331" s="28">
        <v>2</v>
      </c>
      <c r="L331" s="28">
        <v>74</v>
      </c>
      <c r="M331" s="28" t="s">
        <v>46</v>
      </c>
      <c r="N331" s="28" t="s">
        <v>24</v>
      </c>
      <c r="O331" s="33">
        <v>532.6</v>
      </c>
      <c r="P331" t="s">
        <v>18</v>
      </c>
    </row>
    <row r="332" spans="1:16" hidden="1" x14ac:dyDescent="0.2">
      <c r="A332" t="s">
        <v>37</v>
      </c>
      <c r="B332" s="25">
        <v>45770</v>
      </c>
      <c r="C332" s="29">
        <v>28</v>
      </c>
      <c r="D332" s="29">
        <v>43</v>
      </c>
      <c r="E332" s="29">
        <v>22</v>
      </c>
      <c r="F332" s="28">
        <v>70.6357</v>
      </c>
      <c r="G332" s="28">
        <v>6.5299999999999997E-2</v>
      </c>
      <c r="H332" s="31" t="s">
        <v>12</v>
      </c>
      <c r="I332" s="31">
        <v>4</v>
      </c>
      <c r="J332" s="28">
        <v>2</v>
      </c>
      <c r="K332" s="28">
        <v>1</v>
      </c>
      <c r="L332" s="28">
        <v>80</v>
      </c>
      <c r="M332" s="28" t="s">
        <v>43</v>
      </c>
      <c r="N332" s="28" t="s">
        <v>50</v>
      </c>
      <c r="O332" s="33">
        <v>699.8</v>
      </c>
      <c r="P332" t="s">
        <v>18</v>
      </c>
    </row>
    <row r="333" spans="1:16" hidden="1" x14ac:dyDescent="0.2">
      <c r="A333" t="s">
        <v>37</v>
      </c>
      <c r="B333" s="25">
        <v>45770</v>
      </c>
      <c r="C333" s="29">
        <v>28</v>
      </c>
      <c r="D333" s="29">
        <v>44</v>
      </c>
      <c r="E333" s="29">
        <v>22</v>
      </c>
      <c r="F333" s="28">
        <v>70.6357</v>
      </c>
      <c r="G333" s="28">
        <v>6.5299999999999997E-2</v>
      </c>
      <c r="H333" s="31" t="s">
        <v>12</v>
      </c>
      <c r="I333" s="31">
        <v>4</v>
      </c>
      <c r="J333" s="28">
        <v>2</v>
      </c>
      <c r="K333" s="28">
        <v>2</v>
      </c>
      <c r="L333" s="28">
        <v>9</v>
      </c>
      <c r="M333" s="28" t="s">
        <v>46</v>
      </c>
      <c r="N333" s="28" t="s">
        <v>19</v>
      </c>
      <c r="O333" s="33">
        <v>767.7</v>
      </c>
      <c r="P333" t="s">
        <v>18</v>
      </c>
    </row>
    <row r="334" spans="1:16" hidden="1" x14ac:dyDescent="0.2">
      <c r="A334" t="s">
        <v>37</v>
      </c>
      <c r="B334" s="25">
        <v>45770</v>
      </c>
      <c r="C334" s="29">
        <v>28</v>
      </c>
      <c r="D334" s="29">
        <v>45</v>
      </c>
      <c r="E334" s="29">
        <v>23</v>
      </c>
      <c r="F334" s="28">
        <v>125.6101</v>
      </c>
      <c r="G334" s="28">
        <v>0.11609999999999999</v>
      </c>
      <c r="H334" s="31" t="s">
        <v>12</v>
      </c>
      <c r="I334" s="31">
        <v>5</v>
      </c>
      <c r="J334" s="28">
        <v>1</v>
      </c>
      <c r="K334" s="28">
        <v>1</v>
      </c>
      <c r="L334" s="28">
        <v>79</v>
      </c>
      <c r="M334" s="28" t="s">
        <v>43</v>
      </c>
      <c r="N334" s="28" t="s">
        <v>49</v>
      </c>
      <c r="O334" s="33">
        <v>997.3</v>
      </c>
      <c r="P334" t="s">
        <v>18</v>
      </c>
    </row>
    <row r="335" spans="1:16" x14ac:dyDescent="0.2">
      <c r="A335" t="s">
        <v>37</v>
      </c>
      <c r="B335" s="25">
        <v>45770</v>
      </c>
      <c r="C335" s="29">
        <v>28</v>
      </c>
      <c r="D335" s="29">
        <v>46</v>
      </c>
      <c r="E335" s="29">
        <v>23</v>
      </c>
      <c r="F335" s="28">
        <v>125.6101</v>
      </c>
      <c r="G335" s="28">
        <v>0.11609999999999999</v>
      </c>
      <c r="H335" s="31" t="s">
        <v>12</v>
      </c>
      <c r="I335" s="31">
        <v>5</v>
      </c>
      <c r="J335" s="28">
        <v>1</v>
      </c>
      <c r="K335" s="28">
        <v>2</v>
      </c>
      <c r="L335" s="28">
        <v>65</v>
      </c>
      <c r="M335" s="28" t="s">
        <v>46</v>
      </c>
      <c r="N335" s="28" t="s">
        <v>23</v>
      </c>
      <c r="O335" s="33">
        <v>507.2</v>
      </c>
      <c r="P335" t="s">
        <v>18</v>
      </c>
    </row>
    <row r="336" spans="1:16" hidden="1" x14ac:dyDescent="0.2">
      <c r="A336" t="s">
        <v>37</v>
      </c>
      <c r="B336" s="25">
        <v>45770</v>
      </c>
      <c r="C336" s="29">
        <v>28</v>
      </c>
      <c r="D336" s="29">
        <v>47</v>
      </c>
      <c r="E336" s="29">
        <v>24</v>
      </c>
      <c r="F336" s="28">
        <v>125.6101</v>
      </c>
      <c r="G336" s="28">
        <v>0.11609999999999999</v>
      </c>
      <c r="H336" s="31" t="s">
        <v>12</v>
      </c>
      <c r="I336" s="31">
        <v>5</v>
      </c>
      <c r="J336" s="28">
        <v>2</v>
      </c>
      <c r="K336" s="28">
        <v>1</v>
      </c>
      <c r="L336" s="28">
        <v>32</v>
      </c>
      <c r="M336" s="28" t="s">
        <v>43</v>
      </c>
      <c r="N336" s="28" t="s">
        <v>47</v>
      </c>
      <c r="O336" s="33">
        <v>709.5</v>
      </c>
      <c r="P336" t="s">
        <v>18</v>
      </c>
    </row>
    <row r="337" spans="1:16" hidden="1" x14ac:dyDescent="0.2">
      <c r="A337" t="s">
        <v>37</v>
      </c>
      <c r="B337" s="25">
        <v>45770</v>
      </c>
      <c r="C337" s="29">
        <v>28</v>
      </c>
      <c r="D337" s="29">
        <v>48</v>
      </c>
      <c r="E337" s="29">
        <v>24</v>
      </c>
      <c r="F337" s="28">
        <v>125.6101</v>
      </c>
      <c r="G337" s="28">
        <v>0.11609999999999999</v>
      </c>
      <c r="H337" s="31" t="s">
        <v>12</v>
      </c>
      <c r="I337" s="31">
        <v>5</v>
      </c>
      <c r="J337" s="28">
        <v>2</v>
      </c>
      <c r="K337" s="28">
        <v>2</v>
      </c>
      <c r="L337" s="28">
        <v>61</v>
      </c>
      <c r="M337" s="28" t="s">
        <v>46</v>
      </c>
      <c r="N337" s="28" t="s">
        <v>25</v>
      </c>
      <c r="O337" s="33">
        <v>510.3</v>
      </c>
      <c r="P337" t="s">
        <v>18</v>
      </c>
    </row>
    <row r="338" spans="1:16" hidden="1" x14ac:dyDescent="0.2">
      <c r="A338" t="s">
        <v>37</v>
      </c>
      <c r="B338" s="25">
        <v>45770</v>
      </c>
      <c r="C338" s="29">
        <v>28</v>
      </c>
      <c r="D338" s="29">
        <v>49</v>
      </c>
      <c r="E338" s="29">
        <v>25</v>
      </c>
      <c r="F338" s="28">
        <v>223.3698</v>
      </c>
      <c r="G338" s="28">
        <v>0.2064</v>
      </c>
      <c r="H338" s="31" t="s">
        <v>12</v>
      </c>
      <c r="I338" s="31">
        <v>6</v>
      </c>
      <c r="J338" s="28">
        <v>1</v>
      </c>
      <c r="K338" s="28">
        <v>1</v>
      </c>
      <c r="L338" s="28">
        <v>55</v>
      </c>
      <c r="M338" s="28" t="s">
        <v>44</v>
      </c>
      <c r="N338" s="28" t="s">
        <v>20</v>
      </c>
      <c r="O338" s="33">
        <v>437.1</v>
      </c>
      <c r="P338" t="s">
        <v>18</v>
      </c>
    </row>
    <row r="339" spans="1:16" hidden="1" x14ac:dyDescent="0.2">
      <c r="A339" t="s">
        <v>37</v>
      </c>
      <c r="B339" s="25">
        <v>45770</v>
      </c>
      <c r="C339" s="29">
        <v>28</v>
      </c>
      <c r="D339" s="29">
        <v>50</v>
      </c>
      <c r="E339" s="29">
        <v>25</v>
      </c>
      <c r="F339" s="28">
        <v>223.3698</v>
      </c>
      <c r="G339" s="28">
        <v>0.2064</v>
      </c>
      <c r="H339" s="31" t="s">
        <v>12</v>
      </c>
      <c r="I339" s="31">
        <v>6</v>
      </c>
      <c r="J339" s="28">
        <v>1</v>
      </c>
      <c r="K339" s="28">
        <v>2</v>
      </c>
      <c r="L339" s="28">
        <v>13</v>
      </c>
      <c r="M339" s="28" t="s">
        <v>45</v>
      </c>
      <c r="N339" s="28" t="s">
        <v>21</v>
      </c>
      <c r="O339" s="33">
        <v>566.9</v>
      </c>
      <c r="P339" t="s">
        <v>18</v>
      </c>
    </row>
    <row r="340" spans="1:16" hidden="1" x14ac:dyDescent="0.2">
      <c r="A340" t="s">
        <v>37</v>
      </c>
      <c r="B340" s="25">
        <v>45770</v>
      </c>
      <c r="C340" s="29">
        <v>28</v>
      </c>
      <c r="D340" s="29">
        <v>51</v>
      </c>
      <c r="E340" s="29">
        <v>26</v>
      </c>
      <c r="F340" s="28">
        <v>223.3698</v>
      </c>
      <c r="G340" s="28">
        <v>0.2064</v>
      </c>
      <c r="H340" s="31" t="s">
        <v>12</v>
      </c>
      <c r="I340" s="31">
        <v>6</v>
      </c>
      <c r="J340" s="28">
        <v>2</v>
      </c>
      <c r="K340" s="28">
        <v>1</v>
      </c>
      <c r="L340" s="28">
        <v>23</v>
      </c>
      <c r="M340" s="28" t="s">
        <v>43</v>
      </c>
      <c r="N340" s="28" t="s">
        <v>32</v>
      </c>
      <c r="O340" s="33">
        <v>414.7</v>
      </c>
      <c r="P340" t="s">
        <v>18</v>
      </c>
    </row>
    <row r="341" spans="1:16" hidden="1" x14ac:dyDescent="0.2">
      <c r="A341" t="s">
        <v>37</v>
      </c>
      <c r="B341" s="25">
        <v>45770</v>
      </c>
      <c r="C341" s="29">
        <v>28</v>
      </c>
      <c r="D341" s="29">
        <v>52</v>
      </c>
      <c r="E341" s="29">
        <v>26</v>
      </c>
      <c r="F341" s="28">
        <v>223.3698</v>
      </c>
      <c r="G341" s="28">
        <v>0.2064</v>
      </c>
      <c r="H341" s="31" t="s">
        <v>12</v>
      </c>
      <c r="I341" s="31">
        <v>6</v>
      </c>
      <c r="J341" s="28">
        <v>2</v>
      </c>
      <c r="K341" s="28">
        <v>2</v>
      </c>
      <c r="L341" s="28">
        <v>4</v>
      </c>
      <c r="M341" s="28" t="s">
        <v>46</v>
      </c>
      <c r="N341" s="28" t="s">
        <v>19</v>
      </c>
      <c r="O341" s="33">
        <v>461.8</v>
      </c>
      <c r="P341" t="s">
        <v>18</v>
      </c>
    </row>
    <row r="342" spans="1:16" hidden="1" x14ac:dyDescent="0.2">
      <c r="A342" t="s">
        <v>37</v>
      </c>
      <c r="B342" s="25">
        <v>45770</v>
      </c>
      <c r="C342" s="29">
        <v>28</v>
      </c>
      <c r="D342" s="29">
        <v>53</v>
      </c>
      <c r="E342" s="29">
        <v>27</v>
      </c>
      <c r="F342" s="28">
        <v>397.214</v>
      </c>
      <c r="G342" s="28">
        <v>0.36709999999999998</v>
      </c>
      <c r="H342" s="31" t="s">
        <v>12</v>
      </c>
      <c r="I342" s="31">
        <v>7</v>
      </c>
      <c r="J342" s="28">
        <v>1</v>
      </c>
      <c r="K342" s="28">
        <v>1</v>
      </c>
      <c r="L342" s="28">
        <v>66</v>
      </c>
      <c r="M342" s="28" t="s">
        <v>43</v>
      </c>
      <c r="N342" s="28" t="s">
        <v>23</v>
      </c>
      <c r="O342" s="33">
        <v>447.6</v>
      </c>
      <c r="P342" t="s">
        <v>18</v>
      </c>
    </row>
    <row r="343" spans="1:16" hidden="1" x14ac:dyDescent="0.2">
      <c r="A343" t="s">
        <v>37</v>
      </c>
      <c r="B343" s="25">
        <v>45770</v>
      </c>
      <c r="C343" s="29">
        <v>28</v>
      </c>
      <c r="D343" s="29">
        <v>54</v>
      </c>
      <c r="E343" s="29">
        <v>27</v>
      </c>
      <c r="F343" s="28">
        <v>397.214</v>
      </c>
      <c r="G343" s="28">
        <v>0.36709999999999998</v>
      </c>
      <c r="H343" s="31" t="s">
        <v>12</v>
      </c>
      <c r="I343" s="31">
        <v>7</v>
      </c>
      <c r="J343" s="28">
        <v>1</v>
      </c>
      <c r="K343" s="28">
        <v>2</v>
      </c>
      <c r="L343" s="28">
        <v>46</v>
      </c>
      <c r="M343" s="28" t="s">
        <v>46</v>
      </c>
      <c r="N343" s="28" t="s">
        <v>48</v>
      </c>
      <c r="O343" s="33">
        <v>341.9</v>
      </c>
      <c r="P343" t="s">
        <v>18</v>
      </c>
    </row>
    <row r="344" spans="1:16" hidden="1" x14ac:dyDescent="0.2">
      <c r="A344" t="s">
        <v>37</v>
      </c>
      <c r="B344" s="25">
        <v>45770</v>
      </c>
      <c r="C344" s="29">
        <v>28</v>
      </c>
      <c r="D344" s="29">
        <v>55</v>
      </c>
      <c r="E344" s="29">
        <v>28</v>
      </c>
      <c r="F344" s="28">
        <v>397.214</v>
      </c>
      <c r="G344" s="28">
        <v>0.36709999999999998</v>
      </c>
      <c r="H344" s="31" t="s">
        <v>12</v>
      </c>
      <c r="I344" s="31">
        <v>7</v>
      </c>
      <c r="J344" s="28">
        <v>2</v>
      </c>
      <c r="K344" s="28">
        <v>1</v>
      </c>
      <c r="L344" s="28">
        <v>66</v>
      </c>
      <c r="M344" s="28" t="s">
        <v>44</v>
      </c>
      <c r="N344" s="28" t="s">
        <v>23</v>
      </c>
      <c r="O344" s="33">
        <v>470.2</v>
      </c>
      <c r="P344" t="s">
        <v>18</v>
      </c>
    </row>
    <row r="345" spans="1:16" hidden="1" x14ac:dyDescent="0.2">
      <c r="A345" t="s">
        <v>37</v>
      </c>
      <c r="B345" s="25">
        <v>45770</v>
      </c>
      <c r="C345" s="29">
        <v>28</v>
      </c>
      <c r="D345" s="29">
        <v>56</v>
      </c>
      <c r="E345" s="29">
        <v>28</v>
      </c>
      <c r="F345" s="28">
        <v>397.214</v>
      </c>
      <c r="G345" s="28">
        <v>0.36709999999999998</v>
      </c>
      <c r="H345" s="31" t="s">
        <v>12</v>
      </c>
      <c r="I345" s="31">
        <v>7</v>
      </c>
      <c r="J345" s="28">
        <v>2</v>
      </c>
      <c r="K345" s="28">
        <v>2</v>
      </c>
      <c r="L345" s="28">
        <v>46</v>
      </c>
      <c r="M345" s="28" t="s">
        <v>45</v>
      </c>
      <c r="N345" s="28" t="s">
        <v>48</v>
      </c>
      <c r="O345" s="33">
        <v>264.89999999999998</v>
      </c>
      <c r="P345" t="s">
        <v>18</v>
      </c>
    </row>
    <row r="346" spans="1:16" hidden="1" x14ac:dyDescent="0.2">
      <c r="A346" t="s">
        <v>37</v>
      </c>
      <c r="B346" s="25">
        <v>45770</v>
      </c>
      <c r="C346" s="29">
        <v>28</v>
      </c>
      <c r="D346" s="29">
        <v>57</v>
      </c>
      <c r="E346" s="29">
        <v>29</v>
      </c>
      <c r="F346" s="28">
        <v>0.47089999999999999</v>
      </c>
      <c r="G346" s="28">
        <v>1.2999999999999999E-3</v>
      </c>
      <c r="H346" s="31" t="s">
        <v>13</v>
      </c>
      <c r="I346" s="31">
        <v>1</v>
      </c>
      <c r="J346" s="28">
        <v>1</v>
      </c>
      <c r="K346" s="28">
        <v>1</v>
      </c>
      <c r="L346" s="28">
        <v>80</v>
      </c>
      <c r="M346" s="28" t="s">
        <v>44</v>
      </c>
      <c r="N346" s="28" t="s">
        <v>50</v>
      </c>
      <c r="O346" s="33">
        <v>724.2</v>
      </c>
      <c r="P346" t="s">
        <v>18</v>
      </c>
    </row>
    <row r="347" spans="1:16" hidden="1" x14ac:dyDescent="0.2">
      <c r="A347" t="s">
        <v>37</v>
      </c>
      <c r="B347" s="25">
        <v>45770</v>
      </c>
      <c r="C347" s="29">
        <v>28</v>
      </c>
      <c r="D347" s="29">
        <v>58</v>
      </c>
      <c r="E347" s="29">
        <v>29</v>
      </c>
      <c r="F347" s="28">
        <v>0.47089999999999999</v>
      </c>
      <c r="G347" s="28">
        <v>1.2999999999999999E-3</v>
      </c>
      <c r="H347" s="31" t="s">
        <v>13</v>
      </c>
      <c r="I347" s="31">
        <v>1</v>
      </c>
      <c r="J347" s="28">
        <v>1</v>
      </c>
      <c r="K347" s="28">
        <v>2</v>
      </c>
      <c r="L347" s="28">
        <v>9</v>
      </c>
      <c r="M347" s="28" t="s">
        <v>45</v>
      </c>
      <c r="N347" s="28" t="s">
        <v>19</v>
      </c>
      <c r="O347" s="33">
        <v>811.9</v>
      </c>
      <c r="P347" t="s">
        <v>18</v>
      </c>
    </row>
    <row r="348" spans="1:16" hidden="1" x14ac:dyDescent="0.2">
      <c r="A348" t="s">
        <v>37</v>
      </c>
      <c r="B348" s="25">
        <v>45770</v>
      </c>
      <c r="C348" s="29">
        <v>28</v>
      </c>
      <c r="D348" s="29">
        <v>59</v>
      </c>
      <c r="E348" s="29">
        <v>30</v>
      </c>
      <c r="F348" s="28">
        <v>0.47089999999999999</v>
      </c>
      <c r="G348" s="28">
        <v>1.2999999999999999E-3</v>
      </c>
      <c r="H348" s="31" t="s">
        <v>13</v>
      </c>
      <c r="I348" s="31">
        <v>1</v>
      </c>
      <c r="J348" s="28">
        <v>2</v>
      </c>
      <c r="K348" s="28">
        <v>1</v>
      </c>
      <c r="L348" s="28">
        <v>67</v>
      </c>
      <c r="M348" s="28" t="s">
        <v>43</v>
      </c>
      <c r="N348" s="28" t="s">
        <v>23</v>
      </c>
      <c r="O348" s="33">
        <v>771.7</v>
      </c>
      <c r="P348" t="s">
        <v>18</v>
      </c>
    </row>
    <row r="349" spans="1:16" hidden="1" x14ac:dyDescent="0.2">
      <c r="A349" t="s">
        <v>37</v>
      </c>
      <c r="B349" s="25">
        <v>45770</v>
      </c>
      <c r="C349" s="29">
        <v>28</v>
      </c>
      <c r="D349" s="29">
        <v>60</v>
      </c>
      <c r="E349" s="29">
        <v>30</v>
      </c>
      <c r="F349" s="28">
        <v>0.47089999999999999</v>
      </c>
      <c r="G349" s="28">
        <v>1.2999999999999999E-3</v>
      </c>
      <c r="H349" s="31" t="s">
        <v>13</v>
      </c>
      <c r="I349" s="31">
        <v>1</v>
      </c>
      <c r="J349" s="28">
        <v>2</v>
      </c>
      <c r="K349" s="28">
        <v>2</v>
      </c>
      <c r="L349" s="28">
        <v>73</v>
      </c>
      <c r="M349" s="28" t="s">
        <v>46</v>
      </c>
      <c r="N349" s="28" t="s">
        <v>24</v>
      </c>
      <c r="O349" s="33">
        <v>658.5</v>
      </c>
      <c r="P349" t="s">
        <v>18</v>
      </c>
    </row>
    <row r="350" spans="1:16" hidden="1" x14ac:dyDescent="0.2">
      <c r="A350" t="s">
        <v>37</v>
      </c>
      <c r="B350" s="25">
        <v>45770</v>
      </c>
      <c r="C350" s="29">
        <v>28</v>
      </c>
      <c r="D350" s="29">
        <v>33</v>
      </c>
      <c r="E350" s="29">
        <v>17</v>
      </c>
      <c r="F350" s="28">
        <v>7.0636000000000001</v>
      </c>
      <c r="G350" s="28">
        <v>6.4999999999999997E-3</v>
      </c>
      <c r="H350" s="31" t="s">
        <v>12</v>
      </c>
      <c r="I350" s="31">
        <v>2</v>
      </c>
      <c r="J350" s="28">
        <v>1</v>
      </c>
      <c r="K350" s="28">
        <v>1</v>
      </c>
      <c r="L350" s="28">
        <v>29</v>
      </c>
      <c r="M350" s="28" t="s">
        <v>43</v>
      </c>
      <c r="N350" s="28" t="s">
        <v>32</v>
      </c>
      <c r="O350" s="33">
        <v>814.7</v>
      </c>
      <c r="P350" t="s">
        <v>18</v>
      </c>
    </row>
    <row r="351" spans="1:16" hidden="1" x14ac:dyDescent="0.2">
      <c r="A351" t="s">
        <v>37</v>
      </c>
      <c r="B351" s="25">
        <v>45770</v>
      </c>
      <c r="C351" s="29">
        <v>28</v>
      </c>
      <c r="D351" s="29">
        <v>34</v>
      </c>
      <c r="E351" s="29">
        <v>17</v>
      </c>
      <c r="F351" s="28">
        <v>7.0636000000000001</v>
      </c>
      <c r="G351" s="28">
        <v>6.4999999999999997E-3</v>
      </c>
      <c r="H351" s="31" t="s">
        <v>12</v>
      </c>
      <c r="I351" s="31">
        <v>2</v>
      </c>
      <c r="J351" s="28">
        <v>1</v>
      </c>
      <c r="K351" s="28">
        <v>2</v>
      </c>
      <c r="L351" s="28">
        <v>29</v>
      </c>
      <c r="M351" s="28" t="s">
        <v>46</v>
      </c>
      <c r="N351" s="28" t="s">
        <v>32</v>
      </c>
      <c r="O351" s="33">
        <v>810.3</v>
      </c>
      <c r="P351" t="s">
        <v>18</v>
      </c>
    </row>
    <row r="352" spans="1:16" hidden="1" x14ac:dyDescent="0.2">
      <c r="A352" t="s">
        <v>37</v>
      </c>
      <c r="B352" s="25">
        <v>45770</v>
      </c>
      <c r="C352" s="29">
        <v>28</v>
      </c>
      <c r="D352" s="29">
        <v>63</v>
      </c>
      <c r="E352" s="29">
        <v>32</v>
      </c>
      <c r="F352" s="28">
        <v>4.7089999999999996</v>
      </c>
      <c r="G352" s="28">
        <v>1.3100000000000001E-2</v>
      </c>
      <c r="H352" s="31" t="s">
        <v>13</v>
      </c>
      <c r="I352" s="31">
        <v>2</v>
      </c>
      <c r="J352" s="28">
        <v>2</v>
      </c>
      <c r="K352" s="28">
        <v>1</v>
      </c>
      <c r="L352" s="28">
        <v>77</v>
      </c>
      <c r="M352" s="28" t="s">
        <v>43</v>
      </c>
      <c r="N352" s="28" t="s">
        <v>25</v>
      </c>
      <c r="O352" s="33">
        <v>944</v>
      </c>
      <c r="P352" t="s">
        <v>18</v>
      </c>
    </row>
    <row r="353" spans="1:16" hidden="1" x14ac:dyDescent="0.2">
      <c r="A353" t="s">
        <v>37</v>
      </c>
      <c r="B353" s="25">
        <v>45770</v>
      </c>
      <c r="C353" s="29">
        <v>28</v>
      </c>
      <c r="D353" s="29">
        <v>64</v>
      </c>
      <c r="E353" s="29">
        <v>32</v>
      </c>
      <c r="F353" s="28">
        <v>4.7089999999999996</v>
      </c>
      <c r="G353" s="28">
        <v>1.3100000000000001E-2</v>
      </c>
      <c r="H353" s="31" t="s">
        <v>13</v>
      </c>
      <c r="I353" s="31">
        <v>2</v>
      </c>
      <c r="J353" s="28">
        <v>2</v>
      </c>
      <c r="K353" s="28">
        <v>2</v>
      </c>
      <c r="L353" s="28">
        <v>67</v>
      </c>
      <c r="M353" s="28" t="s">
        <v>46</v>
      </c>
      <c r="N353" s="28" t="s">
        <v>23</v>
      </c>
      <c r="O353" s="33">
        <v>557.4</v>
      </c>
      <c r="P353" t="s">
        <v>18</v>
      </c>
    </row>
    <row r="354" spans="1:16" hidden="1" x14ac:dyDescent="0.2">
      <c r="A354" t="s">
        <v>37</v>
      </c>
      <c r="B354" s="25">
        <v>45770</v>
      </c>
      <c r="C354" s="29">
        <v>28</v>
      </c>
      <c r="D354" s="29">
        <v>65</v>
      </c>
      <c r="E354" s="29">
        <v>33</v>
      </c>
      <c r="F354" s="28">
        <v>26.480899999999998</v>
      </c>
      <c r="G354" s="28">
        <v>7.3400000000000007E-2</v>
      </c>
      <c r="H354" s="31" t="s">
        <v>13</v>
      </c>
      <c r="I354" s="31">
        <v>3</v>
      </c>
      <c r="J354" s="28">
        <v>1</v>
      </c>
      <c r="K354" s="28">
        <v>1</v>
      </c>
      <c r="L354" s="28">
        <v>78</v>
      </c>
      <c r="M354" s="28" t="s">
        <v>43</v>
      </c>
      <c r="N354" s="28" t="s">
        <v>25</v>
      </c>
      <c r="O354" s="33">
        <v>722.1</v>
      </c>
      <c r="P354" t="s">
        <v>18</v>
      </c>
    </row>
    <row r="355" spans="1:16" hidden="1" x14ac:dyDescent="0.2">
      <c r="A355" t="s">
        <v>37</v>
      </c>
      <c r="B355" s="25">
        <v>45770</v>
      </c>
      <c r="C355" s="29">
        <v>28</v>
      </c>
      <c r="D355" s="29">
        <v>66</v>
      </c>
      <c r="E355" s="29">
        <v>33</v>
      </c>
      <c r="F355" s="28">
        <v>26.480899999999998</v>
      </c>
      <c r="G355" s="28">
        <v>7.3400000000000007E-2</v>
      </c>
      <c r="H355" s="31" t="s">
        <v>13</v>
      </c>
      <c r="I355" s="31">
        <v>3</v>
      </c>
      <c r="J355" s="28">
        <v>1</v>
      </c>
      <c r="K355" s="28">
        <v>2</v>
      </c>
      <c r="L355" s="28">
        <v>18</v>
      </c>
      <c r="M355" s="28" t="s">
        <v>46</v>
      </c>
      <c r="N355" s="28" t="s">
        <v>21</v>
      </c>
      <c r="O355" s="33">
        <v>733.6</v>
      </c>
      <c r="P355" t="s">
        <v>18</v>
      </c>
    </row>
    <row r="356" spans="1:16" hidden="1" x14ac:dyDescent="0.2">
      <c r="A356" t="s">
        <v>37</v>
      </c>
      <c r="B356" s="25">
        <v>45770</v>
      </c>
      <c r="C356" s="29">
        <v>28</v>
      </c>
      <c r="D356" s="29">
        <v>67</v>
      </c>
      <c r="E356" s="29">
        <v>34</v>
      </c>
      <c r="F356" s="28">
        <v>26.480899999999998</v>
      </c>
      <c r="G356" s="28">
        <v>7.3400000000000007E-2</v>
      </c>
      <c r="H356" s="31" t="s">
        <v>13</v>
      </c>
      <c r="I356" s="31">
        <v>3</v>
      </c>
      <c r="J356" s="28">
        <v>2</v>
      </c>
      <c r="K356" s="28">
        <v>1</v>
      </c>
      <c r="L356" s="28">
        <v>46</v>
      </c>
      <c r="M356" s="28" t="s">
        <v>44</v>
      </c>
      <c r="N356" s="28" t="s">
        <v>48</v>
      </c>
      <c r="O356" s="33">
        <v>450.6</v>
      </c>
      <c r="P356" t="s">
        <v>18</v>
      </c>
    </row>
    <row r="357" spans="1:16" hidden="1" x14ac:dyDescent="0.2">
      <c r="A357" t="s">
        <v>37</v>
      </c>
      <c r="B357" s="25">
        <v>45770</v>
      </c>
      <c r="C357" s="29">
        <v>28</v>
      </c>
      <c r="D357" s="29">
        <v>68</v>
      </c>
      <c r="E357" s="29">
        <v>34</v>
      </c>
      <c r="F357" s="28">
        <v>26.480899999999998</v>
      </c>
      <c r="G357" s="28">
        <v>7.3400000000000007E-2</v>
      </c>
      <c r="H357" s="31" t="s">
        <v>13</v>
      </c>
      <c r="I357" s="31">
        <v>3</v>
      </c>
      <c r="J357" s="28">
        <v>2</v>
      </c>
      <c r="K357" s="28">
        <v>2</v>
      </c>
      <c r="L357" s="28">
        <v>80</v>
      </c>
      <c r="M357" s="28" t="s">
        <v>45</v>
      </c>
      <c r="N357" s="28" t="s">
        <v>50</v>
      </c>
      <c r="O357" s="33">
        <v>815.2</v>
      </c>
      <c r="P357" t="s">
        <v>18</v>
      </c>
    </row>
    <row r="358" spans="1:16" hidden="1" x14ac:dyDescent="0.2">
      <c r="A358" t="s">
        <v>37</v>
      </c>
      <c r="B358" s="25">
        <v>45770</v>
      </c>
      <c r="C358" s="29">
        <v>28</v>
      </c>
      <c r="D358" s="29">
        <v>69</v>
      </c>
      <c r="E358" s="29">
        <v>35</v>
      </c>
      <c r="F358" s="28">
        <v>47.090499999999999</v>
      </c>
      <c r="G358" s="28">
        <v>0.1305</v>
      </c>
      <c r="H358" s="31" t="s">
        <v>13</v>
      </c>
      <c r="I358" s="31">
        <v>4</v>
      </c>
      <c r="J358" s="28">
        <v>1</v>
      </c>
      <c r="K358" s="28">
        <v>1</v>
      </c>
      <c r="L358" s="28">
        <v>65</v>
      </c>
      <c r="M358" s="28" t="s">
        <v>44</v>
      </c>
      <c r="N358" s="28" t="s">
        <v>23</v>
      </c>
      <c r="O358" s="33">
        <v>496.1</v>
      </c>
      <c r="P358" t="s">
        <v>18</v>
      </c>
    </row>
    <row r="359" spans="1:16" hidden="1" x14ac:dyDescent="0.2">
      <c r="A359" t="s">
        <v>37</v>
      </c>
      <c r="B359" s="25">
        <v>45770</v>
      </c>
      <c r="C359" s="29">
        <v>28</v>
      </c>
      <c r="D359" s="29">
        <v>70</v>
      </c>
      <c r="E359" s="29">
        <v>35</v>
      </c>
      <c r="F359" s="28">
        <v>47.090499999999999</v>
      </c>
      <c r="G359" s="28">
        <v>0.1305</v>
      </c>
      <c r="H359" s="31" t="s">
        <v>13</v>
      </c>
      <c r="I359" s="31">
        <v>4</v>
      </c>
      <c r="J359" s="28">
        <v>1</v>
      </c>
      <c r="K359" s="28">
        <v>2</v>
      </c>
      <c r="L359" s="28">
        <v>78</v>
      </c>
      <c r="M359" s="28" t="s">
        <v>45</v>
      </c>
      <c r="N359" s="28" t="s">
        <v>25</v>
      </c>
      <c r="O359" s="33">
        <v>679.9</v>
      </c>
      <c r="P359" t="s">
        <v>18</v>
      </c>
    </row>
    <row r="360" spans="1:16" hidden="1" x14ac:dyDescent="0.2">
      <c r="A360" t="s">
        <v>37</v>
      </c>
      <c r="B360" s="25">
        <v>45770</v>
      </c>
      <c r="C360" s="29">
        <v>28</v>
      </c>
      <c r="D360" s="29">
        <v>71</v>
      </c>
      <c r="E360" s="29">
        <v>36</v>
      </c>
      <c r="F360" s="28">
        <v>47.090499999999999</v>
      </c>
      <c r="G360" s="28">
        <v>0.1305</v>
      </c>
      <c r="H360" s="31" t="s">
        <v>13</v>
      </c>
      <c r="I360" s="31">
        <v>4</v>
      </c>
      <c r="J360" s="28">
        <v>2</v>
      </c>
      <c r="K360" s="28">
        <v>1</v>
      </c>
      <c r="L360" s="28">
        <v>29</v>
      </c>
      <c r="M360" s="28" t="s">
        <v>44</v>
      </c>
      <c r="N360" s="28" t="s">
        <v>32</v>
      </c>
      <c r="O360" s="33">
        <v>729.3</v>
      </c>
      <c r="P360" t="s">
        <v>18</v>
      </c>
    </row>
    <row r="361" spans="1:16" hidden="1" x14ac:dyDescent="0.2">
      <c r="A361" t="s">
        <v>37</v>
      </c>
      <c r="B361" s="25">
        <v>45770</v>
      </c>
      <c r="C361" s="29">
        <v>28</v>
      </c>
      <c r="D361" s="29">
        <v>72</v>
      </c>
      <c r="E361" s="29">
        <v>36</v>
      </c>
      <c r="F361" s="28">
        <v>47.090499999999999</v>
      </c>
      <c r="G361" s="28">
        <v>0.1305</v>
      </c>
      <c r="H361" s="31" t="s">
        <v>13</v>
      </c>
      <c r="I361" s="31">
        <v>4</v>
      </c>
      <c r="J361" s="28">
        <v>2</v>
      </c>
      <c r="K361" s="28">
        <v>2</v>
      </c>
      <c r="L361" s="28">
        <v>29</v>
      </c>
      <c r="M361" s="28" t="s">
        <v>45</v>
      </c>
      <c r="N361" s="28" t="s">
        <v>32</v>
      </c>
      <c r="O361" s="33">
        <v>601.5</v>
      </c>
      <c r="P361" t="s">
        <v>18</v>
      </c>
    </row>
    <row r="362" spans="1:16" hidden="1" x14ac:dyDescent="0.2">
      <c r="A362" t="s">
        <v>37</v>
      </c>
      <c r="B362" s="25">
        <v>45770</v>
      </c>
      <c r="C362" s="29">
        <v>28</v>
      </c>
      <c r="D362" s="29">
        <v>73</v>
      </c>
      <c r="E362" s="29">
        <v>37</v>
      </c>
      <c r="F362" s="28">
        <v>83.740099999999998</v>
      </c>
      <c r="G362" s="28">
        <v>0.2321</v>
      </c>
      <c r="H362" s="31" t="s">
        <v>13</v>
      </c>
      <c r="I362" s="31">
        <v>5</v>
      </c>
      <c r="J362" s="28">
        <v>1</v>
      </c>
      <c r="K362" s="28">
        <v>1</v>
      </c>
      <c r="L362" s="28">
        <v>13</v>
      </c>
      <c r="M362" s="28" t="s">
        <v>43</v>
      </c>
      <c r="N362" s="28" t="s">
        <v>21</v>
      </c>
      <c r="O362" s="33">
        <v>558.29999999999995</v>
      </c>
      <c r="P362" t="s">
        <v>18</v>
      </c>
    </row>
    <row r="363" spans="1:16" x14ac:dyDescent="0.2">
      <c r="A363" t="s">
        <v>37</v>
      </c>
      <c r="B363" s="25">
        <v>45770</v>
      </c>
      <c r="C363" s="29">
        <v>28</v>
      </c>
      <c r="D363" s="29">
        <v>74</v>
      </c>
      <c r="E363" s="29">
        <v>37</v>
      </c>
      <c r="F363" s="28">
        <v>83.740099999999998</v>
      </c>
      <c r="G363" s="28">
        <v>0.2321</v>
      </c>
      <c r="H363" s="31" t="s">
        <v>13</v>
      </c>
      <c r="I363" s="31">
        <v>5</v>
      </c>
      <c r="J363" s="28">
        <v>1</v>
      </c>
      <c r="K363" s="28">
        <v>2</v>
      </c>
      <c r="L363" s="28">
        <v>1</v>
      </c>
      <c r="M363" s="28" t="s">
        <v>46</v>
      </c>
      <c r="N363" s="28" t="s">
        <v>19</v>
      </c>
      <c r="O363" s="33">
        <v>555.9</v>
      </c>
      <c r="P363" t="s">
        <v>18</v>
      </c>
    </row>
    <row r="364" spans="1:16" hidden="1" x14ac:dyDescent="0.2">
      <c r="A364" t="s">
        <v>37</v>
      </c>
      <c r="B364" s="25">
        <v>45770</v>
      </c>
      <c r="C364" s="29">
        <v>28</v>
      </c>
      <c r="D364" s="29">
        <v>75</v>
      </c>
      <c r="E364" s="29">
        <v>38</v>
      </c>
      <c r="F364" s="28">
        <v>83.740099999999998</v>
      </c>
      <c r="G364" s="28">
        <v>0.2321</v>
      </c>
      <c r="H364" s="31" t="s">
        <v>13</v>
      </c>
      <c r="I364" s="31">
        <v>5</v>
      </c>
      <c r="J364" s="28">
        <v>2</v>
      </c>
      <c r="K364" s="28">
        <v>1</v>
      </c>
      <c r="L364" s="28">
        <v>61</v>
      </c>
      <c r="M364" s="28" t="s">
        <v>43</v>
      </c>
      <c r="N364" s="28" t="s">
        <v>25</v>
      </c>
      <c r="O364" s="33">
        <v>652</v>
      </c>
      <c r="P364" t="s">
        <v>18</v>
      </c>
    </row>
    <row r="365" spans="1:16" hidden="1" x14ac:dyDescent="0.2">
      <c r="A365" t="s">
        <v>37</v>
      </c>
      <c r="B365" s="25">
        <v>45770</v>
      </c>
      <c r="C365" s="29">
        <v>28</v>
      </c>
      <c r="D365" s="29">
        <v>76</v>
      </c>
      <c r="E365" s="29">
        <v>38</v>
      </c>
      <c r="F365" s="28">
        <v>83.740099999999998</v>
      </c>
      <c r="G365" s="28">
        <v>0.2321</v>
      </c>
      <c r="H365" s="31" t="s">
        <v>13</v>
      </c>
      <c r="I365" s="31">
        <v>5</v>
      </c>
      <c r="J365" s="28">
        <v>2</v>
      </c>
      <c r="K365" s="28">
        <v>2</v>
      </c>
      <c r="L365" s="28">
        <v>14</v>
      </c>
      <c r="M365" s="28" t="s">
        <v>46</v>
      </c>
      <c r="N365" s="28" t="s">
        <v>21</v>
      </c>
      <c r="O365" s="33">
        <v>747</v>
      </c>
      <c r="P365" t="s">
        <v>18</v>
      </c>
    </row>
    <row r="366" spans="1:16" hidden="1" x14ac:dyDescent="0.2">
      <c r="A366" t="s">
        <v>37</v>
      </c>
      <c r="B366" s="25">
        <v>45770</v>
      </c>
      <c r="C366" s="29">
        <v>28</v>
      </c>
      <c r="D366" s="29">
        <v>77</v>
      </c>
      <c r="E366" s="29">
        <v>39</v>
      </c>
      <c r="F366" s="28">
        <v>148.91319999999999</v>
      </c>
      <c r="G366" s="28">
        <v>0.4128</v>
      </c>
      <c r="H366" s="31" t="s">
        <v>13</v>
      </c>
      <c r="I366" s="31">
        <v>6</v>
      </c>
      <c r="J366" s="28">
        <v>1</v>
      </c>
      <c r="K366" s="28">
        <v>1</v>
      </c>
      <c r="L366" s="28">
        <v>9</v>
      </c>
      <c r="M366" s="28" t="s">
        <v>44</v>
      </c>
      <c r="N366" s="28" t="s">
        <v>19</v>
      </c>
      <c r="O366" s="33">
        <v>891.4</v>
      </c>
      <c r="P366" t="s">
        <v>18</v>
      </c>
    </row>
    <row r="367" spans="1:16" hidden="1" x14ac:dyDescent="0.2">
      <c r="A367" t="s">
        <v>37</v>
      </c>
      <c r="B367" s="25">
        <v>45770</v>
      </c>
      <c r="C367" s="29">
        <v>28</v>
      </c>
      <c r="D367" s="29">
        <v>78</v>
      </c>
      <c r="E367" s="29">
        <v>39</v>
      </c>
      <c r="F367" s="28">
        <v>148.91319999999999</v>
      </c>
      <c r="G367" s="28">
        <v>0.4128</v>
      </c>
      <c r="H367" s="31" t="s">
        <v>13</v>
      </c>
      <c r="I367" s="31">
        <v>6</v>
      </c>
      <c r="J367" s="28">
        <v>1</v>
      </c>
      <c r="K367" s="28">
        <v>2</v>
      </c>
      <c r="L367" s="28">
        <v>3</v>
      </c>
      <c r="M367" s="28" t="s">
        <v>45</v>
      </c>
      <c r="N367" s="28" t="s">
        <v>19</v>
      </c>
      <c r="O367" s="33">
        <v>426</v>
      </c>
      <c r="P367" t="s">
        <v>18</v>
      </c>
    </row>
    <row r="368" spans="1:16" hidden="1" x14ac:dyDescent="0.2">
      <c r="A368" t="s">
        <v>37</v>
      </c>
      <c r="B368" s="25">
        <v>45770</v>
      </c>
      <c r="C368" s="29">
        <v>28</v>
      </c>
      <c r="D368" s="29">
        <v>79</v>
      </c>
      <c r="E368" s="29">
        <v>40</v>
      </c>
      <c r="F368" s="28">
        <v>148.91319999999999</v>
      </c>
      <c r="G368" s="28">
        <v>0.4128</v>
      </c>
      <c r="H368" s="31" t="s">
        <v>13</v>
      </c>
      <c r="I368" s="31">
        <v>6</v>
      </c>
      <c r="J368" s="28">
        <v>2</v>
      </c>
      <c r="K368" s="28">
        <v>1</v>
      </c>
      <c r="L368" s="28">
        <v>34</v>
      </c>
      <c r="M368" s="28" t="s">
        <v>43</v>
      </c>
      <c r="N368" s="28" t="s">
        <v>47</v>
      </c>
      <c r="O368" s="33">
        <v>444.9</v>
      </c>
      <c r="P368" t="s">
        <v>18</v>
      </c>
    </row>
    <row r="369" spans="1:16" hidden="1" x14ac:dyDescent="0.2">
      <c r="A369" t="s">
        <v>37</v>
      </c>
      <c r="B369" s="25">
        <v>45770</v>
      </c>
      <c r="C369" s="29">
        <v>28</v>
      </c>
      <c r="D369" s="29">
        <v>80</v>
      </c>
      <c r="E369" s="29">
        <v>40</v>
      </c>
      <c r="F369" s="28">
        <v>148.91319999999999</v>
      </c>
      <c r="G369" s="28">
        <v>0.4128</v>
      </c>
      <c r="H369" s="31" t="s">
        <v>13</v>
      </c>
      <c r="I369" s="31">
        <v>6</v>
      </c>
      <c r="J369" s="28">
        <v>2</v>
      </c>
      <c r="K369" s="28">
        <v>2</v>
      </c>
      <c r="L369" s="28">
        <v>23</v>
      </c>
      <c r="M369" s="28" t="s">
        <v>46</v>
      </c>
      <c r="N369" s="28" t="s">
        <v>32</v>
      </c>
      <c r="O369" s="33">
        <v>436.4</v>
      </c>
      <c r="P369" t="s">
        <v>18</v>
      </c>
    </row>
    <row r="370" spans="1:16" hidden="1" x14ac:dyDescent="0.2">
      <c r="A370" t="s">
        <v>37</v>
      </c>
      <c r="B370" s="25">
        <v>45770</v>
      </c>
      <c r="C370" s="29">
        <v>28</v>
      </c>
      <c r="D370" s="29">
        <v>81</v>
      </c>
      <c r="E370" s="29">
        <v>41</v>
      </c>
      <c r="F370" s="28">
        <v>264.80930000000001</v>
      </c>
      <c r="G370" s="28">
        <v>0.73409999999999997</v>
      </c>
      <c r="H370" s="31" t="s">
        <v>13</v>
      </c>
      <c r="I370" s="31">
        <v>7</v>
      </c>
      <c r="J370" s="28">
        <v>1</v>
      </c>
      <c r="K370" s="28">
        <v>1</v>
      </c>
      <c r="L370" s="28">
        <v>78</v>
      </c>
      <c r="M370" s="28" t="s">
        <v>44</v>
      </c>
      <c r="N370" s="28" t="s">
        <v>25</v>
      </c>
      <c r="O370" s="33">
        <v>301.10000000000002</v>
      </c>
      <c r="P370" t="s">
        <v>18</v>
      </c>
    </row>
    <row r="371" spans="1:16" hidden="1" x14ac:dyDescent="0.2">
      <c r="A371" t="s">
        <v>37</v>
      </c>
      <c r="B371" s="25">
        <v>45770</v>
      </c>
      <c r="C371" s="29">
        <v>28</v>
      </c>
      <c r="D371" s="29">
        <v>82</v>
      </c>
      <c r="E371" s="29">
        <v>41</v>
      </c>
      <c r="F371" s="28">
        <v>264.80930000000001</v>
      </c>
      <c r="G371" s="28">
        <v>0.73409999999999997</v>
      </c>
      <c r="H371" s="31" t="s">
        <v>13</v>
      </c>
      <c r="I371" s="31">
        <v>7</v>
      </c>
      <c r="J371" s="28">
        <v>1</v>
      </c>
      <c r="K371" s="28">
        <v>2</v>
      </c>
      <c r="L371" s="28">
        <v>18</v>
      </c>
      <c r="M371" s="28" t="s">
        <v>45</v>
      </c>
      <c r="N371" s="28" t="s">
        <v>21</v>
      </c>
      <c r="O371" s="33">
        <v>655.7</v>
      </c>
      <c r="P371" t="s">
        <v>18</v>
      </c>
    </row>
    <row r="372" spans="1:16" hidden="1" x14ac:dyDescent="0.2">
      <c r="A372" t="s">
        <v>37</v>
      </c>
      <c r="B372" s="25">
        <v>45770</v>
      </c>
      <c r="C372" s="29">
        <v>28</v>
      </c>
      <c r="D372" s="29">
        <v>83</v>
      </c>
      <c r="E372" s="29">
        <v>42</v>
      </c>
      <c r="F372" s="28">
        <v>264.80930000000001</v>
      </c>
      <c r="G372" s="28">
        <v>0.73409999999999997</v>
      </c>
      <c r="H372" s="31" t="s">
        <v>13</v>
      </c>
      <c r="I372" s="31">
        <v>7</v>
      </c>
      <c r="J372" s="28">
        <v>2</v>
      </c>
      <c r="K372" s="28">
        <v>1</v>
      </c>
      <c r="L372" s="28">
        <v>10</v>
      </c>
      <c r="M372" s="28" t="s">
        <v>44</v>
      </c>
      <c r="N372" s="28" t="s">
        <v>19</v>
      </c>
      <c r="O372" s="33">
        <v>308.7</v>
      </c>
      <c r="P372" t="s">
        <v>18</v>
      </c>
    </row>
    <row r="373" spans="1:16" hidden="1" x14ac:dyDescent="0.2">
      <c r="A373" t="s">
        <v>37</v>
      </c>
      <c r="B373" s="25">
        <v>45770</v>
      </c>
      <c r="C373" s="29">
        <v>28</v>
      </c>
      <c r="D373" s="29">
        <v>84</v>
      </c>
      <c r="E373" s="29">
        <v>42</v>
      </c>
      <c r="F373" s="28">
        <v>264.80930000000001</v>
      </c>
      <c r="G373" s="28">
        <v>0.73409999999999997</v>
      </c>
      <c r="H373" s="31" t="s">
        <v>13</v>
      </c>
      <c r="I373" s="31">
        <v>7</v>
      </c>
      <c r="J373" s="28">
        <v>2</v>
      </c>
      <c r="K373" s="28">
        <v>2</v>
      </c>
      <c r="L373" s="28">
        <v>55</v>
      </c>
      <c r="M373" s="28" t="s">
        <v>45</v>
      </c>
      <c r="N373" s="28" t="s">
        <v>20</v>
      </c>
      <c r="O373" s="33">
        <v>206.6</v>
      </c>
      <c r="P373" t="s">
        <v>18</v>
      </c>
    </row>
    <row r="374" spans="1:16" hidden="1" x14ac:dyDescent="0.2">
      <c r="A374" t="s">
        <v>37</v>
      </c>
      <c r="B374" s="25">
        <v>45770</v>
      </c>
      <c r="C374" s="29">
        <v>28</v>
      </c>
      <c r="D374" s="29">
        <v>85</v>
      </c>
      <c r="E374" s="29">
        <v>43</v>
      </c>
      <c r="F374" s="28">
        <v>0.23549999999999999</v>
      </c>
      <c r="G374" s="28">
        <v>2E-3</v>
      </c>
      <c r="H374" s="31" t="s">
        <v>14</v>
      </c>
      <c r="I374" s="31">
        <v>1</v>
      </c>
      <c r="J374" s="28">
        <v>1</v>
      </c>
      <c r="K374" s="28">
        <v>1</v>
      </c>
      <c r="L374" s="28">
        <v>1</v>
      </c>
      <c r="M374" s="28" t="s">
        <v>44</v>
      </c>
      <c r="N374" s="28" t="s">
        <v>19</v>
      </c>
      <c r="O374" s="33">
        <v>914.7</v>
      </c>
      <c r="P374" t="s">
        <v>18</v>
      </c>
    </row>
    <row r="375" spans="1:16" hidden="1" x14ac:dyDescent="0.2">
      <c r="A375" t="s">
        <v>37</v>
      </c>
      <c r="B375" s="25">
        <v>45770</v>
      </c>
      <c r="C375" s="29">
        <v>28</v>
      </c>
      <c r="D375" s="29">
        <v>86</v>
      </c>
      <c r="E375" s="29">
        <v>43</v>
      </c>
      <c r="F375" s="28">
        <v>0.23549999999999999</v>
      </c>
      <c r="G375" s="28">
        <v>2E-3</v>
      </c>
      <c r="H375" s="31" t="s">
        <v>14</v>
      </c>
      <c r="I375" s="31">
        <v>1</v>
      </c>
      <c r="J375" s="28">
        <v>1</v>
      </c>
      <c r="K375" s="28">
        <v>2</v>
      </c>
      <c r="L375" s="28">
        <v>21</v>
      </c>
      <c r="M375" s="28" t="s">
        <v>45</v>
      </c>
      <c r="N375" s="28" t="s">
        <v>32</v>
      </c>
      <c r="O375" s="33">
        <v>838.3</v>
      </c>
      <c r="P375" t="s">
        <v>18</v>
      </c>
    </row>
    <row r="376" spans="1:16" hidden="1" x14ac:dyDescent="0.2">
      <c r="A376" t="s">
        <v>37</v>
      </c>
      <c r="B376" s="25">
        <v>45770</v>
      </c>
      <c r="C376" s="29">
        <v>28</v>
      </c>
      <c r="D376" s="29">
        <v>87</v>
      </c>
      <c r="E376" s="29">
        <v>44</v>
      </c>
      <c r="F376" s="28">
        <v>0.23549999999999999</v>
      </c>
      <c r="G376" s="28">
        <v>2E-3</v>
      </c>
      <c r="H376" s="31" t="s">
        <v>14</v>
      </c>
      <c r="I376" s="31">
        <v>1</v>
      </c>
      <c r="J376" s="28">
        <v>2</v>
      </c>
      <c r="K376" s="28">
        <v>1</v>
      </c>
      <c r="L376" s="28">
        <v>6</v>
      </c>
      <c r="M376" s="28" t="s">
        <v>44</v>
      </c>
      <c r="N376" s="28" t="s">
        <v>19</v>
      </c>
      <c r="O376" s="33">
        <v>703.9</v>
      </c>
      <c r="P376" t="s">
        <v>18</v>
      </c>
    </row>
    <row r="377" spans="1:16" hidden="1" x14ac:dyDescent="0.2">
      <c r="A377" t="s">
        <v>37</v>
      </c>
      <c r="B377" s="25">
        <v>45770</v>
      </c>
      <c r="C377" s="29">
        <v>28</v>
      </c>
      <c r="D377" s="29">
        <v>88</v>
      </c>
      <c r="E377" s="29">
        <v>44</v>
      </c>
      <c r="F377" s="28">
        <v>0.23549999999999999</v>
      </c>
      <c r="G377" s="28">
        <v>2E-3</v>
      </c>
      <c r="H377" s="31" t="s">
        <v>14</v>
      </c>
      <c r="I377" s="31">
        <v>1</v>
      </c>
      <c r="J377" s="28">
        <v>2</v>
      </c>
      <c r="K377" s="28">
        <v>2</v>
      </c>
      <c r="L377" s="28">
        <v>36</v>
      </c>
      <c r="M377" s="28" t="s">
        <v>45</v>
      </c>
      <c r="N377" s="28" t="s">
        <v>47</v>
      </c>
      <c r="O377" s="33">
        <v>908.2</v>
      </c>
      <c r="P377" t="s">
        <v>18</v>
      </c>
    </row>
    <row r="378" spans="1:16" hidden="1" x14ac:dyDescent="0.2">
      <c r="A378" t="s">
        <v>11</v>
      </c>
      <c r="B378" s="25">
        <v>45776</v>
      </c>
      <c r="C378" s="29">
        <v>28</v>
      </c>
      <c r="D378" s="29">
        <v>179</v>
      </c>
      <c r="E378" s="29">
        <v>89</v>
      </c>
      <c r="F378" s="28">
        <v>7.0636000000000001</v>
      </c>
      <c r="G378" s="28">
        <v>6.4999999999999997E-3</v>
      </c>
      <c r="H378" s="31" t="s">
        <v>12</v>
      </c>
      <c r="I378" s="31">
        <v>2</v>
      </c>
      <c r="J378" s="28">
        <v>3</v>
      </c>
      <c r="K378" s="28">
        <v>1</v>
      </c>
      <c r="L378" s="28">
        <v>35</v>
      </c>
      <c r="M378" s="28" t="s">
        <v>43</v>
      </c>
      <c r="N378" s="28" t="s">
        <v>47</v>
      </c>
      <c r="O378" s="33">
        <v>1068</v>
      </c>
      <c r="P378" t="s">
        <v>18</v>
      </c>
    </row>
    <row r="379" spans="1:16" hidden="1" x14ac:dyDescent="0.2">
      <c r="A379" t="s">
        <v>11</v>
      </c>
      <c r="B379" s="25">
        <v>45776</v>
      </c>
      <c r="C379" s="29">
        <v>28</v>
      </c>
      <c r="D379" s="29">
        <v>178</v>
      </c>
      <c r="E379" s="29">
        <v>89</v>
      </c>
      <c r="F379" s="28">
        <v>7.0636000000000001</v>
      </c>
      <c r="G379" s="28">
        <v>6.4999999999999997E-3</v>
      </c>
      <c r="H379" s="31" t="s">
        <v>12</v>
      </c>
      <c r="I379" s="31">
        <v>2</v>
      </c>
      <c r="J379" s="28">
        <v>3</v>
      </c>
      <c r="K379" s="28">
        <v>2</v>
      </c>
      <c r="L379" s="28">
        <v>17</v>
      </c>
      <c r="M379" s="28" t="s">
        <v>46</v>
      </c>
      <c r="N379" s="28" t="s">
        <v>21</v>
      </c>
      <c r="O379" s="33">
        <v>716.2</v>
      </c>
      <c r="P379" t="s">
        <v>18</v>
      </c>
    </row>
    <row r="380" spans="1:16" hidden="1" x14ac:dyDescent="0.2">
      <c r="A380" t="s">
        <v>37</v>
      </c>
      <c r="B380" s="25">
        <v>45770</v>
      </c>
      <c r="C380" s="29">
        <v>28</v>
      </c>
      <c r="D380" s="29">
        <v>91</v>
      </c>
      <c r="E380" s="29">
        <v>46</v>
      </c>
      <c r="F380" s="28">
        <v>2.3544999999999998</v>
      </c>
      <c r="G380" s="28">
        <v>1.9599999999999999E-2</v>
      </c>
      <c r="H380" s="31" t="s">
        <v>14</v>
      </c>
      <c r="I380" s="31">
        <v>2</v>
      </c>
      <c r="J380" s="28">
        <v>2</v>
      </c>
      <c r="K380" s="28">
        <v>1</v>
      </c>
      <c r="L380" s="28">
        <v>21</v>
      </c>
      <c r="M380" s="28" t="s">
        <v>44</v>
      </c>
      <c r="N380" s="28" t="s">
        <v>32</v>
      </c>
      <c r="O380" s="33">
        <v>751.2</v>
      </c>
      <c r="P380" t="s">
        <v>18</v>
      </c>
    </row>
    <row r="381" spans="1:16" hidden="1" x14ac:dyDescent="0.2">
      <c r="A381" t="s">
        <v>37</v>
      </c>
      <c r="B381" s="25">
        <v>45770</v>
      </c>
      <c r="C381" s="29">
        <v>28</v>
      </c>
      <c r="D381" s="29">
        <v>92</v>
      </c>
      <c r="E381" s="29">
        <v>46</v>
      </c>
      <c r="F381" s="28">
        <v>2.3544999999999998</v>
      </c>
      <c r="G381" s="28">
        <v>1.9599999999999999E-2</v>
      </c>
      <c r="H381" s="31" t="s">
        <v>14</v>
      </c>
      <c r="I381" s="31">
        <v>2</v>
      </c>
      <c r="J381" s="28">
        <v>2</v>
      </c>
      <c r="K381" s="28">
        <v>2</v>
      </c>
      <c r="L381" s="28">
        <v>44</v>
      </c>
      <c r="M381" s="28" t="s">
        <v>45</v>
      </c>
      <c r="N381" s="28" t="s">
        <v>24</v>
      </c>
      <c r="O381" s="33">
        <v>512.4</v>
      </c>
      <c r="P381" t="s">
        <v>18</v>
      </c>
    </row>
    <row r="382" spans="1:16" hidden="1" x14ac:dyDescent="0.2">
      <c r="A382" t="s">
        <v>37</v>
      </c>
      <c r="B382" s="25">
        <v>45770</v>
      </c>
      <c r="C382" s="29">
        <v>28</v>
      </c>
      <c r="D382" s="29">
        <v>93</v>
      </c>
      <c r="E382" s="29">
        <v>47</v>
      </c>
      <c r="F382" s="28">
        <v>13.240500000000001</v>
      </c>
      <c r="G382" s="28">
        <v>0.1101</v>
      </c>
      <c r="H382" s="31" t="s">
        <v>14</v>
      </c>
      <c r="I382" s="31">
        <v>3</v>
      </c>
      <c r="J382" s="28">
        <v>1</v>
      </c>
      <c r="K382" s="28">
        <v>1</v>
      </c>
      <c r="L382" s="28">
        <v>31</v>
      </c>
      <c r="M382" s="28" t="s">
        <v>44</v>
      </c>
      <c r="N382" s="28" t="s">
        <v>47</v>
      </c>
      <c r="O382" s="33">
        <v>675.7</v>
      </c>
      <c r="P382" t="s">
        <v>18</v>
      </c>
    </row>
    <row r="383" spans="1:16" hidden="1" x14ac:dyDescent="0.2">
      <c r="A383" t="s">
        <v>37</v>
      </c>
      <c r="B383" s="25">
        <v>45770</v>
      </c>
      <c r="C383" s="29">
        <v>28</v>
      </c>
      <c r="D383" s="29">
        <v>94</v>
      </c>
      <c r="E383" s="29">
        <v>47</v>
      </c>
      <c r="F383" s="28">
        <v>13.240500000000001</v>
      </c>
      <c r="G383" s="28">
        <v>0.1101</v>
      </c>
      <c r="H383" s="31" t="s">
        <v>14</v>
      </c>
      <c r="I383" s="31">
        <v>3</v>
      </c>
      <c r="J383" s="28">
        <v>1</v>
      </c>
      <c r="K383" s="28">
        <v>2</v>
      </c>
      <c r="L383" s="28">
        <v>20</v>
      </c>
      <c r="M383" s="28" t="s">
        <v>45</v>
      </c>
      <c r="N383" s="28" t="s">
        <v>21</v>
      </c>
      <c r="O383" s="33">
        <v>736.6</v>
      </c>
      <c r="P383" t="s">
        <v>18</v>
      </c>
    </row>
    <row r="384" spans="1:16" hidden="1" x14ac:dyDescent="0.2">
      <c r="A384" t="s">
        <v>37</v>
      </c>
      <c r="B384" s="25">
        <v>45770</v>
      </c>
      <c r="C384" s="29">
        <v>28</v>
      </c>
      <c r="D384" s="29">
        <v>95</v>
      </c>
      <c r="E384" s="29">
        <v>48</v>
      </c>
      <c r="F384" s="28">
        <v>13.240500000000001</v>
      </c>
      <c r="G384" s="28">
        <v>0.1101</v>
      </c>
      <c r="H384" s="31" t="s">
        <v>14</v>
      </c>
      <c r="I384" s="31">
        <v>3</v>
      </c>
      <c r="J384" s="28">
        <v>2</v>
      </c>
      <c r="K384" s="28">
        <v>1</v>
      </c>
      <c r="L384" s="28">
        <v>44</v>
      </c>
      <c r="M384" s="28" t="s">
        <v>43</v>
      </c>
      <c r="N384" s="28" t="s">
        <v>24</v>
      </c>
      <c r="O384" s="33">
        <v>911.3</v>
      </c>
      <c r="P384" t="s">
        <v>18</v>
      </c>
    </row>
    <row r="385" spans="1:16" hidden="1" x14ac:dyDescent="0.2">
      <c r="A385" t="s">
        <v>37</v>
      </c>
      <c r="B385" s="25">
        <v>45770</v>
      </c>
      <c r="C385" s="29">
        <v>28</v>
      </c>
      <c r="D385" s="29">
        <v>96</v>
      </c>
      <c r="E385" s="29">
        <v>48</v>
      </c>
      <c r="F385" s="28">
        <v>13.240500000000001</v>
      </c>
      <c r="G385" s="28">
        <v>0.1101</v>
      </c>
      <c r="H385" s="31" t="s">
        <v>14</v>
      </c>
      <c r="I385" s="31">
        <v>3</v>
      </c>
      <c r="J385" s="28">
        <v>2</v>
      </c>
      <c r="K385" s="28">
        <v>2</v>
      </c>
      <c r="L385" s="28">
        <v>32</v>
      </c>
      <c r="M385" s="28" t="s">
        <v>46</v>
      </c>
      <c r="N385" s="28" t="s">
        <v>47</v>
      </c>
      <c r="O385" s="33">
        <v>0</v>
      </c>
      <c r="P385" t="s">
        <v>18</v>
      </c>
    </row>
    <row r="386" spans="1:16" hidden="1" x14ac:dyDescent="0.2">
      <c r="A386" t="s">
        <v>37</v>
      </c>
      <c r="B386" s="25">
        <v>45770</v>
      </c>
      <c r="C386" s="29">
        <v>28</v>
      </c>
      <c r="D386" s="29">
        <v>97</v>
      </c>
      <c r="E386" s="29">
        <v>49</v>
      </c>
      <c r="F386" s="28">
        <v>23.545200000000001</v>
      </c>
      <c r="G386" s="28">
        <v>0.1958</v>
      </c>
      <c r="H386" s="31" t="s">
        <v>14</v>
      </c>
      <c r="I386" s="31">
        <v>4</v>
      </c>
      <c r="J386" s="28">
        <v>1</v>
      </c>
      <c r="K386" s="28">
        <v>1</v>
      </c>
      <c r="L386" s="28">
        <v>14</v>
      </c>
      <c r="M386" s="28" t="s">
        <v>43</v>
      </c>
      <c r="N386" s="28" t="s">
        <v>21</v>
      </c>
      <c r="O386" s="33">
        <v>1234.4000000000001</v>
      </c>
      <c r="P386" t="s">
        <v>18</v>
      </c>
    </row>
    <row r="387" spans="1:16" hidden="1" x14ac:dyDescent="0.2">
      <c r="A387" t="s">
        <v>37</v>
      </c>
      <c r="B387" s="25">
        <v>45770</v>
      </c>
      <c r="C387" s="29">
        <v>28</v>
      </c>
      <c r="D387" s="29">
        <v>98</v>
      </c>
      <c r="E387" s="29">
        <v>49</v>
      </c>
      <c r="F387" s="28">
        <v>23.545200000000001</v>
      </c>
      <c r="G387" s="28">
        <v>0.1958</v>
      </c>
      <c r="H387" s="31" t="s">
        <v>14</v>
      </c>
      <c r="I387" s="31">
        <v>4</v>
      </c>
      <c r="J387" s="28">
        <v>1</v>
      </c>
      <c r="K387" s="28">
        <v>2</v>
      </c>
      <c r="L387" s="28">
        <v>10</v>
      </c>
      <c r="M387" s="28" t="s">
        <v>46</v>
      </c>
      <c r="N387" s="28" t="s">
        <v>19</v>
      </c>
      <c r="O387" s="33">
        <v>712.2</v>
      </c>
      <c r="P387" t="s">
        <v>18</v>
      </c>
    </row>
    <row r="388" spans="1:16" hidden="1" x14ac:dyDescent="0.2">
      <c r="A388" t="s">
        <v>37</v>
      </c>
      <c r="B388" s="25">
        <v>45770</v>
      </c>
      <c r="C388" s="29">
        <v>28</v>
      </c>
      <c r="D388" s="29">
        <v>99</v>
      </c>
      <c r="E388" s="29">
        <v>50</v>
      </c>
      <c r="F388" s="28">
        <v>23.545200000000001</v>
      </c>
      <c r="G388" s="28">
        <v>0.1958</v>
      </c>
      <c r="H388" s="31" t="s">
        <v>14</v>
      </c>
      <c r="I388" s="31">
        <v>4</v>
      </c>
      <c r="J388" s="28">
        <v>2</v>
      </c>
      <c r="K388" s="28">
        <v>1</v>
      </c>
      <c r="L388" s="28">
        <v>26</v>
      </c>
      <c r="M388" s="28" t="s">
        <v>44</v>
      </c>
      <c r="N388" s="28" t="s">
        <v>32</v>
      </c>
      <c r="O388" s="33">
        <v>886.3</v>
      </c>
      <c r="P388" t="s">
        <v>18</v>
      </c>
    </row>
    <row r="389" spans="1:16" hidden="1" x14ac:dyDescent="0.2">
      <c r="A389" t="s">
        <v>37</v>
      </c>
      <c r="B389" s="25">
        <v>45770</v>
      </c>
      <c r="C389" s="29">
        <v>28</v>
      </c>
      <c r="D389" s="29">
        <v>100</v>
      </c>
      <c r="E389" s="29">
        <v>50</v>
      </c>
      <c r="F389" s="28">
        <v>23.545200000000001</v>
      </c>
      <c r="G389" s="28">
        <v>0.1958</v>
      </c>
      <c r="H389" s="31" t="s">
        <v>14</v>
      </c>
      <c r="I389" s="31">
        <v>4</v>
      </c>
      <c r="J389" s="28">
        <v>2</v>
      </c>
      <c r="K389" s="28">
        <v>2</v>
      </c>
      <c r="L389" s="28">
        <v>63</v>
      </c>
      <c r="M389" s="28" t="s">
        <v>45</v>
      </c>
      <c r="N389" s="28" t="s">
        <v>25</v>
      </c>
      <c r="O389" s="33">
        <v>508.4</v>
      </c>
      <c r="P389" t="s">
        <v>18</v>
      </c>
    </row>
    <row r="390" spans="1:16" hidden="1" x14ac:dyDescent="0.2">
      <c r="A390" t="s">
        <v>37</v>
      </c>
      <c r="B390" s="25">
        <v>45770</v>
      </c>
      <c r="C390" s="29">
        <v>28</v>
      </c>
      <c r="D390" s="29">
        <v>101</v>
      </c>
      <c r="E390" s="29">
        <v>51</v>
      </c>
      <c r="F390" s="28">
        <v>41.87</v>
      </c>
      <c r="G390" s="28">
        <v>0.34820000000000001</v>
      </c>
      <c r="H390" s="31" t="s">
        <v>14</v>
      </c>
      <c r="I390" s="31">
        <v>5</v>
      </c>
      <c r="J390" s="28">
        <v>1</v>
      </c>
      <c r="K390" s="28">
        <v>1</v>
      </c>
      <c r="L390" s="28">
        <v>34</v>
      </c>
      <c r="M390" s="28" t="s">
        <v>44</v>
      </c>
      <c r="N390" s="28" t="s">
        <v>47</v>
      </c>
      <c r="O390" s="33">
        <v>694</v>
      </c>
      <c r="P390" t="s">
        <v>18</v>
      </c>
    </row>
    <row r="391" spans="1:16" x14ac:dyDescent="0.2">
      <c r="A391" t="s">
        <v>37</v>
      </c>
      <c r="B391" s="25">
        <v>45770</v>
      </c>
      <c r="C391" s="29">
        <v>28</v>
      </c>
      <c r="D391" s="29">
        <v>102</v>
      </c>
      <c r="E391" s="29">
        <v>51</v>
      </c>
      <c r="F391" s="28">
        <v>41.87</v>
      </c>
      <c r="G391" s="28">
        <v>0.34820000000000001</v>
      </c>
      <c r="H391" s="31" t="s">
        <v>14</v>
      </c>
      <c r="I391" s="31">
        <v>5</v>
      </c>
      <c r="J391" s="28">
        <v>1</v>
      </c>
      <c r="K391" s="28">
        <v>2</v>
      </c>
      <c r="L391" s="28">
        <v>23</v>
      </c>
      <c r="M391" s="28" t="s">
        <v>45</v>
      </c>
      <c r="N391" s="28" t="s">
        <v>32</v>
      </c>
      <c r="O391" s="33">
        <v>774.4</v>
      </c>
      <c r="P391" t="s">
        <v>18</v>
      </c>
    </row>
    <row r="392" spans="1:16" hidden="1" x14ac:dyDescent="0.2">
      <c r="A392" t="s">
        <v>37</v>
      </c>
      <c r="B392" s="25">
        <v>45770</v>
      </c>
      <c r="C392" s="29">
        <v>28</v>
      </c>
      <c r="D392" s="29">
        <v>103</v>
      </c>
      <c r="E392" s="29">
        <v>52</v>
      </c>
      <c r="F392" s="28">
        <v>41.87</v>
      </c>
      <c r="G392" s="28">
        <v>0.34820000000000001</v>
      </c>
      <c r="H392" s="31" t="s">
        <v>14</v>
      </c>
      <c r="I392" s="31">
        <v>5</v>
      </c>
      <c r="J392" s="28">
        <v>2</v>
      </c>
      <c r="K392" s="28">
        <v>1</v>
      </c>
      <c r="L392" s="28">
        <v>43</v>
      </c>
      <c r="M392" s="28" t="s">
        <v>43</v>
      </c>
      <c r="N392" s="28" t="s">
        <v>24</v>
      </c>
      <c r="O392" s="33">
        <v>398.4</v>
      </c>
      <c r="P392" t="s">
        <v>18</v>
      </c>
    </row>
    <row r="393" spans="1:16" hidden="1" x14ac:dyDescent="0.2">
      <c r="A393" t="s">
        <v>37</v>
      </c>
      <c r="B393" s="25">
        <v>45770</v>
      </c>
      <c r="C393" s="29">
        <v>28</v>
      </c>
      <c r="D393" s="29">
        <v>104</v>
      </c>
      <c r="E393" s="29">
        <v>52</v>
      </c>
      <c r="F393" s="28">
        <v>41.87</v>
      </c>
      <c r="G393" s="28">
        <v>0.34820000000000001</v>
      </c>
      <c r="H393" s="31" t="s">
        <v>14</v>
      </c>
      <c r="I393" s="31">
        <v>5</v>
      </c>
      <c r="J393" s="28">
        <v>2</v>
      </c>
      <c r="K393" s="28">
        <v>2</v>
      </c>
      <c r="L393" s="28">
        <v>39</v>
      </c>
      <c r="M393" s="28" t="s">
        <v>46</v>
      </c>
      <c r="N393" s="28" t="s">
        <v>47</v>
      </c>
      <c r="O393" s="33">
        <v>418.1</v>
      </c>
      <c r="P393" t="s">
        <v>18</v>
      </c>
    </row>
    <row r="394" spans="1:16" hidden="1" x14ac:dyDescent="0.2">
      <c r="A394" t="s">
        <v>37</v>
      </c>
      <c r="B394" s="25">
        <v>45770</v>
      </c>
      <c r="C394" s="29">
        <v>28</v>
      </c>
      <c r="D394" s="29">
        <v>105</v>
      </c>
      <c r="E394" s="29">
        <v>53</v>
      </c>
      <c r="F394" s="28">
        <v>74.456599999999995</v>
      </c>
      <c r="G394" s="28">
        <v>0.61919999999999997</v>
      </c>
      <c r="H394" s="31" t="s">
        <v>14</v>
      </c>
      <c r="I394" s="31">
        <v>6</v>
      </c>
      <c r="J394" s="28">
        <v>1</v>
      </c>
      <c r="K394" s="28">
        <v>1</v>
      </c>
      <c r="L394" s="28">
        <v>74</v>
      </c>
      <c r="M394" s="28" t="s">
        <v>44</v>
      </c>
      <c r="N394" s="28" t="s">
        <v>24</v>
      </c>
      <c r="O394" s="33">
        <v>209.2</v>
      </c>
      <c r="P394" t="s">
        <v>18</v>
      </c>
    </row>
    <row r="395" spans="1:16" hidden="1" x14ac:dyDescent="0.2">
      <c r="A395" t="s">
        <v>37</v>
      </c>
      <c r="B395" s="25">
        <v>45770</v>
      </c>
      <c r="C395" s="29">
        <v>28</v>
      </c>
      <c r="D395" s="29">
        <v>106</v>
      </c>
      <c r="E395" s="29">
        <v>53</v>
      </c>
      <c r="F395" s="28">
        <v>74.456599999999995</v>
      </c>
      <c r="G395" s="28">
        <v>0.61919999999999997</v>
      </c>
      <c r="H395" s="31" t="s">
        <v>14</v>
      </c>
      <c r="I395" s="31">
        <v>6</v>
      </c>
      <c r="J395" s="28">
        <v>1</v>
      </c>
      <c r="K395" s="28">
        <v>2</v>
      </c>
      <c r="L395" s="28">
        <v>69</v>
      </c>
      <c r="M395" s="28" t="s">
        <v>45</v>
      </c>
      <c r="N395" s="28" t="s">
        <v>19</v>
      </c>
      <c r="O395" s="33">
        <v>225.6</v>
      </c>
      <c r="P395" t="s">
        <v>18</v>
      </c>
    </row>
    <row r="396" spans="1:16" hidden="1" x14ac:dyDescent="0.2">
      <c r="A396" t="s">
        <v>37</v>
      </c>
      <c r="B396" s="25">
        <v>45770</v>
      </c>
      <c r="C396" s="29">
        <v>28</v>
      </c>
      <c r="D396" s="29">
        <v>107</v>
      </c>
      <c r="E396" s="29">
        <v>54</v>
      </c>
      <c r="F396" s="28">
        <v>74.456599999999995</v>
      </c>
      <c r="G396" s="28">
        <v>0.61919999999999997</v>
      </c>
      <c r="H396" s="31" t="s">
        <v>14</v>
      </c>
      <c r="I396" s="31">
        <v>6</v>
      </c>
      <c r="J396" s="28">
        <v>2</v>
      </c>
      <c r="K396" s="28">
        <v>1</v>
      </c>
      <c r="L396" s="28">
        <v>63</v>
      </c>
      <c r="M396" s="28" t="s">
        <v>44</v>
      </c>
      <c r="N396" s="28" t="s">
        <v>25</v>
      </c>
      <c r="O396" s="33">
        <v>167</v>
      </c>
      <c r="P396" t="s">
        <v>18</v>
      </c>
    </row>
    <row r="397" spans="1:16" hidden="1" x14ac:dyDescent="0.2">
      <c r="A397" t="s">
        <v>37</v>
      </c>
      <c r="B397" s="25">
        <v>45770</v>
      </c>
      <c r="C397" s="29">
        <v>28</v>
      </c>
      <c r="D397" s="29">
        <v>108</v>
      </c>
      <c r="E397" s="29">
        <v>54</v>
      </c>
      <c r="F397" s="28">
        <v>74.456599999999995</v>
      </c>
      <c r="G397" s="28">
        <v>0.61919999999999997</v>
      </c>
      <c r="H397" s="31" t="s">
        <v>14</v>
      </c>
      <c r="I397" s="31">
        <v>6</v>
      </c>
      <c r="J397" s="28">
        <v>2</v>
      </c>
      <c r="K397" s="28">
        <v>2</v>
      </c>
      <c r="L397" s="28">
        <v>34</v>
      </c>
      <c r="M397" s="28" t="s">
        <v>45</v>
      </c>
      <c r="N397" s="28" t="s">
        <v>47</v>
      </c>
      <c r="O397" s="33">
        <v>539.5</v>
      </c>
      <c r="P397" t="s">
        <v>18</v>
      </c>
    </row>
    <row r="398" spans="1:16" hidden="1" x14ac:dyDescent="0.2">
      <c r="A398" t="s">
        <v>37</v>
      </c>
      <c r="B398" s="25">
        <v>45770</v>
      </c>
      <c r="C398" s="29">
        <v>28</v>
      </c>
      <c r="D398" s="29">
        <v>109</v>
      </c>
      <c r="E398" s="29">
        <v>55</v>
      </c>
      <c r="F398" s="28">
        <v>132.40469999999999</v>
      </c>
      <c r="G398" s="28">
        <v>1.1012</v>
      </c>
      <c r="H398" s="31" t="s">
        <v>14</v>
      </c>
      <c r="I398" s="31">
        <v>7</v>
      </c>
      <c r="J398" s="28">
        <v>1</v>
      </c>
      <c r="K398" s="28">
        <v>1</v>
      </c>
      <c r="L398" s="28">
        <v>39</v>
      </c>
      <c r="M398" s="28" t="s">
        <v>44</v>
      </c>
      <c r="N398" s="28" t="s">
        <v>47</v>
      </c>
      <c r="O398" s="33">
        <v>358</v>
      </c>
      <c r="P398" t="s">
        <v>18</v>
      </c>
    </row>
    <row r="399" spans="1:16" hidden="1" x14ac:dyDescent="0.2">
      <c r="A399" t="s">
        <v>37</v>
      </c>
      <c r="B399" s="25">
        <v>45770</v>
      </c>
      <c r="C399" s="29">
        <v>28</v>
      </c>
      <c r="D399" s="29">
        <v>110</v>
      </c>
      <c r="E399" s="29">
        <v>55</v>
      </c>
      <c r="F399" s="28">
        <v>132.40469999999999</v>
      </c>
      <c r="G399" s="28">
        <v>1.1012</v>
      </c>
      <c r="H399" s="31" t="s">
        <v>14</v>
      </c>
      <c r="I399" s="31">
        <v>7</v>
      </c>
      <c r="J399" s="28">
        <v>1</v>
      </c>
      <c r="K399" s="28">
        <v>2</v>
      </c>
      <c r="L399" s="28">
        <v>31</v>
      </c>
      <c r="M399" s="28" t="s">
        <v>45</v>
      </c>
      <c r="N399" s="28" t="s">
        <v>47</v>
      </c>
      <c r="O399" s="33">
        <v>604.4</v>
      </c>
      <c r="P399" t="s">
        <v>18</v>
      </c>
    </row>
    <row r="400" spans="1:16" hidden="1" x14ac:dyDescent="0.2">
      <c r="A400" t="s">
        <v>37</v>
      </c>
      <c r="B400" s="25">
        <v>45770</v>
      </c>
      <c r="C400" s="29">
        <v>28</v>
      </c>
      <c r="D400" s="29">
        <v>111</v>
      </c>
      <c r="E400" s="29">
        <v>56</v>
      </c>
      <c r="F400" s="28">
        <v>132.40469999999999</v>
      </c>
      <c r="G400" s="28">
        <v>1.1012</v>
      </c>
      <c r="H400" s="31" t="s">
        <v>14</v>
      </c>
      <c r="I400" s="31">
        <v>7</v>
      </c>
      <c r="J400" s="28">
        <v>2</v>
      </c>
      <c r="K400" s="28">
        <v>1</v>
      </c>
      <c r="L400" s="28">
        <v>55</v>
      </c>
      <c r="M400" s="28" t="s">
        <v>43</v>
      </c>
      <c r="N400" s="28" t="s">
        <v>20</v>
      </c>
      <c r="O400" s="33">
        <v>0</v>
      </c>
      <c r="P400" t="s">
        <v>18</v>
      </c>
    </row>
    <row r="401" spans="1:16" hidden="1" x14ac:dyDescent="0.2">
      <c r="A401" t="s">
        <v>37</v>
      </c>
      <c r="B401" s="25">
        <v>45770</v>
      </c>
      <c r="C401" s="29">
        <v>28</v>
      </c>
      <c r="D401" s="29">
        <v>112</v>
      </c>
      <c r="E401" s="29">
        <v>56</v>
      </c>
      <c r="F401" s="28">
        <v>132.40469999999999</v>
      </c>
      <c r="G401" s="28">
        <v>1.1012</v>
      </c>
      <c r="H401" s="31" t="s">
        <v>14</v>
      </c>
      <c r="I401" s="31">
        <v>7</v>
      </c>
      <c r="J401" s="28">
        <v>2</v>
      </c>
      <c r="K401" s="28">
        <v>2</v>
      </c>
      <c r="L401" s="28">
        <v>13</v>
      </c>
      <c r="M401" s="28" t="s">
        <v>46</v>
      </c>
      <c r="N401" s="28" t="s">
        <v>21</v>
      </c>
      <c r="O401" s="33">
        <v>222.2</v>
      </c>
      <c r="P401" t="s">
        <v>18</v>
      </c>
    </row>
    <row r="402" spans="1:16" hidden="1" x14ac:dyDescent="0.2">
      <c r="A402" t="s">
        <v>37</v>
      </c>
      <c r="B402" s="25">
        <v>45770</v>
      </c>
      <c r="C402" s="29">
        <v>28</v>
      </c>
      <c r="D402" s="29">
        <v>113</v>
      </c>
      <c r="E402" s="29">
        <v>57</v>
      </c>
      <c r="F402" s="28">
        <v>0</v>
      </c>
      <c r="G402" s="28">
        <v>2.5999999999999999E-3</v>
      </c>
      <c r="H402" s="31" t="s">
        <v>15</v>
      </c>
      <c r="I402" s="31">
        <v>1</v>
      </c>
      <c r="J402" s="28">
        <v>1</v>
      </c>
      <c r="K402" s="28">
        <v>1</v>
      </c>
      <c r="L402" s="28">
        <v>32</v>
      </c>
      <c r="M402" s="28" t="s">
        <v>44</v>
      </c>
      <c r="N402" s="28" t="s">
        <v>47</v>
      </c>
      <c r="O402" s="33">
        <v>668.9</v>
      </c>
      <c r="P402" t="s">
        <v>18</v>
      </c>
    </row>
    <row r="403" spans="1:16" hidden="1" x14ac:dyDescent="0.2">
      <c r="A403" t="s">
        <v>37</v>
      </c>
      <c r="B403" s="25">
        <v>45770</v>
      </c>
      <c r="C403" s="29">
        <v>28</v>
      </c>
      <c r="D403" s="29">
        <v>114</v>
      </c>
      <c r="E403" s="29">
        <v>57</v>
      </c>
      <c r="F403" s="28">
        <v>0</v>
      </c>
      <c r="G403" s="28">
        <v>2.5999999999999999E-3</v>
      </c>
      <c r="H403" s="31" t="s">
        <v>15</v>
      </c>
      <c r="I403" s="31">
        <v>1</v>
      </c>
      <c r="J403" s="28">
        <v>1</v>
      </c>
      <c r="K403" s="28">
        <v>2</v>
      </c>
      <c r="L403" s="28">
        <v>61</v>
      </c>
      <c r="M403" s="28" t="s">
        <v>45</v>
      </c>
      <c r="N403" s="28" t="s">
        <v>25</v>
      </c>
      <c r="O403" s="33">
        <v>672.5</v>
      </c>
      <c r="P403" t="s">
        <v>18</v>
      </c>
    </row>
    <row r="404" spans="1:16" hidden="1" x14ac:dyDescent="0.2">
      <c r="A404" t="s">
        <v>37</v>
      </c>
      <c r="B404" s="25">
        <v>45770</v>
      </c>
      <c r="C404" s="29">
        <v>28</v>
      </c>
      <c r="D404" s="29">
        <v>115</v>
      </c>
      <c r="E404" s="29">
        <v>58</v>
      </c>
      <c r="F404" s="28">
        <v>0</v>
      </c>
      <c r="G404" s="28">
        <v>2.5999999999999999E-3</v>
      </c>
      <c r="H404" s="31" t="s">
        <v>15</v>
      </c>
      <c r="I404" s="31">
        <v>1</v>
      </c>
      <c r="J404" s="28">
        <v>2</v>
      </c>
      <c r="K404" s="28">
        <v>1</v>
      </c>
      <c r="L404" s="28">
        <v>45</v>
      </c>
      <c r="M404" s="28" t="s">
        <v>43</v>
      </c>
      <c r="N404" s="28" t="s">
        <v>32</v>
      </c>
      <c r="O404" s="33">
        <v>852.8</v>
      </c>
      <c r="P404" t="s">
        <v>18</v>
      </c>
    </row>
    <row r="405" spans="1:16" hidden="1" x14ac:dyDescent="0.2">
      <c r="A405" t="s">
        <v>37</v>
      </c>
      <c r="B405" s="25">
        <v>45770</v>
      </c>
      <c r="C405" s="29">
        <v>28</v>
      </c>
      <c r="D405" s="29">
        <v>116</v>
      </c>
      <c r="E405" s="29">
        <v>58</v>
      </c>
      <c r="F405" s="28">
        <v>0</v>
      </c>
      <c r="G405" s="28">
        <v>2.5999999999999999E-3</v>
      </c>
      <c r="H405" s="31" t="s">
        <v>15</v>
      </c>
      <c r="I405" s="31">
        <v>1</v>
      </c>
      <c r="J405" s="28">
        <v>2</v>
      </c>
      <c r="K405" s="28">
        <v>2</v>
      </c>
      <c r="L405" s="28">
        <v>6</v>
      </c>
      <c r="M405" s="28" t="s">
        <v>46</v>
      </c>
      <c r="N405" s="28" t="s">
        <v>19</v>
      </c>
      <c r="O405" s="33">
        <v>917.5</v>
      </c>
      <c r="P405" t="s">
        <v>18</v>
      </c>
    </row>
    <row r="406" spans="1:16" hidden="1" x14ac:dyDescent="0.2">
      <c r="A406" t="s">
        <v>37</v>
      </c>
      <c r="B406" s="25">
        <v>45770</v>
      </c>
      <c r="C406" s="29">
        <v>28</v>
      </c>
      <c r="D406" s="29">
        <v>61</v>
      </c>
      <c r="E406" s="29">
        <v>31</v>
      </c>
      <c r="F406" s="28">
        <v>4.7089999999999996</v>
      </c>
      <c r="G406" s="28">
        <v>1.3100000000000001E-2</v>
      </c>
      <c r="H406" s="31" t="s">
        <v>13</v>
      </c>
      <c r="I406" s="31">
        <v>2</v>
      </c>
      <c r="J406" s="28">
        <v>1</v>
      </c>
      <c r="K406" s="28">
        <v>1</v>
      </c>
      <c r="L406" s="28">
        <v>10</v>
      </c>
      <c r="M406" s="28" t="s">
        <v>43</v>
      </c>
      <c r="N406" s="28" t="s">
        <v>19</v>
      </c>
      <c r="O406" s="33">
        <v>762.6</v>
      </c>
      <c r="P406" t="s">
        <v>18</v>
      </c>
    </row>
    <row r="407" spans="1:16" hidden="1" x14ac:dyDescent="0.2">
      <c r="A407" t="s">
        <v>37</v>
      </c>
      <c r="B407" s="25">
        <v>45770</v>
      </c>
      <c r="C407" s="29">
        <v>28</v>
      </c>
      <c r="D407" s="29">
        <v>62</v>
      </c>
      <c r="E407" s="29">
        <v>31</v>
      </c>
      <c r="F407" s="28">
        <v>4.7089999999999996</v>
      </c>
      <c r="G407" s="28">
        <v>1.3100000000000001E-2</v>
      </c>
      <c r="H407" s="31" t="s">
        <v>13</v>
      </c>
      <c r="I407" s="31">
        <v>2</v>
      </c>
      <c r="J407" s="28">
        <v>1</v>
      </c>
      <c r="K407" s="28">
        <v>2</v>
      </c>
      <c r="L407" s="28">
        <v>55</v>
      </c>
      <c r="M407" s="28" t="s">
        <v>46</v>
      </c>
      <c r="N407" s="28" t="s">
        <v>20</v>
      </c>
      <c r="O407" s="33">
        <v>842</v>
      </c>
      <c r="P407" t="s">
        <v>18</v>
      </c>
    </row>
    <row r="408" spans="1:16" hidden="1" x14ac:dyDescent="0.2">
      <c r="A408" t="s">
        <v>37</v>
      </c>
      <c r="B408" s="25">
        <v>45770</v>
      </c>
      <c r="C408" s="29">
        <v>28</v>
      </c>
      <c r="D408" s="29">
        <v>119</v>
      </c>
      <c r="E408" s="29">
        <v>60</v>
      </c>
      <c r="F408" s="28">
        <v>0</v>
      </c>
      <c r="G408" s="28">
        <v>2.6100000000000002E-2</v>
      </c>
      <c r="H408" s="31" t="s">
        <v>15</v>
      </c>
      <c r="I408" s="31">
        <v>2</v>
      </c>
      <c r="J408" s="28">
        <v>2</v>
      </c>
      <c r="K408" s="28">
        <v>1</v>
      </c>
      <c r="L408" s="28">
        <v>36</v>
      </c>
      <c r="M408" s="28" t="s">
        <v>43</v>
      </c>
      <c r="N408" s="28" t="s">
        <v>47</v>
      </c>
      <c r="O408" s="33">
        <v>998.8</v>
      </c>
      <c r="P408" t="s">
        <v>18</v>
      </c>
    </row>
    <row r="409" spans="1:16" hidden="1" x14ac:dyDescent="0.2">
      <c r="A409" t="s">
        <v>37</v>
      </c>
      <c r="B409" s="25">
        <v>45770</v>
      </c>
      <c r="C409" s="29">
        <v>28</v>
      </c>
      <c r="D409" s="29">
        <v>120</v>
      </c>
      <c r="E409" s="29">
        <v>60</v>
      </c>
      <c r="F409" s="28">
        <v>0</v>
      </c>
      <c r="G409" s="28">
        <v>2.6100000000000002E-2</v>
      </c>
      <c r="H409" s="31" t="s">
        <v>15</v>
      </c>
      <c r="I409" s="31">
        <v>2</v>
      </c>
      <c r="J409" s="28">
        <v>2</v>
      </c>
      <c r="K409" s="28">
        <v>2</v>
      </c>
      <c r="L409" s="28">
        <v>45</v>
      </c>
      <c r="M409" s="28" t="s">
        <v>46</v>
      </c>
      <c r="N409" s="28" t="s">
        <v>24</v>
      </c>
      <c r="O409" s="33">
        <v>930.5</v>
      </c>
      <c r="P409" t="s">
        <v>18</v>
      </c>
    </row>
    <row r="410" spans="1:16" hidden="1" x14ac:dyDescent="0.2">
      <c r="A410" t="s">
        <v>37</v>
      </c>
      <c r="B410" s="25">
        <v>45770</v>
      </c>
      <c r="C410" s="29">
        <v>28</v>
      </c>
      <c r="D410" s="29">
        <v>121</v>
      </c>
      <c r="E410" s="29">
        <v>61</v>
      </c>
      <c r="F410" s="28">
        <v>0</v>
      </c>
      <c r="G410" s="28">
        <v>0.14680000000000001</v>
      </c>
      <c r="H410" s="31" t="s">
        <v>15</v>
      </c>
      <c r="I410" s="31">
        <v>3</v>
      </c>
      <c r="J410" s="28">
        <v>1</v>
      </c>
      <c r="K410" s="28">
        <v>1</v>
      </c>
      <c r="L410" s="28">
        <v>65</v>
      </c>
      <c r="M410" s="28" t="s">
        <v>43</v>
      </c>
      <c r="N410" s="28" t="s">
        <v>23</v>
      </c>
      <c r="O410" s="33">
        <v>707.7</v>
      </c>
      <c r="P410" t="s">
        <v>18</v>
      </c>
    </row>
    <row r="411" spans="1:16" hidden="1" x14ac:dyDescent="0.2">
      <c r="A411" t="s">
        <v>37</v>
      </c>
      <c r="B411" s="25">
        <v>45770</v>
      </c>
      <c r="C411" s="29">
        <v>28</v>
      </c>
      <c r="D411" s="29">
        <v>122</v>
      </c>
      <c r="E411" s="29">
        <v>61</v>
      </c>
      <c r="F411" s="28">
        <v>0</v>
      </c>
      <c r="G411" s="28">
        <v>0.14680000000000001</v>
      </c>
      <c r="H411" s="31" t="s">
        <v>15</v>
      </c>
      <c r="I411" s="31">
        <v>3</v>
      </c>
      <c r="J411" s="28">
        <v>1</v>
      </c>
      <c r="K411" s="28">
        <v>2</v>
      </c>
      <c r="L411" s="28">
        <v>78</v>
      </c>
      <c r="M411" s="28" t="s">
        <v>46</v>
      </c>
      <c r="N411" s="28" t="s">
        <v>25</v>
      </c>
      <c r="O411" s="33">
        <v>800.8</v>
      </c>
      <c r="P411" t="s">
        <v>18</v>
      </c>
    </row>
    <row r="412" spans="1:16" hidden="1" x14ac:dyDescent="0.2">
      <c r="A412" t="s">
        <v>37</v>
      </c>
      <c r="B412" s="25">
        <v>45770</v>
      </c>
      <c r="C412" s="29">
        <v>28</v>
      </c>
      <c r="D412" s="29">
        <v>123</v>
      </c>
      <c r="E412" s="29">
        <v>62</v>
      </c>
      <c r="F412" s="28">
        <v>0</v>
      </c>
      <c r="G412" s="28">
        <v>0.14680000000000001</v>
      </c>
      <c r="H412" s="31" t="s">
        <v>15</v>
      </c>
      <c r="I412" s="31">
        <v>3</v>
      </c>
      <c r="J412" s="28">
        <v>2</v>
      </c>
      <c r="K412" s="28">
        <v>1</v>
      </c>
      <c r="L412" s="28">
        <v>18</v>
      </c>
      <c r="M412" s="28" t="s">
        <v>43</v>
      </c>
      <c r="N412" s="28" t="s">
        <v>21</v>
      </c>
      <c r="O412" s="33">
        <v>1344.8</v>
      </c>
      <c r="P412" t="s">
        <v>18</v>
      </c>
    </row>
    <row r="413" spans="1:16" hidden="1" x14ac:dyDescent="0.2">
      <c r="A413" t="s">
        <v>37</v>
      </c>
      <c r="B413" s="25">
        <v>45770</v>
      </c>
      <c r="C413" s="29">
        <v>28</v>
      </c>
      <c r="D413" s="29">
        <v>124</v>
      </c>
      <c r="E413" s="29">
        <v>62</v>
      </c>
      <c r="F413" s="28">
        <v>0</v>
      </c>
      <c r="G413" s="28">
        <v>0.14680000000000001</v>
      </c>
      <c r="H413" s="31" t="s">
        <v>15</v>
      </c>
      <c r="I413" s="31">
        <v>3</v>
      </c>
      <c r="J413" s="28">
        <v>2</v>
      </c>
      <c r="K413" s="28">
        <v>2</v>
      </c>
      <c r="L413" s="28">
        <v>26</v>
      </c>
      <c r="M413" s="28" t="s">
        <v>46</v>
      </c>
      <c r="N413" s="28" t="s">
        <v>32</v>
      </c>
      <c r="O413" s="33">
        <v>601</v>
      </c>
      <c r="P413" t="s">
        <v>18</v>
      </c>
    </row>
    <row r="414" spans="1:16" hidden="1" x14ac:dyDescent="0.2">
      <c r="A414" t="s">
        <v>37</v>
      </c>
      <c r="B414" s="25">
        <v>45770</v>
      </c>
      <c r="C414" s="29">
        <v>28</v>
      </c>
      <c r="D414" s="29">
        <v>125</v>
      </c>
      <c r="E414" s="29">
        <v>63</v>
      </c>
      <c r="F414" s="28">
        <v>0</v>
      </c>
      <c r="G414" s="28">
        <v>0.2611</v>
      </c>
      <c r="H414" s="31" t="s">
        <v>15</v>
      </c>
      <c r="I414" s="31">
        <v>4</v>
      </c>
      <c r="J414" s="28">
        <v>1</v>
      </c>
      <c r="K414" s="28">
        <v>1</v>
      </c>
      <c r="L414" s="28">
        <v>46</v>
      </c>
      <c r="M414" s="28" t="s">
        <v>43</v>
      </c>
      <c r="N414" s="28" t="s">
        <v>48</v>
      </c>
      <c r="O414" s="33">
        <v>528</v>
      </c>
      <c r="P414" t="s">
        <v>18</v>
      </c>
    </row>
    <row r="415" spans="1:16" hidden="1" x14ac:dyDescent="0.2">
      <c r="A415" t="s">
        <v>37</v>
      </c>
      <c r="B415" s="25">
        <v>45770</v>
      </c>
      <c r="C415" s="29">
        <v>28</v>
      </c>
      <c r="D415" s="29">
        <v>126</v>
      </c>
      <c r="E415" s="29">
        <v>63</v>
      </c>
      <c r="F415" s="28">
        <v>0</v>
      </c>
      <c r="G415" s="28">
        <v>0.2611</v>
      </c>
      <c r="H415" s="31" t="s">
        <v>15</v>
      </c>
      <c r="I415" s="31">
        <v>4</v>
      </c>
      <c r="J415" s="28">
        <v>1</v>
      </c>
      <c r="K415" s="28">
        <v>2</v>
      </c>
      <c r="L415" s="28">
        <v>80</v>
      </c>
      <c r="M415" s="28" t="s">
        <v>46</v>
      </c>
      <c r="N415" s="28" t="s">
        <v>50</v>
      </c>
      <c r="O415" s="33">
        <v>922.9</v>
      </c>
      <c r="P415" t="s">
        <v>18</v>
      </c>
    </row>
    <row r="416" spans="1:16" hidden="1" x14ac:dyDescent="0.2">
      <c r="A416" t="s">
        <v>37</v>
      </c>
      <c r="B416" s="25">
        <v>45770</v>
      </c>
      <c r="C416" s="29">
        <v>28</v>
      </c>
      <c r="D416" s="29">
        <v>127</v>
      </c>
      <c r="E416" s="29">
        <v>64</v>
      </c>
      <c r="F416" s="28">
        <v>0</v>
      </c>
      <c r="G416" s="28">
        <v>0.2611</v>
      </c>
      <c r="H416" s="31" t="s">
        <v>15</v>
      </c>
      <c r="I416" s="31">
        <v>4</v>
      </c>
      <c r="J416" s="28">
        <v>2</v>
      </c>
      <c r="K416" s="28">
        <v>1</v>
      </c>
      <c r="L416" s="28">
        <v>43</v>
      </c>
      <c r="M416" s="28" t="s">
        <v>44</v>
      </c>
      <c r="N416" s="28" t="s">
        <v>24</v>
      </c>
      <c r="O416" s="33">
        <v>293.10000000000002</v>
      </c>
      <c r="P416" t="s">
        <v>18</v>
      </c>
    </row>
    <row r="417" spans="1:16" hidden="1" x14ac:dyDescent="0.2">
      <c r="A417" t="s">
        <v>37</v>
      </c>
      <c r="B417" s="25">
        <v>45770</v>
      </c>
      <c r="C417" s="29">
        <v>28</v>
      </c>
      <c r="D417" s="29">
        <v>128</v>
      </c>
      <c r="E417" s="29">
        <v>64</v>
      </c>
      <c r="F417" s="28">
        <v>0</v>
      </c>
      <c r="G417" s="28">
        <v>0.2611</v>
      </c>
      <c r="H417" s="31" t="s">
        <v>15</v>
      </c>
      <c r="I417" s="31">
        <v>4</v>
      </c>
      <c r="J417" s="28">
        <v>2</v>
      </c>
      <c r="K417" s="28">
        <v>2</v>
      </c>
      <c r="L417" s="28">
        <v>39</v>
      </c>
      <c r="M417" s="28" t="s">
        <v>45</v>
      </c>
      <c r="N417" s="28" t="s">
        <v>47</v>
      </c>
      <c r="O417" s="33">
        <v>1014.5</v>
      </c>
      <c r="P417" t="s">
        <v>18</v>
      </c>
    </row>
    <row r="418" spans="1:16" hidden="1" x14ac:dyDescent="0.2">
      <c r="A418" t="s">
        <v>37</v>
      </c>
      <c r="B418" s="25">
        <v>45770</v>
      </c>
      <c r="C418" s="29">
        <v>28</v>
      </c>
      <c r="D418" s="29">
        <v>129</v>
      </c>
      <c r="E418" s="29">
        <v>65</v>
      </c>
      <c r="F418" s="28">
        <v>0</v>
      </c>
      <c r="G418" s="28">
        <v>0.46429999999999999</v>
      </c>
      <c r="H418" s="31" t="s">
        <v>15</v>
      </c>
      <c r="I418" s="31">
        <v>5</v>
      </c>
      <c r="J418" s="28">
        <v>1</v>
      </c>
      <c r="K418" s="28">
        <v>1</v>
      </c>
      <c r="L418" s="28">
        <v>77</v>
      </c>
      <c r="M418" s="28" t="s">
        <v>44</v>
      </c>
      <c r="N418" s="28" t="s">
        <v>25</v>
      </c>
      <c r="O418" s="33">
        <v>554</v>
      </c>
      <c r="P418" t="s">
        <v>18</v>
      </c>
    </row>
    <row r="419" spans="1:16" x14ac:dyDescent="0.2">
      <c r="A419" t="s">
        <v>37</v>
      </c>
      <c r="B419" s="25">
        <v>45770</v>
      </c>
      <c r="C419" s="29">
        <v>28</v>
      </c>
      <c r="D419" s="29">
        <v>130</v>
      </c>
      <c r="E419" s="29">
        <v>65</v>
      </c>
      <c r="F419" s="28">
        <v>0</v>
      </c>
      <c r="G419" s="28">
        <v>0.46429999999999999</v>
      </c>
      <c r="H419" s="31" t="s">
        <v>15</v>
      </c>
      <c r="I419" s="31">
        <v>5</v>
      </c>
      <c r="J419" s="28">
        <v>1</v>
      </c>
      <c r="K419" s="28">
        <v>2</v>
      </c>
      <c r="L419" s="28">
        <v>67</v>
      </c>
      <c r="M419" s="28" t="s">
        <v>45</v>
      </c>
      <c r="N419" s="28" t="s">
        <v>23</v>
      </c>
      <c r="O419" s="33">
        <v>443.5</v>
      </c>
      <c r="P419" t="s">
        <v>18</v>
      </c>
    </row>
    <row r="420" spans="1:16" hidden="1" x14ac:dyDescent="0.2">
      <c r="A420" t="s">
        <v>37</v>
      </c>
      <c r="B420" s="25">
        <v>45770</v>
      </c>
      <c r="C420" s="29">
        <v>28</v>
      </c>
      <c r="D420" s="29">
        <v>131</v>
      </c>
      <c r="E420" s="29">
        <v>66</v>
      </c>
      <c r="F420" s="28">
        <v>0</v>
      </c>
      <c r="G420" s="28">
        <v>0.46429999999999999</v>
      </c>
      <c r="H420" s="31" t="s">
        <v>15</v>
      </c>
      <c r="I420" s="31">
        <v>5</v>
      </c>
      <c r="J420" s="28">
        <v>2</v>
      </c>
      <c r="K420" s="28">
        <v>1</v>
      </c>
      <c r="L420" s="28">
        <v>69</v>
      </c>
      <c r="M420" s="28" t="s">
        <v>43</v>
      </c>
      <c r="N420" s="28" t="s">
        <v>19</v>
      </c>
      <c r="O420" s="33">
        <v>454.8</v>
      </c>
      <c r="P420" t="s">
        <v>18</v>
      </c>
    </row>
    <row r="421" spans="1:16" hidden="1" x14ac:dyDescent="0.2">
      <c r="A421" t="s">
        <v>37</v>
      </c>
      <c r="B421" s="25">
        <v>45770</v>
      </c>
      <c r="C421" s="29">
        <v>28</v>
      </c>
      <c r="D421" s="29">
        <v>132</v>
      </c>
      <c r="E421" s="29">
        <v>66</v>
      </c>
      <c r="F421" s="28">
        <v>0</v>
      </c>
      <c r="G421" s="28">
        <v>0.46429999999999999</v>
      </c>
      <c r="H421" s="31" t="s">
        <v>15</v>
      </c>
      <c r="I421" s="31">
        <v>5</v>
      </c>
      <c r="J421" s="28">
        <v>2</v>
      </c>
      <c r="K421" s="28">
        <v>2</v>
      </c>
      <c r="L421" s="28">
        <v>66</v>
      </c>
      <c r="M421" s="28" t="s">
        <v>46</v>
      </c>
      <c r="N421" s="28" t="s">
        <v>23</v>
      </c>
      <c r="O421" s="33">
        <v>742.7</v>
      </c>
      <c r="P421" t="s">
        <v>18</v>
      </c>
    </row>
    <row r="422" spans="1:16" hidden="1" x14ac:dyDescent="0.2">
      <c r="A422" t="s">
        <v>37</v>
      </c>
      <c r="B422" s="25">
        <v>45770</v>
      </c>
      <c r="C422" s="29">
        <v>28</v>
      </c>
      <c r="D422" s="29">
        <v>133</v>
      </c>
      <c r="E422" s="29">
        <v>67</v>
      </c>
      <c r="F422" s="28">
        <v>0</v>
      </c>
      <c r="G422" s="28">
        <v>0.8256</v>
      </c>
      <c r="H422" s="31" t="s">
        <v>15</v>
      </c>
      <c r="I422" s="31">
        <v>6</v>
      </c>
      <c r="J422" s="28">
        <v>1</v>
      </c>
      <c r="K422" s="28">
        <v>1</v>
      </c>
      <c r="L422" s="28">
        <v>1</v>
      </c>
      <c r="M422" s="28" t="s">
        <v>43</v>
      </c>
      <c r="N422" s="28" t="s">
        <v>19</v>
      </c>
      <c r="O422" s="33">
        <v>324.5</v>
      </c>
      <c r="P422" t="s">
        <v>18</v>
      </c>
    </row>
    <row r="423" spans="1:16" hidden="1" x14ac:dyDescent="0.2">
      <c r="A423" t="s">
        <v>37</v>
      </c>
      <c r="B423" s="25">
        <v>45770</v>
      </c>
      <c r="C423" s="29">
        <v>28</v>
      </c>
      <c r="D423" s="29">
        <v>134</v>
      </c>
      <c r="E423" s="29">
        <v>67</v>
      </c>
      <c r="F423" s="28">
        <v>0</v>
      </c>
      <c r="G423" s="28">
        <v>0.8256</v>
      </c>
      <c r="H423" s="31" t="s">
        <v>15</v>
      </c>
      <c r="I423" s="31">
        <v>6</v>
      </c>
      <c r="J423" s="28">
        <v>1</v>
      </c>
      <c r="K423" s="28">
        <v>2</v>
      </c>
      <c r="L423" s="28">
        <v>21</v>
      </c>
      <c r="M423" s="28" t="s">
        <v>46</v>
      </c>
      <c r="N423" s="28" t="s">
        <v>32</v>
      </c>
      <c r="O423" s="33">
        <v>524.20000000000005</v>
      </c>
      <c r="P423" t="s">
        <v>18</v>
      </c>
    </row>
    <row r="424" spans="1:16" hidden="1" x14ac:dyDescent="0.2">
      <c r="A424" t="s">
        <v>37</v>
      </c>
      <c r="B424" s="25">
        <v>45770</v>
      </c>
      <c r="C424" s="29">
        <v>28</v>
      </c>
      <c r="D424" s="29">
        <v>135</v>
      </c>
      <c r="E424" s="29">
        <v>68</v>
      </c>
      <c r="F424" s="28">
        <v>0</v>
      </c>
      <c r="G424" s="28">
        <v>0.8256</v>
      </c>
      <c r="H424" s="31" t="s">
        <v>15</v>
      </c>
      <c r="I424" s="31">
        <v>6</v>
      </c>
      <c r="J424" s="28">
        <v>2</v>
      </c>
      <c r="K424" s="28">
        <v>1</v>
      </c>
      <c r="L424" s="28">
        <v>4</v>
      </c>
      <c r="M424" s="28" t="s">
        <v>44</v>
      </c>
      <c r="N424" s="28" t="s">
        <v>19</v>
      </c>
      <c r="O424" s="33">
        <v>441.2</v>
      </c>
      <c r="P424" t="s">
        <v>18</v>
      </c>
    </row>
    <row r="425" spans="1:16" hidden="1" x14ac:dyDescent="0.2">
      <c r="A425" t="s">
        <v>37</v>
      </c>
      <c r="B425" s="25">
        <v>45770</v>
      </c>
      <c r="C425" s="29">
        <v>28</v>
      </c>
      <c r="D425" s="29">
        <v>136</v>
      </c>
      <c r="E425" s="29">
        <v>68</v>
      </c>
      <c r="F425" s="28">
        <v>0</v>
      </c>
      <c r="G425" s="28">
        <v>0.8256</v>
      </c>
      <c r="H425" s="31" t="s">
        <v>15</v>
      </c>
      <c r="I425" s="31">
        <v>6</v>
      </c>
      <c r="J425" s="28">
        <v>2</v>
      </c>
      <c r="K425" s="28">
        <v>2</v>
      </c>
      <c r="L425" s="28">
        <v>43</v>
      </c>
      <c r="M425" s="28" t="s">
        <v>45</v>
      </c>
      <c r="N425" s="28" t="s">
        <v>24</v>
      </c>
      <c r="O425" s="33">
        <v>377.5</v>
      </c>
      <c r="P425" t="s">
        <v>18</v>
      </c>
    </row>
    <row r="426" spans="1:16" hidden="1" x14ac:dyDescent="0.2">
      <c r="A426" t="s">
        <v>37</v>
      </c>
      <c r="B426" s="25">
        <v>45770</v>
      </c>
      <c r="C426" s="29">
        <v>28</v>
      </c>
      <c r="D426" s="29">
        <v>137</v>
      </c>
      <c r="E426" s="29">
        <v>69</v>
      </c>
      <c r="F426" s="28">
        <v>0</v>
      </c>
      <c r="G426" s="28">
        <v>1.4681999999999999</v>
      </c>
      <c r="H426" s="31" t="s">
        <v>15</v>
      </c>
      <c r="I426" s="31">
        <v>7</v>
      </c>
      <c r="J426" s="28">
        <v>1</v>
      </c>
      <c r="K426" s="28">
        <v>1</v>
      </c>
      <c r="L426" s="28">
        <v>44</v>
      </c>
      <c r="M426" s="28" t="s">
        <v>44</v>
      </c>
      <c r="N426" s="28" t="s">
        <v>24</v>
      </c>
      <c r="O426" s="33">
        <v>251.1</v>
      </c>
      <c r="P426" t="s">
        <v>18</v>
      </c>
    </row>
    <row r="427" spans="1:16" hidden="1" x14ac:dyDescent="0.2">
      <c r="A427" t="s">
        <v>37</v>
      </c>
      <c r="B427" s="25">
        <v>45770</v>
      </c>
      <c r="C427" s="29">
        <v>28</v>
      </c>
      <c r="D427" s="29">
        <v>138</v>
      </c>
      <c r="E427" s="29">
        <v>69</v>
      </c>
      <c r="F427" s="28">
        <v>0</v>
      </c>
      <c r="G427" s="28">
        <v>1.4681999999999999</v>
      </c>
      <c r="H427" s="31" t="s">
        <v>15</v>
      </c>
      <c r="I427" s="31">
        <v>7</v>
      </c>
      <c r="J427" s="28">
        <v>1</v>
      </c>
      <c r="K427" s="28">
        <v>2</v>
      </c>
      <c r="L427" s="28">
        <v>32</v>
      </c>
      <c r="M427" s="28" t="s">
        <v>45</v>
      </c>
      <c r="N427" s="28" t="s">
        <v>47</v>
      </c>
      <c r="O427" s="33">
        <v>282.39999999999998</v>
      </c>
      <c r="P427" t="s">
        <v>18</v>
      </c>
    </row>
    <row r="428" spans="1:16" hidden="1" x14ac:dyDescent="0.2">
      <c r="A428" t="s">
        <v>37</v>
      </c>
      <c r="B428" s="25">
        <v>45770</v>
      </c>
      <c r="C428" s="29">
        <v>28</v>
      </c>
      <c r="D428" s="29">
        <v>139</v>
      </c>
      <c r="E428" s="29">
        <v>70</v>
      </c>
      <c r="F428" s="28">
        <v>0</v>
      </c>
      <c r="G428" s="28">
        <v>1.4681999999999999</v>
      </c>
      <c r="H428" s="31" t="s">
        <v>15</v>
      </c>
      <c r="I428" s="31">
        <v>7</v>
      </c>
      <c r="J428" s="28">
        <v>2</v>
      </c>
      <c r="K428" s="28">
        <v>1</v>
      </c>
      <c r="L428" s="28">
        <v>69</v>
      </c>
      <c r="M428" s="28" t="s">
        <v>44</v>
      </c>
      <c r="N428" s="28" t="s">
        <v>19</v>
      </c>
      <c r="O428" s="33">
        <v>0</v>
      </c>
      <c r="P428" t="s">
        <v>18</v>
      </c>
    </row>
    <row r="429" spans="1:16" hidden="1" x14ac:dyDescent="0.2">
      <c r="A429" t="s">
        <v>37</v>
      </c>
      <c r="B429" s="25">
        <v>45770</v>
      </c>
      <c r="C429" s="29">
        <v>28</v>
      </c>
      <c r="D429" s="29">
        <v>140</v>
      </c>
      <c r="E429" s="29">
        <v>70</v>
      </c>
      <c r="F429" s="28">
        <v>0</v>
      </c>
      <c r="G429" s="28">
        <v>1.4681999999999999</v>
      </c>
      <c r="H429" s="31" t="s">
        <v>15</v>
      </c>
      <c r="I429" s="31">
        <v>7</v>
      </c>
      <c r="J429" s="28">
        <v>2</v>
      </c>
      <c r="K429" s="28">
        <v>2</v>
      </c>
      <c r="L429" s="28">
        <v>66</v>
      </c>
      <c r="M429" s="28" t="s">
        <v>45</v>
      </c>
      <c r="N429" s="28" t="s">
        <v>23</v>
      </c>
      <c r="O429" s="33">
        <v>379</v>
      </c>
      <c r="P429" t="s">
        <v>18</v>
      </c>
    </row>
    <row r="430" spans="1:16" hidden="1" x14ac:dyDescent="0.2">
      <c r="A430" t="s">
        <v>11</v>
      </c>
      <c r="B430" s="25">
        <v>45776</v>
      </c>
      <c r="C430" s="29">
        <v>28</v>
      </c>
      <c r="D430" s="29">
        <v>205</v>
      </c>
      <c r="E430" s="29">
        <v>103</v>
      </c>
      <c r="F430" s="28">
        <v>4.7089999999999996</v>
      </c>
      <c r="G430" s="28">
        <v>1.3100000000000001E-2</v>
      </c>
      <c r="H430" s="31" t="s">
        <v>13</v>
      </c>
      <c r="I430" s="31">
        <v>2</v>
      </c>
      <c r="J430" s="28">
        <v>3</v>
      </c>
      <c r="K430" s="28">
        <v>1</v>
      </c>
      <c r="L430" s="28">
        <v>33</v>
      </c>
      <c r="M430" s="28" t="s">
        <v>44</v>
      </c>
      <c r="N430" s="28" t="s">
        <v>47</v>
      </c>
      <c r="O430" s="33">
        <v>738.6</v>
      </c>
      <c r="P430" t="s">
        <v>18</v>
      </c>
    </row>
    <row r="431" spans="1:16" hidden="1" x14ac:dyDescent="0.2">
      <c r="A431" t="s">
        <v>11</v>
      </c>
      <c r="B431" s="25">
        <v>45776</v>
      </c>
      <c r="C431" s="29">
        <v>28</v>
      </c>
      <c r="D431" s="29">
        <v>208</v>
      </c>
      <c r="E431" s="29">
        <v>103</v>
      </c>
      <c r="F431" s="28">
        <v>4.7089999999999996</v>
      </c>
      <c r="G431" s="28">
        <v>1.3100000000000001E-2</v>
      </c>
      <c r="H431" s="31" t="s">
        <v>13</v>
      </c>
      <c r="I431" s="31">
        <v>2</v>
      </c>
      <c r="J431" s="28">
        <v>3</v>
      </c>
      <c r="K431" s="28">
        <v>2</v>
      </c>
      <c r="L431" s="28">
        <v>68</v>
      </c>
      <c r="M431" s="28" t="s">
        <v>45</v>
      </c>
      <c r="N431" s="28" t="s">
        <v>19</v>
      </c>
      <c r="O431" s="33">
        <v>576.1</v>
      </c>
      <c r="P431" t="s">
        <v>18</v>
      </c>
    </row>
    <row r="432" spans="1:16" hidden="1" x14ac:dyDescent="0.2">
      <c r="A432" t="s">
        <v>37</v>
      </c>
      <c r="B432" s="25">
        <v>45770</v>
      </c>
      <c r="C432" s="29">
        <v>28</v>
      </c>
      <c r="D432" s="29">
        <v>143</v>
      </c>
      <c r="E432" s="29">
        <v>72</v>
      </c>
      <c r="F432" s="28">
        <v>0</v>
      </c>
      <c r="G432" s="28">
        <v>0</v>
      </c>
      <c r="H432" s="31" t="s">
        <v>16</v>
      </c>
      <c r="I432" s="31">
        <v>0</v>
      </c>
      <c r="J432" s="28">
        <v>2</v>
      </c>
      <c r="K432" s="28">
        <v>1</v>
      </c>
      <c r="L432" s="28">
        <v>63</v>
      </c>
      <c r="M432" s="28" t="s">
        <v>43</v>
      </c>
      <c r="N432" s="28" t="s">
        <v>25</v>
      </c>
      <c r="O432" s="33">
        <v>515.4</v>
      </c>
      <c r="P432" t="s">
        <v>18</v>
      </c>
    </row>
    <row r="433" spans="1:16" hidden="1" x14ac:dyDescent="0.2">
      <c r="A433" t="s">
        <v>37</v>
      </c>
      <c r="B433" s="25">
        <v>45770</v>
      </c>
      <c r="C433" s="29">
        <v>28</v>
      </c>
      <c r="D433" s="29">
        <v>144</v>
      </c>
      <c r="E433" s="29">
        <v>72</v>
      </c>
      <c r="F433" s="28">
        <v>0</v>
      </c>
      <c r="G433" s="28">
        <v>0</v>
      </c>
      <c r="H433" s="31" t="s">
        <v>16</v>
      </c>
      <c r="I433" s="31">
        <v>0</v>
      </c>
      <c r="J433" s="28">
        <v>2</v>
      </c>
      <c r="K433" s="28">
        <v>2</v>
      </c>
      <c r="L433" s="28">
        <v>34</v>
      </c>
      <c r="M433" s="28" t="s">
        <v>46</v>
      </c>
      <c r="N433" s="28" t="s">
        <v>47</v>
      </c>
      <c r="O433" s="33">
        <v>832.1</v>
      </c>
      <c r="P433" t="s">
        <v>18</v>
      </c>
    </row>
    <row r="434" spans="1:16" hidden="1" x14ac:dyDescent="0.2">
      <c r="A434" t="s">
        <v>11</v>
      </c>
      <c r="B434" s="25">
        <v>45776</v>
      </c>
      <c r="C434" s="29">
        <v>28</v>
      </c>
      <c r="D434" s="29">
        <v>145</v>
      </c>
      <c r="E434" s="29">
        <v>73</v>
      </c>
      <c r="F434" s="28">
        <v>0.94179999999999997</v>
      </c>
      <c r="G434" s="28">
        <v>0</v>
      </c>
      <c r="H434" s="31" t="s">
        <v>11</v>
      </c>
      <c r="I434" s="31">
        <v>1</v>
      </c>
      <c r="J434" s="28">
        <v>3</v>
      </c>
      <c r="K434" s="28">
        <v>1</v>
      </c>
      <c r="L434" s="28">
        <v>54</v>
      </c>
      <c r="M434" s="28" t="s">
        <v>43</v>
      </c>
      <c r="N434" s="28" t="s">
        <v>22</v>
      </c>
      <c r="O434" s="33">
        <v>651.1</v>
      </c>
      <c r="P434" t="s">
        <v>18</v>
      </c>
    </row>
    <row r="435" spans="1:16" hidden="1" x14ac:dyDescent="0.2">
      <c r="A435" t="s">
        <v>11</v>
      </c>
      <c r="B435" s="25">
        <v>45776</v>
      </c>
      <c r="C435" s="29">
        <v>28</v>
      </c>
      <c r="D435" s="29">
        <v>148</v>
      </c>
      <c r="E435" s="29">
        <v>73</v>
      </c>
      <c r="F435" s="28">
        <v>0.94179999999999997</v>
      </c>
      <c r="G435" s="28">
        <v>0</v>
      </c>
      <c r="H435" s="31" t="s">
        <v>11</v>
      </c>
      <c r="I435" s="31">
        <v>1</v>
      </c>
      <c r="J435" s="28">
        <v>3</v>
      </c>
      <c r="K435" s="28">
        <v>2</v>
      </c>
      <c r="L435" s="28">
        <v>71</v>
      </c>
      <c r="M435" s="28" t="s">
        <v>46</v>
      </c>
      <c r="N435" s="28" t="s">
        <v>24</v>
      </c>
      <c r="O435" s="33">
        <v>824.6</v>
      </c>
      <c r="P435" t="s">
        <v>18</v>
      </c>
    </row>
    <row r="436" spans="1:16" hidden="1" x14ac:dyDescent="0.2">
      <c r="A436" t="s">
        <v>11</v>
      </c>
      <c r="B436" s="25">
        <v>45776</v>
      </c>
      <c r="C436" s="29">
        <v>28</v>
      </c>
      <c r="D436" s="29">
        <v>146</v>
      </c>
      <c r="E436" s="29">
        <v>74</v>
      </c>
      <c r="F436" s="28">
        <v>0.94179999999999997</v>
      </c>
      <c r="G436" s="28">
        <v>0</v>
      </c>
      <c r="H436" s="31" t="s">
        <v>11</v>
      </c>
      <c r="I436" s="31">
        <v>1</v>
      </c>
      <c r="J436" s="28">
        <v>4</v>
      </c>
      <c r="K436" s="28">
        <v>1</v>
      </c>
      <c r="L436" s="28">
        <v>12</v>
      </c>
      <c r="M436" s="28" t="s">
        <v>43</v>
      </c>
      <c r="N436" s="28" t="s">
        <v>21</v>
      </c>
      <c r="O436" s="33">
        <v>873.8</v>
      </c>
      <c r="P436" t="s">
        <v>18</v>
      </c>
    </row>
    <row r="437" spans="1:16" hidden="1" x14ac:dyDescent="0.2">
      <c r="A437" t="s">
        <v>11</v>
      </c>
      <c r="B437" s="25">
        <v>45776</v>
      </c>
      <c r="C437" s="29">
        <v>28</v>
      </c>
      <c r="D437" s="29">
        <v>147</v>
      </c>
      <c r="E437" s="29">
        <v>74</v>
      </c>
      <c r="F437" s="28">
        <v>0.94179999999999997</v>
      </c>
      <c r="G437" s="28">
        <v>0</v>
      </c>
      <c r="H437" s="31" t="s">
        <v>11</v>
      </c>
      <c r="I437" s="31">
        <v>1</v>
      </c>
      <c r="J437" s="28">
        <v>4</v>
      </c>
      <c r="K437" s="28">
        <v>2</v>
      </c>
      <c r="L437" s="28">
        <v>16</v>
      </c>
      <c r="M437" s="28" t="s">
        <v>46</v>
      </c>
      <c r="N437" s="28" t="s">
        <v>21</v>
      </c>
      <c r="O437" s="33">
        <v>527</v>
      </c>
      <c r="P437" t="s">
        <v>18</v>
      </c>
    </row>
    <row r="438" spans="1:16" hidden="1" x14ac:dyDescent="0.2">
      <c r="A438" t="s">
        <v>37</v>
      </c>
      <c r="B438" s="25">
        <v>45770</v>
      </c>
      <c r="C438" s="29">
        <v>28</v>
      </c>
      <c r="D438" s="29">
        <v>89</v>
      </c>
      <c r="E438" s="29">
        <v>45</v>
      </c>
      <c r="F438" s="28">
        <v>2.3544999999999998</v>
      </c>
      <c r="G438" s="28">
        <v>1.9599999999999999E-2</v>
      </c>
      <c r="H438" s="31" t="s">
        <v>14</v>
      </c>
      <c r="I438" s="31">
        <v>2</v>
      </c>
      <c r="J438" s="28">
        <v>1</v>
      </c>
      <c r="K438" s="28">
        <v>1</v>
      </c>
      <c r="L438" s="28">
        <v>61</v>
      </c>
      <c r="M438" s="28" t="s">
        <v>44</v>
      </c>
      <c r="N438" s="28" t="s">
        <v>25</v>
      </c>
      <c r="O438" s="33">
        <v>663.3</v>
      </c>
      <c r="P438" t="s">
        <v>18</v>
      </c>
    </row>
    <row r="439" spans="1:16" hidden="1" x14ac:dyDescent="0.2">
      <c r="A439" t="s">
        <v>37</v>
      </c>
      <c r="B439" s="25">
        <v>45770</v>
      </c>
      <c r="C439" s="29">
        <v>28</v>
      </c>
      <c r="D439" s="29">
        <v>90</v>
      </c>
      <c r="E439" s="29">
        <v>45</v>
      </c>
      <c r="F439" s="28">
        <v>2.3544999999999998</v>
      </c>
      <c r="G439" s="28">
        <v>1.9599999999999999E-2</v>
      </c>
      <c r="H439" s="31" t="s">
        <v>14</v>
      </c>
      <c r="I439" s="31">
        <v>2</v>
      </c>
      <c r="J439" s="28">
        <v>1</v>
      </c>
      <c r="K439" s="28">
        <v>2</v>
      </c>
      <c r="L439" s="28">
        <v>14</v>
      </c>
      <c r="M439" s="28" t="s">
        <v>45</v>
      </c>
      <c r="N439" s="28" t="s">
        <v>21</v>
      </c>
      <c r="O439" s="33">
        <v>630.4</v>
      </c>
      <c r="P439" t="s">
        <v>18</v>
      </c>
    </row>
    <row r="440" spans="1:16" hidden="1" x14ac:dyDescent="0.2">
      <c r="A440" t="s">
        <v>11</v>
      </c>
      <c r="B440" s="25">
        <v>45776</v>
      </c>
      <c r="C440" s="29">
        <v>28</v>
      </c>
      <c r="D440" s="29">
        <v>151</v>
      </c>
      <c r="E440" s="29">
        <v>76</v>
      </c>
      <c r="F440" s="28">
        <v>9.4181000000000008</v>
      </c>
      <c r="G440" s="28">
        <v>0</v>
      </c>
      <c r="H440" s="31" t="s">
        <v>11</v>
      </c>
      <c r="I440" s="31">
        <v>2</v>
      </c>
      <c r="J440" s="28">
        <v>4</v>
      </c>
      <c r="K440" s="28">
        <v>1</v>
      </c>
      <c r="L440" s="28">
        <v>42</v>
      </c>
      <c r="M440" s="28" t="s">
        <v>44</v>
      </c>
      <c r="N440" s="28" t="s">
        <v>24</v>
      </c>
      <c r="O440" s="33">
        <v>458.7</v>
      </c>
      <c r="P440" t="s">
        <v>18</v>
      </c>
    </row>
    <row r="441" spans="1:16" hidden="1" x14ac:dyDescent="0.2">
      <c r="A441" t="s">
        <v>11</v>
      </c>
      <c r="B441" s="25">
        <v>45776</v>
      </c>
      <c r="C441" s="29">
        <v>28</v>
      </c>
      <c r="D441" s="29">
        <v>150</v>
      </c>
      <c r="E441" s="29">
        <v>76</v>
      </c>
      <c r="F441" s="28">
        <v>9.4181000000000008</v>
      </c>
      <c r="G441" s="28">
        <v>0</v>
      </c>
      <c r="H441" s="31" t="s">
        <v>11</v>
      </c>
      <c r="I441" s="31">
        <v>2</v>
      </c>
      <c r="J441" s="28">
        <v>4</v>
      </c>
      <c r="K441" s="28">
        <v>2</v>
      </c>
      <c r="L441" s="28">
        <v>41</v>
      </c>
      <c r="M441" s="28" t="s">
        <v>45</v>
      </c>
      <c r="N441" s="28" t="s">
        <v>24</v>
      </c>
      <c r="O441" s="33">
        <v>924.3</v>
      </c>
      <c r="P441" t="s">
        <v>18</v>
      </c>
    </row>
    <row r="442" spans="1:16" hidden="1" x14ac:dyDescent="0.2">
      <c r="A442" t="s">
        <v>11</v>
      </c>
      <c r="B442" s="25">
        <v>45776</v>
      </c>
      <c r="C442" s="29">
        <v>28</v>
      </c>
      <c r="D442" s="29">
        <v>155</v>
      </c>
      <c r="E442" s="29">
        <v>77</v>
      </c>
      <c r="F442" s="28">
        <v>52.9619</v>
      </c>
      <c r="G442" s="28">
        <v>0</v>
      </c>
      <c r="H442" s="31" t="s">
        <v>11</v>
      </c>
      <c r="I442" s="31">
        <v>3</v>
      </c>
      <c r="J442" s="28">
        <v>3</v>
      </c>
      <c r="K442" s="28">
        <v>1</v>
      </c>
      <c r="L442" s="28">
        <v>48</v>
      </c>
      <c r="M442" s="28" t="s">
        <v>43</v>
      </c>
      <c r="N442" s="28" t="s">
        <v>48</v>
      </c>
      <c r="O442" s="33">
        <v>691.6</v>
      </c>
      <c r="P442" t="s">
        <v>18</v>
      </c>
    </row>
    <row r="443" spans="1:16" hidden="1" x14ac:dyDescent="0.2">
      <c r="A443" t="s">
        <v>11</v>
      </c>
      <c r="B443" s="25">
        <v>45776</v>
      </c>
      <c r="C443" s="29">
        <v>28</v>
      </c>
      <c r="D443" s="29">
        <v>156</v>
      </c>
      <c r="E443" s="29">
        <v>77</v>
      </c>
      <c r="F443" s="28">
        <v>52.9619</v>
      </c>
      <c r="G443" s="28">
        <v>0</v>
      </c>
      <c r="H443" s="31" t="s">
        <v>11</v>
      </c>
      <c r="I443" s="31">
        <v>3</v>
      </c>
      <c r="J443" s="28">
        <v>3</v>
      </c>
      <c r="K443" s="28">
        <v>2</v>
      </c>
      <c r="L443" s="28">
        <v>70</v>
      </c>
      <c r="M443" s="28" t="s">
        <v>46</v>
      </c>
      <c r="N443" s="28" t="s">
        <v>19</v>
      </c>
      <c r="O443" s="33">
        <v>526.9</v>
      </c>
      <c r="P443" t="s">
        <v>18</v>
      </c>
    </row>
    <row r="444" spans="1:16" hidden="1" x14ac:dyDescent="0.2">
      <c r="A444" t="s">
        <v>11</v>
      </c>
      <c r="B444" s="25">
        <v>45776</v>
      </c>
      <c r="C444" s="29">
        <v>28</v>
      </c>
      <c r="D444" s="29">
        <v>153</v>
      </c>
      <c r="E444" s="29">
        <v>78</v>
      </c>
      <c r="F444" s="28">
        <v>52.9619</v>
      </c>
      <c r="G444" s="28">
        <v>0</v>
      </c>
      <c r="H444" s="31" t="s">
        <v>11</v>
      </c>
      <c r="I444" s="31">
        <v>3</v>
      </c>
      <c r="J444" s="28">
        <v>4</v>
      </c>
      <c r="K444" s="28">
        <v>1</v>
      </c>
      <c r="L444" s="28">
        <v>11</v>
      </c>
      <c r="M444" s="28" t="s">
        <v>44</v>
      </c>
      <c r="N444" s="28" t="s">
        <v>21</v>
      </c>
      <c r="O444" s="33">
        <v>1357.5</v>
      </c>
      <c r="P444" t="s">
        <v>18</v>
      </c>
    </row>
    <row r="445" spans="1:16" hidden="1" x14ac:dyDescent="0.2">
      <c r="A445" t="s">
        <v>11</v>
      </c>
      <c r="B445" s="25">
        <v>45776</v>
      </c>
      <c r="C445" s="29">
        <v>28</v>
      </c>
      <c r="D445" s="29">
        <v>154</v>
      </c>
      <c r="E445" s="29">
        <v>78</v>
      </c>
      <c r="F445" s="28">
        <v>52.9619</v>
      </c>
      <c r="G445" s="28">
        <v>0</v>
      </c>
      <c r="H445" s="31" t="s">
        <v>11</v>
      </c>
      <c r="I445" s="31">
        <v>3</v>
      </c>
      <c r="J445" s="28">
        <v>4</v>
      </c>
      <c r="K445" s="28">
        <v>2</v>
      </c>
      <c r="L445" s="28">
        <v>47</v>
      </c>
      <c r="M445" s="28" t="s">
        <v>45</v>
      </c>
      <c r="N445" s="28" t="s">
        <v>48</v>
      </c>
      <c r="O445" s="33">
        <v>559.6</v>
      </c>
      <c r="P445" t="s">
        <v>18</v>
      </c>
    </row>
    <row r="446" spans="1:16" hidden="1" x14ac:dyDescent="0.2">
      <c r="A446" t="s">
        <v>11</v>
      </c>
      <c r="B446" s="25">
        <v>45776</v>
      </c>
      <c r="C446" s="29">
        <v>28</v>
      </c>
      <c r="D446" s="29">
        <v>159</v>
      </c>
      <c r="E446" s="29">
        <v>79</v>
      </c>
      <c r="F446" s="28">
        <v>94.180999999999997</v>
      </c>
      <c r="G446" s="28">
        <v>0</v>
      </c>
      <c r="H446" s="31" t="s">
        <v>11</v>
      </c>
      <c r="I446" s="31">
        <v>4</v>
      </c>
      <c r="J446" s="28">
        <v>3</v>
      </c>
      <c r="K446" s="28">
        <v>1</v>
      </c>
      <c r="L446" s="28">
        <v>57</v>
      </c>
      <c r="M446" s="28" t="s">
        <v>44</v>
      </c>
      <c r="N446" s="28" t="s">
        <v>20</v>
      </c>
      <c r="O446" s="33">
        <v>544</v>
      </c>
      <c r="P446" t="s">
        <v>18</v>
      </c>
    </row>
    <row r="447" spans="1:16" hidden="1" x14ac:dyDescent="0.2">
      <c r="A447" t="s">
        <v>11</v>
      </c>
      <c r="B447" s="25">
        <v>45776</v>
      </c>
      <c r="C447" s="29">
        <v>28</v>
      </c>
      <c r="D447" s="29">
        <v>160</v>
      </c>
      <c r="E447" s="29">
        <v>79</v>
      </c>
      <c r="F447" s="28">
        <v>94.180999999999997</v>
      </c>
      <c r="G447" s="28">
        <v>0</v>
      </c>
      <c r="H447" s="31" t="s">
        <v>11</v>
      </c>
      <c r="I447" s="31">
        <v>4</v>
      </c>
      <c r="J447" s="28">
        <v>3</v>
      </c>
      <c r="K447" s="28">
        <v>2</v>
      </c>
      <c r="L447" s="28">
        <v>76</v>
      </c>
      <c r="M447" s="28" t="s">
        <v>45</v>
      </c>
      <c r="N447" s="28" t="s">
        <v>25</v>
      </c>
      <c r="O447" s="33">
        <v>684.3</v>
      </c>
      <c r="P447" t="s">
        <v>18</v>
      </c>
    </row>
    <row r="448" spans="1:16" hidden="1" x14ac:dyDescent="0.2">
      <c r="A448" t="s">
        <v>11</v>
      </c>
      <c r="B448" s="25">
        <v>45776</v>
      </c>
      <c r="C448" s="29">
        <v>28</v>
      </c>
      <c r="D448" s="29">
        <v>158</v>
      </c>
      <c r="E448" s="29">
        <v>80</v>
      </c>
      <c r="F448" s="28">
        <v>94.180999999999997</v>
      </c>
      <c r="G448" s="28">
        <v>0</v>
      </c>
      <c r="H448" s="31" t="s">
        <v>11</v>
      </c>
      <c r="I448" s="31">
        <v>4</v>
      </c>
      <c r="J448" s="28">
        <v>4</v>
      </c>
      <c r="K448" s="28">
        <v>1</v>
      </c>
      <c r="L448" s="28">
        <v>47</v>
      </c>
      <c r="M448" s="28" t="s">
        <v>44</v>
      </c>
      <c r="N448" s="28" t="s">
        <v>48</v>
      </c>
      <c r="O448" s="33">
        <v>924</v>
      </c>
      <c r="P448" t="s">
        <v>18</v>
      </c>
    </row>
    <row r="449" spans="1:16" hidden="1" x14ac:dyDescent="0.2">
      <c r="A449" t="s">
        <v>11</v>
      </c>
      <c r="B449" s="25">
        <v>45776</v>
      </c>
      <c r="C449" s="29">
        <v>28</v>
      </c>
      <c r="D449" s="29">
        <v>157</v>
      </c>
      <c r="E449" s="29">
        <v>80</v>
      </c>
      <c r="F449" s="28">
        <v>94.180999999999997</v>
      </c>
      <c r="G449" s="28">
        <v>0</v>
      </c>
      <c r="H449" s="31" t="s">
        <v>11</v>
      </c>
      <c r="I449" s="31">
        <v>4</v>
      </c>
      <c r="J449" s="28">
        <v>4</v>
      </c>
      <c r="K449" s="28">
        <v>2</v>
      </c>
      <c r="L449" s="28">
        <v>33</v>
      </c>
      <c r="M449" s="28" t="s">
        <v>45</v>
      </c>
      <c r="N449" s="28" t="s">
        <v>47</v>
      </c>
      <c r="O449" s="33">
        <v>582.20000000000005</v>
      </c>
      <c r="P449" t="s">
        <v>18</v>
      </c>
    </row>
    <row r="450" spans="1:16" hidden="1" x14ac:dyDescent="0.2">
      <c r="A450" t="s">
        <v>11</v>
      </c>
      <c r="B450" s="25">
        <v>45776</v>
      </c>
      <c r="C450" s="29">
        <v>28</v>
      </c>
      <c r="D450" s="29">
        <v>163</v>
      </c>
      <c r="E450" s="29">
        <v>81</v>
      </c>
      <c r="F450" s="28">
        <v>167.48009999999999</v>
      </c>
      <c r="G450" s="28">
        <v>0</v>
      </c>
      <c r="H450" s="31" t="s">
        <v>11</v>
      </c>
      <c r="I450" s="31">
        <v>5</v>
      </c>
      <c r="J450" s="28">
        <v>3</v>
      </c>
      <c r="K450" s="28">
        <v>1</v>
      </c>
      <c r="L450" s="28">
        <v>49</v>
      </c>
      <c r="M450" s="28" t="s">
        <v>43</v>
      </c>
      <c r="N450" s="28" t="s">
        <v>48</v>
      </c>
      <c r="O450" s="33">
        <v>558.20000000000005</v>
      </c>
      <c r="P450" t="s">
        <v>18</v>
      </c>
    </row>
    <row r="451" spans="1:16" x14ac:dyDescent="0.2">
      <c r="A451" t="s">
        <v>11</v>
      </c>
      <c r="B451" s="25">
        <v>45776</v>
      </c>
      <c r="C451" s="29">
        <v>28</v>
      </c>
      <c r="D451" s="29">
        <v>162</v>
      </c>
      <c r="E451" s="29">
        <v>81</v>
      </c>
      <c r="F451" s="28">
        <v>167.48009999999999</v>
      </c>
      <c r="G451" s="28">
        <v>0</v>
      </c>
      <c r="H451" s="31" t="s">
        <v>11</v>
      </c>
      <c r="I451" s="31">
        <v>5</v>
      </c>
      <c r="J451" s="28">
        <v>3</v>
      </c>
      <c r="K451" s="28">
        <v>2</v>
      </c>
      <c r="L451" s="28">
        <v>22</v>
      </c>
      <c r="M451" s="28" t="s">
        <v>46</v>
      </c>
      <c r="N451" s="28" t="s">
        <v>32</v>
      </c>
      <c r="O451" s="33">
        <v>642.70000000000005</v>
      </c>
      <c r="P451" t="s">
        <v>18</v>
      </c>
    </row>
    <row r="452" spans="1:16" hidden="1" x14ac:dyDescent="0.2">
      <c r="A452" t="s">
        <v>11</v>
      </c>
      <c r="B452" s="25">
        <v>45776</v>
      </c>
      <c r="C452" s="29">
        <v>28</v>
      </c>
      <c r="D452" s="29">
        <v>164</v>
      </c>
      <c r="E452" s="29">
        <v>82</v>
      </c>
      <c r="F452" s="28">
        <v>167.48009999999999</v>
      </c>
      <c r="G452" s="28">
        <v>0</v>
      </c>
      <c r="H452" s="31" t="s">
        <v>11</v>
      </c>
      <c r="I452" s="31">
        <v>5</v>
      </c>
      <c r="J452" s="28">
        <v>4</v>
      </c>
      <c r="K452" s="28">
        <v>1</v>
      </c>
      <c r="L452" s="28">
        <v>76</v>
      </c>
      <c r="M452" s="28" t="s">
        <v>44</v>
      </c>
      <c r="N452" s="28" t="s">
        <v>25</v>
      </c>
      <c r="O452" s="33">
        <v>772</v>
      </c>
      <c r="P452" t="s">
        <v>18</v>
      </c>
    </row>
    <row r="453" spans="1:16" hidden="1" x14ac:dyDescent="0.2">
      <c r="A453" t="s">
        <v>11</v>
      </c>
      <c r="B453" s="25">
        <v>45776</v>
      </c>
      <c r="C453" s="29">
        <v>28</v>
      </c>
      <c r="D453" s="29">
        <v>161</v>
      </c>
      <c r="E453" s="29">
        <v>82</v>
      </c>
      <c r="F453" s="28">
        <v>167.48009999999999</v>
      </c>
      <c r="G453" s="28">
        <v>0</v>
      </c>
      <c r="H453" s="31" t="s">
        <v>11</v>
      </c>
      <c r="I453" s="31">
        <v>5</v>
      </c>
      <c r="J453" s="28">
        <v>4</v>
      </c>
      <c r="K453" s="28">
        <v>2</v>
      </c>
      <c r="L453" s="28">
        <v>11</v>
      </c>
      <c r="M453" s="28" t="s">
        <v>45</v>
      </c>
      <c r="N453" s="28" t="s">
        <v>21</v>
      </c>
      <c r="O453" s="33">
        <v>605.4</v>
      </c>
      <c r="P453" t="s">
        <v>18</v>
      </c>
    </row>
    <row r="454" spans="1:16" hidden="1" x14ac:dyDescent="0.2">
      <c r="A454" t="s">
        <v>11</v>
      </c>
      <c r="B454" s="25">
        <v>45776</v>
      </c>
      <c r="C454" s="29">
        <v>28</v>
      </c>
      <c r="D454" s="29">
        <v>168</v>
      </c>
      <c r="E454" s="29">
        <v>83</v>
      </c>
      <c r="F454" s="28">
        <v>297.82639999999998</v>
      </c>
      <c r="G454" s="28">
        <v>0</v>
      </c>
      <c r="H454" s="31" t="s">
        <v>11</v>
      </c>
      <c r="I454" s="31">
        <v>6</v>
      </c>
      <c r="J454" s="28">
        <v>3</v>
      </c>
      <c r="K454" s="28">
        <v>1</v>
      </c>
      <c r="L454" s="28">
        <v>70</v>
      </c>
      <c r="M454" s="28" t="s">
        <v>43</v>
      </c>
      <c r="N454" s="28" t="s">
        <v>19</v>
      </c>
      <c r="O454" s="33">
        <v>619.4</v>
      </c>
      <c r="P454" t="s">
        <v>18</v>
      </c>
    </row>
    <row r="455" spans="1:16" hidden="1" x14ac:dyDescent="0.2">
      <c r="A455" t="s">
        <v>11</v>
      </c>
      <c r="B455" s="25">
        <v>45776</v>
      </c>
      <c r="C455" s="29">
        <v>28</v>
      </c>
      <c r="D455" s="29">
        <v>167</v>
      </c>
      <c r="E455" s="29">
        <v>83</v>
      </c>
      <c r="F455" s="28">
        <v>297.82639999999998</v>
      </c>
      <c r="G455" s="28">
        <v>0</v>
      </c>
      <c r="H455" s="31" t="s">
        <v>11</v>
      </c>
      <c r="I455" s="31">
        <v>6</v>
      </c>
      <c r="J455" s="28">
        <v>3</v>
      </c>
      <c r="K455" s="28">
        <v>2</v>
      </c>
      <c r="L455" s="28">
        <v>59</v>
      </c>
      <c r="M455" s="28" t="s">
        <v>46</v>
      </c>
      <c r="N455" s="28" t="s">
        <v>25</v>
      </c>
      <c r="O455" s="33">
        <v>532.5</v>
      </c>
      <c r="P455" t="s">
        <v>18</v>
      </c>
    </row>
    <row r="456" spans="1:16" hidden="1" x14ac:dyDescent="0.2">
      <c r="A456" t="s">
        <v>11</v>
      </c>
      <c r="B456" s="25">
        <v>45776</v>
      </c>
      <c r="C456" s="29">
        <v>28</v>
      </c>
      <c r="D456" s="29">
        <v>166</v>
      </c>
      <c r="E456" s="29">
        <v>84</v>
      </c>
      <c r="F456" s="28">
        <v>297.82639999999998</v>
      </c>
      <c r="G456" s="28">
        <v>0</v>
      </c>
      <c r="H456" s="31" t="s">
        <v>11</v>
      </c>
      <c r="I456" s="31">
        <v>6</v>
      </c>
      <c r="J456" s="28">
        <v>4</v>
      </c>
      <c r="K456" s="28">
        <v>1</v>
      </c>
      <c r="L456" s="28">
        <v>52</v>
      </c>
      <c r="M456" s="28" t="s">
        <v>43</v>
      </c>
      <c r="N456" s="28" t="s">
        <v>22</v>
      </c>
      <c r="O456" s="33">
        <v>558.79999999999995</v>
      </c>
      <c r="P456" t="s">
        <v>18</v>
      </c>
    </row>
    <row r="457" spans="1:16" hidden="1" x14ac:dyDescent="0.2">
      <c r="A457" t="s">
        <v>11</v>
      </c>
      <c r="B457" s="25">
        <v>45776</v>
      </c>
      <c r="C457" s="29">
        <v>28</v>
      </c>
      <c r="D457" s="29">
        <v>165</v>
      </c>
      <c r="E457" s="29">
        <v>84</v>
      </c>
      <c r="F457" s="28">
        <v>297.82639999999998</v>
      </c>
      <c r="G457" s="28">
        <v>0</v>
      </c>
      <c r="H457" s="31" t="s">
        <v>11</v>
      </c>
      <c r="I457" s="31">
        <v>6</v>
      </c>
      <c r="J457" s="28">
        <v>4</v>
      </c>
      <c r="K457" s="28">
        <v>2</v>
      </c>
      <c r="L457" s="28">
        <v>12</v>
      </c>
      <c r="M457" s="28" t="s">
        <v>46</v>
      </c>
      <c r="N457" s="28" t="s">
        <v>21</v>
      </c>
      <c r="O457" s="33" t="s">
        <v>60</v>
      </c>
      <c r="P457" t="s">
        <v>18</v>
      </c>
    </row>
    <row r="458" spans="1:16" hidden="1" x14ac:dyDescent="0.2">
      <c r="A458" t="s">
        <v>11</v>
      </c>
      <c r="B458" s="25">
        <v>45776</v>
      </c>
      <c r="C458" s="29">
        <v>28</v>
      </c>
      <c r="D458" s="29">
        <v>172</v>
      </c>
      <c r="E458" s="29">
        <v>85</v>
      </c>
      <c r="F458" s="28">
        <v>529.61860000000001</v>
      </c>
      <c r="G458" s="28">
        <v>0</v>
      </c>
      <c r="H458" s="31" t="s">
        <v>11</v>
      </c>
      <c r="I458" s="31">
        <v>7</v>
      </c>
      <c r="J458" s="28">
        <v>3</v>
      </c>
      <c r="K458" s="28">
        <v>1</v>
      </c>
      <c r="L458" s="28">
        <v>53</v>
      </c>
      <c r="M458" s="28" t="s">
        <v>44</v>
      </c>
      <c r="N458" s="28" t="s">
        <v>22</v>
      </c>
      <c r="O458" s="33">
        <v>515.1</v>
      </c>
      <c r="P458" t="s">
        <v>18</v>
      </c>
    </row>
    <row r="459" spans="1:16" hidden="1" x14ac:dyDescent="0.2">
      <c r="A459" t="s">
        <v>11</v>
      </c>
      <c r="B459" s="25">
        <v>45776</v>
      </c>
      <c r="C459" s="29">
        <v>28</v>
      </c>
      <c r="D459" s="29">
        <v>169</v>
      </c>
      <c r="E459" s="29">
        <v>85</v>
      </c>
      <c r="F459" s="28">
        <v>529.61860000000001</v>
      </c>
      <c r="G459" s="28">
        <v>0</v>
      </c>
      <c r="H459" s="31" t="s">
        <v>11</v>
      </c>
      <c r="I459" s="31">
        <v>7</v>
      </c>
      <c r="J459" s="28">
        <v>3</v>
      </c>
      <c r="K459" s="28">
        <v>2</v>
      </c>
      <c r="L459" s="28">
        <v>8</v>
      </c>
      <c r="M459" s="28" t="s">
        <v>45</v>
      </c>
      <c r="N459" s="28" t="s">
        <v>21</v>
      </c>
      <c r="O459" s="33">
        <v>591.29999999999995</v>
      </c>
      <c r="P459" t="s">
        <v>18</v>
      </c>
    </row>
    <row r="460" spans="1:16" hidden="1" x14ac:dyDescent="0.2">
      <c r="A460" t="s">
        <v>11</v>
      </c>
      <c r="B460" s="25">
        <v>45776</v>
      </c>
      <c r="C460" s="29">
        <v>28</v>
      </c>
      <c r="D460" s="29">
        <v>170</v>
      </c>
      <c r="E460" s="29">
        <v>86</v>
      </c>
      <c r="F460" s="28">
        <v>529.61860000000001</v>
      </c>
      <c r="G460" s="28">
        <v>0</v>
      </c>
      <c r="H460" s="31" t="s">
        <v>11</v>
      </c>
      <c r="I460" s="31">
        <v>7</v>
      </c>
      <c r="J460" s="28">
        <v>4</v>
      </c>
      <c r="K460" s="28">
        <v>1</v>
      </c>
      <c r="L460" s="28">
        <v>15</v>
      </c>
      <c r="M460" s="28" t="s">
        <v>44</v>
      </c>
      <c r="N460" s="28" t="s">
        <v>21</v>
      </c>
      <c r="O460" s="33">
        <v>665.2</v>
      </c>
      <c r="P460" t="s">
        <v>18</v>
      </c>
    </row>
    <row r="461" spans="1:16" hidden="1" x14ac:dyDescent="0.2">
      <c r="A461" t="s">
        <v>11</v>
      </c>
      <c r="B461" s="25">
        <v>45776</v>
      </c>
      <c r="C461" s="29">
        <v>28</v>
      </c>
      <c r="D461" s="29">
        <v>171</v>
      </c>
      <c r="E461" s="29">
        <v>86</v>
      </c>
      <c r="F461" s="28">
        <v>529.61860000000001</v>
      </c>
      <c r="G461" s="28">
        <v>0</v>
      </c>
      <c r="H461" s="31" t="s">
        <v>11</v>
      </c>
      <c r="I461" s="31">
        <v>7</v>
      </c>
      <c r="J461" s="28">
        <v>4</v>
      </c>
      <c r="K461" s="28">
        <v>2</v>
      </c>
      <c r="L461" s="28">
        <v>60</v>
      </c>
      <c r="M461" s="28" t="s">
        <v>45</v>
      </c>
      <c r="N461" s="28" t="s">
        <v>25</v>
      </c>
      <c r="O461" s="33">
        <v>306.5</v>
      </c>
      <c r="P461" t="s">
        <v>18</v>
      </c>
    </row>
    <row r="462" spans="1:16" hidden="1" x14ac:dyDescent="0.2">
      <c r="A462" t="s">
        <v>11</v>
      </c>
      <c r="B462" s="25">
        <v>45776</v>
      </c>
      <c r="C462" s="29">
        <v>28</v>
      </c>
      <c r="D462" s="29">
        <v>173</v>
      </c>
      <c r="E462" s="29">
        <v>87</v>
      </c>
      <c r="F462" s="28">
        <v>0.70640000000000003</v>
      </c>
      <c r="G462" s="28">
        <v>6.9999999999999999E-4</v>
      </c>
      <c r="H462" s="31" t="s">
        <v>12</v>
      </c>
      <c r="I462" s="31">
        <v>1</v>
      </c>
      <c r="J462" s="28">
        <v>3</v>
      </c>
      <c r="K462" s="28">
        <v>1</v>
      </c>
      <c r="L462" s="28">
        <v>8</v>
      </c>
      <c r="M462" s="28" t="s">
        <v>43</v>
      </c>
      <c r="N462" s="28" t="s">
        <v>21</v>
      </c>
      <c r="O462" s="33">
        <v>565.5</v>
      </c>
      <c r="P462" t="s">
        <v>18</v>
      </c>
    </row>
    <row r="463" spans="1:16" hidden="1" x14ac:dyDescent="0.2">
      <c r="A463" t="s">
        <v>11</v>
      </c>
      <c r="B463" s="25">
        <v>45776</v>
      </c>
      <c r="C463" s="29">
        <v>28</v>
      </c>
      <c r="D463" s="29">
        <v>174</v>
      </c>
      <c r="E463" s="29">
        <v>87</v>
      </c>
      <c r="F463" s="28">
        <v>0.70640000000000003</v>
      </c>
      <c r="G463" s="28">
        <v>6.9999999999999999E-4</v>
      </c>
      <c r="H463" s="31" t="s">
        <v>12</v>
      </c>
      <c r="I463" s="31">
        <v>1</v>
      </c>
      <c r="J463" s="28">
        <v>3</v>
      </c>
      <c r="K463" s="28">
        <v>2</v>
      </c>
      <c r="L463" s="28">
        <v>40</v>
      </c>
      <c r="M463" s="28" t="s">
        <v>46</v>
      </c>
      <c r="N463" s="28" t="s">
        <v>47</v>
      </c>
      <c r="O463" s="33">
        <v>719.6</v>
      </c>
      <c r="P463" t="s">
        <v>18</v>
      </c>
    </row>
    <row r="464" spans="1:16" hidden="1" x14ac:dyDescent="0.2">
      <c r="A464" t="s">
        <v>11</v>
      </c>
      <c r="B464" s="25">
        <v>45776</v>
      </c>
      <c r="C464" s="29">
        <v>28</v>
      </c>
      <c r="D464" s="29">
        <v>176</v>
      </c>
      <c r="E464" s="29">
        <v>88</v>
      </c>
      <c r="F464" s="28">
        <v>0.70640000000000003</v>
      </c>
      <c r="G464" s="28">
        <v>6.9999999999999999E-4</v>
      </c>
      <c r="H464" s="31" t="s">
        <v>12</v>
      </c>
      <c r="I464" s="31">
        <v>1</v>
      </c>
      <c r="J464" s="28">
        <v>4</v>
      </c>
      <c r="K464" s="28">
        <v>1</v>
      </c>
      <c r="L464" s="28">
        <v>59</v>
      </c>
      <c r="M464" s="28" t="s">
        <v>44</v>
      </c>
      <c r="N464" s="28" t="s">
        <v>25</v>
      </c>
      <c r="O464" s="33">
        <v>737.6</v>
      </c>
      <c r="P464" t="s">
        <v>18</v>
      </c>
    </row>
    <row r="465" spans="1:16" hidden="1" x14ac:dyDescent="0.2">
      <c r="A465" t="s">
        <v>11</v>
      </c>
      <c r="B465" s="25">
        <v>45776</v>
      </c>
      <c r="C465" s="29">
        <v>28</v>
      </c>
      <c r="D465" s="29">
        <v>175</v>
      </c>
      <c r="E465" s="29">
        <v>88</v>
      </c>
      <c r="F465" s="28">
        <v>0.70640000000000003</v>
      </c>
      <c r="G465" s="28">
        <v>6.9999999999999999E-4</v>
      </c>
      <c r="H465" s="31" t="s">
        <v>12</v>
      </c>
      <c r="I465" s="31">
        <v>1</v>
      </c>
      <c r="J465" s="28">
        <v>4</v>
      </c>
      <c r="K465" s="28">
        <v>2</v>
      </c>
      <c r="L465" s="28">
        <v>57</v>
      </c>
      <c r="M465" s="28" t="s">
        <v>45</v>
      </c>
      <c r="N465" s="28" t="s">
        <v>20</v>
      </c>
      <c r="O465" s="33">
        <v>700.1</v>
      </c>
      <c r="P465" t="s">
        <v>18</v>
      </c>
    </row>
    <row r="466" spans="1:16" hidden="1" x14ac:dyDescent="0.2">
      <c r="A466" t="s">
        <v>11</v>
      </c>
      <c r="B466" s="25">
        <v>45776</v>
      </c>
      <c r="C466" s="29">
        <v>28</v>
      </c>
      <c r="D466" s="29">
        <v>236</v>
      </c>
      <c r="E466" s="29">
        <v>117</v>
      </c>
      <c r="F466" s="28">
        <v>2.3544999999999998</v>
      </c>
      <c r="G466" s="28">
        <v>1.9599999999999999E-2</v>
      </c>
      <c r="H466" s="31" t="s">
        <v>14</v>
      </c>
      <c r="I466" s="31">
        <v>2</v>
      </c>
      <c r="J466" s="28">
        <v>3</v>
      </c>
      <c r="K466" s="28">
        <v>1</v>
      </c>
      <c r="L466" s="28">
        <v>56</v>
      </c>
      <c r="M466" s="28" t="s">
        <v>43</v>
      </c>
      <c r="N466" s="28" t="s">
        <v>20</v>
      </c>
      <c r="O466" s="33">
        <v>778.2</v>
      </c>
      <c r="P466" t="s">
        <v>18</v>
      </c>
    </row>
    <row r="467" spans="1:16" hidden="1" x14ac:dyDescent="0.2">
      <c r="A467" t="s">
        <v>11</v>
      </c>
      <c r="B467" s="25">
        <v>45776</v>
      </c>
      <c r="C467" s="29">
        <v>28</v>
      </c>
      <c r="D467" s="29">
        <v>233</v>
      </c>
      <c r="E467" s="29">
        <v>117</v>
      </c>
      <c r="F467" s="28">
        <v>2.3544999999999998</v>
      </c>
      <c r="G467" s="28">
        <v>1.9599999999999999E-2</v>
      </c>
      <c r="H467" s="31" t="s">
        <v>14</v>
      </c>
      <c r="I467" s="31">
        <v>2</v>
      </c>
      <c r="J467" s="28">
        <v>3</v>
      </c>
      <c r="K467" s="28">
        <v>2</v>
      </c>
      <c r="L467" s="28">
        <v>2</v>
      </c>
      <c r="M467" s="28" t="s">
        <v>46</v>
      </c>
      <c r="N467" s="28" t="s">
        <v>19</v>
      </c>
      <c r="O467" s="33">
        <v>691.8</v>
      </c>
      <c r="P467" t="s">
        <v>18</v>
      </c>
    </row>
    <row r="468" spans="1:16" hidden="1" x14ac:dyDescent="0.2">
      <c r="A468" t="s">
        <v>11</v>
      </c>
      <c r="B468" s="25">
        <v>45776</v>
      </c>
      <c r="C468" s="29">
        <v>28</v>
      </c>
      <c r="D468" s="29">
        <v>177</v>
      </c>
      <c r="E468" s="29">
        <v>90</v>
      </c>
      <c r="F468" s="28">
        <v>7.0636000000000001</v>
      </c>
      <c r="G468" s="28">
        <v>6.4999999999999997E-3</v>
      </c>
      <c r="H468" s="31" t="s">
        <v>12</v>
      </c>
      <c r="I468" s="31">
        <v>2</v>
      </c>
      <c r="J468" s="28">
        <v>4</v>
      </c>
      <c r="K468" s="28">
        <v>1</v>
      </c>
      <c r="L468" s="28">
        <v>11</v>
      </c>
      <c r="M468" s="28" t="s">
        <v>43</v>
      </c>
      <c r="N468" s="28" t="s">
        <v>21</v>
      </c>
      <c r="O468" s="33">
        <v>828.2</v>
      </c>
      <c r="P468" t="s">
        <v>18</v>
      </c>
    </row>
    <row r="469" spans="1:16" hidden="1" x14ac:dyDescent="0.2">
      <c r="A469" t="s">
        <v>11</v>
      </c>
      <c r="B469" s="25">
        <v>45776</v>
      </c>
      <c r="C469" s="29">
        <v>28</v>
      </c>
      <c r="D469" s="29">
        <v>180</v>
      </c>
      <c r="E469" s="29">
        <v>90</v>
      </c>
      <c r="F469" s="28">
        <v>7.0636000000000001</v>
      </c>
      <c r="G469" s="28">
        <v>6.4999999999999997E-3</v>
      </c>
      <c r="H469" s="31" t="s">
        <v>12</v>
      </c>
      <c r="I469" s="31">
        <v>2</v>
      </c>
      <c r="J469" s="28">
        <v>4</v>
      </c>
      <c r="K469" s="28">
        <v>2</v>
      </c>
      <c r="L469" s="28">
        <v>47</v>
      </c>
      <c r="M469" s="28" t="s">
        <v>46</v>
      </c>
      <c r="N469" s="28" t="s">
        <v>48</v>
      </c>
      <c r="O469" s="33">
        <v>497.8</v>
      </c>
      <c r="P469" t="s">
        <v>18</v>
      </c>
    </row>
    <row r="470" spans="1:16" hidden="1" x14ac:dyDescent="0.2">
      <c r="A470" t="s">
        <v>11</v>
      </c>
      <c r="B470" s="25">
        <v>45776</v>
      </c>
      <c r="C470" s="29">
        <v>28</v>
      </c>
      <c r="D470" s="29">
        <v>183</v>
      </c>
      <c r="E470" s="29">
        <v>91</v>
      </c>
      <c r="F470" s="28">
        <v>39.721400000000003</v>
      </c>
      <c r="G470" s="28">
        <v>3.6700000000000003E-2</v>
      </c>
      <c r="H470" s="31" t="s">
        <v>12</v>
      </c>
      <c r="I470" s="31">
        <v>3</v>
      </c>
      <c r="J470" s="28">
        <v>3</v>
      </c>
      <c r="K470" s="28">
        <v>1</v>
      </c>
      <c r="L470" s="28">
        <v>71</v>
      </c>
      <c r="M470" s="28" t="s">
        <v>44</v>
      </c>
      <c r="N470" s="28" t="s">
        <v>24</v>
      </c>
      <c r="O470" s="33">
        <v>1107</v>
      </c>
      <c r="P470" t="s">
        <v>18</v>
      </c>
    </row>
    <row r="471" spans="1:16" hidden="1" x14ac:dyDescent="0.2">
      <c r="A471" t="s">
        <v>11</v>
      </c>
      <c r="B471" s="25">
        <v>45776</v>
      </c>
      <c r="C471" s="29">
        <v>28</v>
      </c>
      <c r="D471" s="29">
        <v>184</v>
      </c>
      <c r="E471" s="29">
        <v>91</v>
      </c>
      <c r="F471" s="28">
        <v>39.721400000000003</v>
      </c>
      <c r="G471" s="28">
        <v>3.6700000000000003E-2</v>
      </c>
      <c r="H471" s="31" t="s">
        <v>12</v>
      </c>
      <c r="I471" s="31">
        <v>3</v>
      </c>
      <c r="J471" s="28">
        <v>3</v>
      </c>
      <c r="K471" s="28">
        <v>2</v>
      </c>
      <c r="L471" s="28">
        <v>72</v>
      </c>
      <c r="M471" s="28" t="s">
        <v>45</v>
      </c>
      <c r="N471" s="28" t="s">
        <v>24</v>
      </c>
      <c r="O471" s="33">
        <v>628.4</v>
      </c>
      <c r="P471" t="s">
        <v>18</v>
      </c>
    </row>
    <row r="472" spans="1:16" hidden="1" x14ac:dyDescent="0.2">
      <c r="A472" t="s">
        <v>11</v>
      </c>
      <c r="B472" s="25">
        <v>45776</v>
      </c>
      <c r="C472" s="29">
        <v>28</v>
      </c>
      <c r="D472" s="29">
        <v>181</v>
      </c>
      <c r="E472" s="29">
        <v>92</v>
      </c>
      <c r="F472" s="28">
        <v>39.721400000000003</v>
      </c>
      <c r="G472" s="28">
        <v>3.6700000000000003E-2</v>
      </c>
      <c r="H472" s="31" t="s">
        <v>12</v>
      </c>
      <c r="I472" s="31">
        <v>3</v>
      </c>
      <c r="J472" s="28">
        <v>4</v>
      </c>
      <c r="K472" s="28">
        <v>1</v>
      </c>
      <c r="L472" s="28">
        <v>40</v>
      </c>
      <c r="M472" s="28" t="s">
        <v>43</v>
      </c>
      <c r="N472" s="28" t="s">
        <v>47</v>
      </c>
      <c r="O472" s="33">
        <v>896.3</v>
      </c>
      <c r="P472" t="s">
        <v>18</v>
      </c>
    </row>
    <row r="473" spans="1:16" hidden="1" x14ac:dyDescent="0.2">
      <c r="A473" t="s">
        <v>11</v>
      </c>
      <c r="B473" s="25">
        <v>45776</v>
      </c>
      <c r="C473" s="29">
        <v>28</v>
      </c>
      <c r="D473" s="29">
        <v>182</v>
      </c>
      <c r="E473" s="29">
        <v>92</v>
      </c>
      <c r="F473" s="28">
        <v>39.721400000000003</v>
      </c>
      <c r="G473" s="28">
        <v>3.6700000000000003E-2</v>
      </c>
      <c r="H473" s="31" t="s">
        <v>12</v>
      </c>
      <c r="I473" s="31">
        <v>3</v>
      </c>
      <c r="J473" s="28">
        <v>4</v>
      </c>
      <c r="K473" s="28">
        <v>2</v>
      </c>
      <c r="L473" s="28">
        <v>42</v>
      </c>
      <c r="M473" s="28" t="s">
        <v>46</v>
      </c>
      <c r="N473" s="28" t="s">
        <v>24</v>
      </c>
      <c r="O473" s="33">
        <v>526.29999999999995</v>
      </c>
      <c r="P473" t="s">
        <v>18</v>
      </c>
    </row>
    <row r="474" spans="1:16" hidden="1" x14ac:dyDescent="0.2">
      <c r="A474" t="s">
        <v>11</v>
      </c>
      <c r="B474" s="25">
        <v>45776</v>
      </c>
      <c r="C474" s="29">
        <v>28</v>
      </c>
      <c r="D474" s="29">
        <v>186</v>
      </c>
      <c r="E474" s="29">
        <v>93</v>
      </c>
      <c r="F474" s="28">
        <v>70.6357</v>
      </c>
      <c r="G474" s="28">
        <v>6.5299999999999997E-2</v>
      </c>
      <c r="H474" s="31" t="s">
        <v>12</v>
      </c>
      <c r="I474" s="31">
        <v>4</v>
      </c>
      <c r="J474" s="28">
        <v>3</v>
      </c>
      <c r="K474" s="28">
        <v>1</v>
      </c>
      <c r="L474" s="28">
        <v>41</v>
      </c>
      <c r="M474" s="28" t="s">
        <v>43</v>
      </c>
      <c r="N474" s="28" t="s">
        <v>24</v>
      </c>
      <c r="O474" s="33">
        <v>860.6</v>
      </c>
      <c r="P474" t="s">
        <v>18</v>
      </c>
    </row>
    <row r="475" spans="1:16" hidden="1" x14ac:dyDescent="0.2">
      <c r="A475" t="s">
        <v>11</v>
      </c>
      <c r="B475" s="25">
        <v>45776</v>
      </c>
      <c r="C475" s="29">
        <v>28</v>
      </c>
      <c r="D475" s="29">
        <v>187</v>
      </c>
      <c r="E475" s="29">
        <v>93</v>
      </c>
      <c r="F475" s="28">
        <v>70.6357</v>
      </c>
      <c r="G475" s="28">
        <v>6.5299999999999997E-2</v>
      </c>
      <c r="H475" s="31" t="s">
        <v>12</v>
      </c>
      <c r="I475" s="31">
        <v>4</v>
      </c>
      <c r="J475" s="28">
        <v>3</v>
      </c>
      <c r="K475" s="28">
        <v>2</v>
      </c>
      <c r="L475" s="28">
        <v>56</v>
      </c>
      <c r="M475" s="28" t="s">
        <v>46</v>
      </c>
      <c r="N475" s="28" t="s">
        <v>20</v>
      </c>
      <c r="O475" s="33">
        <v>716.5</v>
      </c>
      <c r="P475" t="s">
        <v>18</v>
      </c>
    </row>
    <row r="476" spans="1:16" hidden="1" x14ac:dyDescent="0.2">
      <c r="A476" t="s">
        <v>11</v>
      </c>
      <c r="B476" s="25">
        <v>45776</v>
      </c>
      <c r="C476" s="29">
        <v>28</v>
      </c>
      <c r="D476" s="29">
        <v>188</v>
      </c>
      <c r="E476" s="29">
        <v>94</v>
      </c>
      <c r="F476" s="28">
        <v>70.6357</v>
      </c>
      <c r="G476" s="28">
        <v>6.5299999999999997E-2</v>
      </c>
      <c r="H476" s="31" t="s">
        <v>12</v>
      </c>
      <c r="I476" s="31">
        <v>4</v>
      </c>
      <c r="J476" s="28">
        <v>4</v>
      </c>
      <c r="K476" s="28">
        <v>1</v>
      </c>
      <c r="L476" s="28">
        <v>58</v>
      </c>
      <c r="M476" s="28" t="s">
        <v>44</v>
      </c>
      <c r="N476" s="28" t="s">
        <v>20</v>
      </c>
      <c r="O476" s="33">
        <v>759</v>
      </c>
      <c r="P476" t="s">
        <v>18</v>
      </c>
    </row>
    <row r="477" spans="1:16" hidden="1" x14ac:dyDescent="0.2">
      <c r="A477" t="s">
        <v>11</v>
      </c>
      <c r="B477" s="25">
        <v>45776</v>
      </c>
      <c r="C477" s="29">
        <v>28</v>
      </c>
      <c r="D477" s="29">
        <v>185</v>
      </c>
      <c r="E477" s="29">
        <v>94</v>
      </c>
      <c r="F477" s="28">
        <v>70.6357</v>
      </c>
      <c r="G477" s="28">
        <v>6.5299999999999997E-2</v>
      </c>
      <c r="H477" s="31" t="s">
        <v>12</v>
      </c>
      <c r="I477" s="31">
        <v>4</v>
      </c>
      <c r="J477" s="28">
        <v>4</v>
      </c>
      <c r="K477" s="28">
        <v>2</v>
      </c>
      <c r="L477" s="28">
        <v>35</v>
      </c>
      <c r="M477" s="28" t="s">
        <v>45</v>
      </c>
      <c r="N477" s="28" t="s">
        <v>47</v>
      </c>
      <c r="O477" s="33">
        <v>621.1</v>
      </c>
      <c r="P477" t="s">
        <v>18</v>
      </c>
    </row>
    <row r="478" spans="1:16" hidden="1" x14ac:dyDescent="0.2">
      <c r="A478" t="s">
        <v>11</v>
      </c>
      <c r="B478" s="25">
        <v>45776</v>
      </c>
      <c r="C478" s="29">
        <v>28</v>
      </c>
      <c r="D478" s="29">
        <v>189</v>
      </c>
      <c r="E478" s="29">
        <v>95</v>
      </c>
      <c r="F478" s="28">
        <v>125.6101</v>
      </c>
      <c r="G478" s="28">
        <v>0.11609999999999999</v>
      </c>
      <c r="H478" s="31" t="s">
        <v>12</v>
      </c>
      <c r="I478" s="31">
        <v>5</v>
      </c>
      <c r="J478" s="28">
        <v>3</v>
      </c>
      <c r="K478" s="28">
        <v>1</v>
      </c>
      <c r="L478" s="28">
        <v>19</v>
      </c>
      <c r="M478" s="28" t="s">
        <v>43</v>
      </c>
      <c r="N478" s="28" t="s">
        <v>21</v>
      </c>
      <c r="O478" s="33">
        <v>760.9</v>
      </c>
      <c r="P478" t="s">
        <v>18</v>
      </c>
    </row>
    <row r="479" spans="1:16" x14ac:dyDescent="0.2">
      <c r="A479" t="s">
        <v>11</v>
      </c>
      <c r="B479" s="25">
        <v>45776</v>
      </c>
      <c r="C479" s="29">
        <v>28</v>
      </c>
      <c r="D479" s="29">
        <v>190</v>
      </c>
      <c r="E479" s="29">
        <v>95</v>
      </c>
      <c r="F479" s="28">
        <v>125.6101</v>
      </c>
      <c r="G479" s="28">
        <v>0.11609999999999999</v>
      </c>
      <c r="H479" s="31" t="s">
        <v>12</v>
      </c>
      <c r="I479" s="31">
        <v>5</v>
      </c>
      <c r="J479" s="28">
        <v>3</v>
      </c>
      <c r="K479" s="28">
        <v>2</v>
      </c>
      <c r="L479" s="28">
        <v>24</v>
      </c>
      <c r="M479" s="28" t="s">
        <v>46</v>
      </c>
      <c r="N479" s="28" t="s">
        <v>32</v>
      </c>
      <c r="O479" s="33">
        <v>609.1</v>
      </c>
      <c r="P479" t="s">
        <v>18</v>
      </c>
    </row>
    <row r="480" spans="1:16" hidden="1" x14ac:dyDescent="0.2">
      <c r="A480" t="s">
        <v>11</v>
      </c>
      <c r="B480" s="25">
        <v>45776</v>
      </c>
      <c r="C480" s="29">
        <v>28</v>
      </c>
      <c r="D480" s="29">
        <v>191</v>
      </c>
      <c r="E480" s="29">
        <v>96</v>
      </c>
      <c r="F480" s="28">
        <v>125.6101</v>
      </c>
      <c r="G480" s="28">
        <v>0.11609999999999999</v>
      </c>
      <c r="H480" s="31" t="s">
        <v>12</v>
      </c>
      <c r="I480" s="31">
        <v>5</v>
      </c>
      <c r="J480" s="28">
        <v>4</v>
      </c>
      <c r="K480" s="28">
        <v>1</v>
      </c>
      <c r="L480" s="28">
        <v>71</v>
      </c>
      <c r="M480" s="28" t="s">
        <v>43</v>
      </c>
      <c r="N480" s="28" t="s">
        <v>24</v>
      </c>
      <c r="O480" s="33">
        <v>851</v>
      </c>
      <c r="P480" t="s">
        <v>18</v>
      </c>
    </row>
    <row r="481" spans="1:16" hidden="1" x14ac:dyDescent="0.2">
      <c r="A481" t="s">
        <v>11</v>
      </c>
      <c r="B481" s="25">
        <v>45776</v>
      </c>
      <c r="C481" s="29">
        <v>28</v>
      </c>
      <c r="D481" s="29">
        <v>192</v>
      </c>
      <c r="E481" s="29">
        <v>96</v>
      </c>
      <c r="F481" s="28">
        <v>125.6101</v>
      </c>
      <c r="G481" s="28">
        <v>0.11609999999999999</v>
      </c>
      <c r="H481" s="31" t="s">
        <v>12</v>
      </c>
      <c r="I481" s="31">
        <v>5</v>
      </c>
      <c r="J481" s="28">
        <v>4</v>
      </c>
      <c r="K481" s="28">
        <v>2</v>
      </c>
      <c r="L481" s="28">
        <v>72</v>
      </c>
      <c r="M481" s="28" t="s">
        <v>46</v>
      </c>
      <c r="N481" s="28" t="s">
        <v>24</v>
      </c>
      <c r="O481" s="33">
        <v>619.4</v>
      </c>
      <c r="P481" t="s">
        <v>18</v>
      </c>
    </row>
    <row r="482" spans="1:16" hidden="1" x14ac:dyDescent="0.2">
      <c r="A482" t="s">
        <v>11</v>
      </c>
      <c r="B482" s="25">
        <v>45776</v>
      </c>
      <c r="C482" s="29">
        <v>28</v>
      </c>
      <c r="D482" s="29">
        <v>193</v>
      </c>
      <c r="E482" s="29">
        <v>97</v>
      </c>
      <c r="F482" s="28">
        <v>223.3698</v>
      </c>
      <c r="G482" s="28">
        <v>0.2064</v>
      </c>
      <c r="H482" s="31" t="s">
        <v>12</v>
      </c>
      <c r="I482" s="31">
        <v>6</v>
      </c>
      <c r="J482" s="28">
        <v>3</v>
      </c>
      <c r="K482" s="28">
        <v>1</v>
      </c>
      <c r="L482" s="28">
        <v>24</v>
      </c>
      <c r="M482" s="28" t="s">
        <v>44</v>
      </c>
      <c r="N482" s="28" t="s">
        <v>32</v>
      </c>
      <c r="O482" s="33">
        <v>366.6</v>
      </c>
      <c r="P482" t="s">
        <v>18</v>
      </c>
    </row>
    <row r="483" spans="1:16" hidden="1" x14ac:dyDescent="0.2">
      <c r="A483" t="s">
        <v>11</v>
      </c>
      <c r="B483" s="25">
        <v>45776</v>
      </c>
      <c r="C483" s="29">
        <v>28</v>
      </c>
      <c r="D483" s="29">
        <v>195</v>
      </c>
      <c r="E483" s="29">
        <v>97</v>
      </c>
      <c r="F483" s="28">
        <v>223.3698</v>
      </c>
      <c r="G483" s="28">
        <v>0.2064</v>
      </c>
      <c r="H483" s="31" t="s">
        <v>12</v>
      </c>
      <c r="I483" s="31">
        <v>6</v>
      </c>
      <c r="J483" s="28">
        <v>3</v>
      </c>
      <c r="K483" s="28">
        <v>2</v>
      </c>
      <c r="L483" s="28">
        <v>58</v>
      </c>
      <c r="M483" s="28" t="s">
        <v>45</v>
      </c>
      <c r="N483" s="28" t="s">
        <v>20</v>
      </c>
      <c r="O483" s="33">
        <v>397.4</v>
      </c>
      <c r="P483" t="s">
        <v>18</v>
      </c>
    </row>
    <row r="484" spans="1:16" hidden="1" x14ac:dyDescent="0.2">
      <c r="A484" t="s">
        <v>11</v>
      </c>
      <c r="B484" s="25">
        <v>45776</v>
      </c>
      <c r="C484" s="29">
        <v>28</v>
      </c>
      <c r="D484" s="29">
        <v>200</v>
      </c>
      <c r="E484" s="29">
        <v>98</v>
      </c>
      <c r="F484" s="28">
        <v>397.214</v>
      </c>
      <c r="G484" s="28">
        <v>0.36709999999999998</v>
      </c>
      <c r="H484" s="31" t="s">
        <v>12</v>
      </c>
      <c r="I484" s="31">
        <v>6</v>
      </c>
      <c r="J484" s="28">
        <v>4</v>
      </c>
      <c r="K484" s="28">
        <v>1</v>
      </c>
      <c r="L484" s="28">
        <v>72</v>
      </c>
      <c r="M484" s="28" t="s">
        <v>44</v>
      </c>
      <c r="N484" s="28" t="s">
        <v>24</v>
      </c>
      <c r="O484" s="33">
        <v>499.2</v>
      </c>
      <c r="P484" t="s">
        <v>18</v>
      </c>
    </row>
    <row r="485" spans="1:16" hidden="1" x14ac:dyDescent="0.2">
      <c r="A485" t="s">
        <v>11</v>
      </c>
      <c r="B485" s="25">
        <v>45776</v>
      </c>
      <c r="C485" s="29">
        <v>28</v>
      </c>
      <c r="D485" s="29">
        <v>194</v>
      </c>
      <c r="E485" s="29">
        <v>98</v>
      </c>
      <c r="F485" s="28">
        <v>223.3698</v>
      </c>
      <c r="G485" s="28">
        <v>0.2064</v>
      </c>
      <c r="H485" s="31" t="s">
        <v>12</v>
      </c>
      <c r="I485" s="31">
        <v>6</v>
      </c>
      <c r="J485" s="28">
        <v>4</v>
      </c>
      <c r="K485" s="28">
        <v>2</v>
      </c>
      <c r="L485" s="28">
        <v>48</v>
      </c>
      <c r="M485" s="28" t="s">
        <v>45</v>
      </c>
      <c r="N485" s="28" t="s">
        <v>48</v>
      </c>
      <c r="O485" s="33">
        <v>207.5</v>
      </c>
      <c r="P485" t="s">
        <v>18</v>
      </c>
    </row>
    <row r="486" spans="1:16" hidden="1" x14ac:dyDescent="0.2">
      <c r="A486" t="s">
        <v>11</v>
      </c>
      <c r="B486" s="25">
        <v>45776</v>
      </c>
      <c r="C486" s="29">
        <v>28</v>
      </c>
      <c r="D486" s="29">
        <v>196</v>
      </c>
      <c r="E486" s="29">
        <v>98</v>
      </c>
      <c r="F486" s="28">
        <v>397.214</v>
      </c>
      <c r="G486" s="28">
        <v>0.36709999999999998</v>
      </c>
      <c r="H486" s="31" t="s">
        <v>12</v>
      </c>
      <c r="I486" s="31">
        <v>7</v>
      </c>
      <c r="J486" s="28">
        <v>3</v>
      </c>
      <c r="K486" s="28">
        <v>1</v>
      </c>
      <c r="L486" s="28">
        <v>22</v>
      </c>
      <c r="M486" s="28" t="s">
        <v>43</v>
      </c>
      <c r="N486" s="28" t="s">
        <v>32</v>
      </c>
      <c r="O486" s="33">
        <v>246.9</v>
      </c>
      <c r="P486" t="s">
        <v>18</v>
      </c>
    </row>
    <row r="487" spans="1:16" hidden="1" x14ac:dyDescent="0.2">
      <c r="A487" t="s">
        <v>11</v>
      </c>
      <c r="B487" s="25">
        <v>45776</v>
      </c>
      <c r="C487" s="29">
        <v>28</v>
      </c>
      <c r="D487" s="29">
        <v>197</v>
      </c>
      <c r="E487" s="29">
        <v>99</v>
      </c>
      <c r="F487" s="28">
        <v>397.214</v>
      </c>
      <c r="G487" s="28">
        <v>0.36709999999999998</v>
      </c>
      <c r="H487" s="31" t="s">
        <v>12</v>
      </c>
      <c r="I487" s="31">
        <v>7</v>
      </c>
      <c r="J487" s="28">
        <v>3</v>
      </c>
      <c r="K487" s="28">
        <v>2</v>
      </c>
      <c r="L487" s="28">
        <v>25</v>
      </c>
      <c r="M487" s="28" t="s">
        <v>46</v>
      </c>
      <c r="N487" s="28" t="s">
        <v>32</v>
      </c>
      <c r="O487" s="33">
        <v>388.5</v>
      </c>
      <c r="P487" t="s">
        <v>18</v>
      </c>
    </row>
    <row r="488" spans="1:16" hidden="1" x14ac:dyDescent="0.2">
      <c r="A488" t="s">
        <v>11</v>
      </c>
      <c r="B488" s="25">
        <v>45776</v>
      </c>
      <c r="C488" s="29">
        <v>28</v>
      </c>
      <c r="D488" s="29">
        <v>198</v>
      </c>
      <c r="E488" s="29">
        <v>100</v>
      </c>
      <c r="F488" s="28">
        <v>397.214</v>
      </c>
      <c r="G488" s="28">
        <v>0.36709999999999998</v>
      </c>
      <c r="H488" s="31" t="s">
        <v>12</v>
      </c>
      <c r="I488" s="31">
        <v>7</v>
      </c>
      <c r="J488" s="28">
        <v>4</v>
      </c>
      <c r="K488" s="28">
        <v>1</v>
      </c>
      <c r="L488" s="28">
        <v>48</v>
      </c>
      <c r="M488" s="28" t="s">
        <v>44</v>
      </c>
      <c r="N488" s="28" t="s">
        <v>48</v>
      </c>
      <c r="O488" s="33">
        <v>184.8</v>
      </c>
      <c r="P488" t="s">
        <v>18</v>
      </c>
    </row>
    <row r="489" spans="1:16" hidden="1" x14ac:dyDescent="0.2">
      <c r="A489" t="s">
        <v>11</v>
      </c>
      <c r="B489" s="25">
        <v>45776</v>
      </c>
      <c r="C489" s="29">
        <v>28</v>
      </c>
      <c r="D489" s="29">
        <v>199</v>
      </c>
      <c r="E489" s="29">
        <v>100</v>
      </c>
      <c r="F489" s="28">
        <v>397.214</v>
      </c>
      <c r="G489" s="28">
        <v>0.36709999999999998</v>
      </c>
      <c r="H489" s="31" t="s">
        <v>12</v>
      </c>
      <c r="I489" s="31">
        <v>7</v>
      </c>
      <c r="J489" s="28">
        <v>4</v>
      </c>
      <c r="K489" s="28">
        <v>2</v>
      </c>
      <c r="L489" s="28">
        <v>70</v>
      </c>
      <c r="M489" s="28" t="s">
        <v>45</v>
      </c>
      <c r="N489" s="28" t="s">
        <v>19</v>
      </c>
      <c r="O489" s="33">
        <v>195.1</v>
      </c>
      <c r="P489" t="s">
        <v>18</v>
      </c>
    </row>
    <row r="490" spans="1:16" hidden="1" x14ac:dyDescent="0.2">
      <c r="A490" t="s">
        <v>11</v>
      </c>
      <c r="B490" s="25">
        <v>45776</v>
      </c>
      <c r="C490" s="29">
        <v>28</v>
      </c>
      <c r="D490" s="29">
        <v>203</v>
      </c>
      <c r="E490" s="29">
        <v>101</v>
      </c>
      <c r="F490" s="28">
        <v>0.47089999999999999</v>
      </c>
      <c r="G490" s="28">
        <v>1.2999999999999999E-3</v>
      </c>
      <c r="H490" s="31" t="s">
        <v>13</v>
      </c>
      <c r="I490" s="31">
        <v>1</v>
      </c>
      <c r="J490" s="28">
        <v>3</v>
      </c>
      <c r="K490" s="28">
        <v>1</v>
      </c>
      <c r="L490" s="28">
        <v>49</v>
      </c>
      <c r="M490" s="28" t="s">
        <v>44</v>
      </c>
      <c r="N490" s="28" t="s">
        <v>48</v>
      </c>
      <c r="O490" s="33">
        <v>530.79999999999995</v>
      </c>
      <c r="P490" t="s">
        <v>18</v>
      </c>
    </row>
    <row r="491" spans="1:16" hidden="1" x14ac:dyDescent="0.2">
      <c r="A491" t="s">
        <v>11</v>
      </c>
      <c r="B491" s="25">
        <v>45776</v>
      </c>
      <c r="C491" s="29">
        <v>28</v>
      </c>
      <c r="D491" s="29">
        <v>202</v>
      </c>
      <c r="E491" s="29">
        <v>101</v>
      </c>
      <c r="F491" s="28">
        <v>0.47089999999999999</v>
      </c>
      <c r="G491" s="28">
        <v>1.2999999999999999E-3</v>
      </c>
      <c r="H491" s="31" t="s">
        <v>13</v>
      </c>
      <c r="I491" s="31">
        <v>1</v>
      </c>
      <c r="J491" s="28">
        <v>3</v>
      </c>
      <c r="K491" s="28">
        <v>2</v>
      </c>
      <c r="L491" s="28">
        <v>22</v>
      </c>
      <c r="M491" s="28" t="s">
        <v>45</v>
      </c>
      <c r="N491" s="28" t="s">
        <v>32</v>
      </c>
      <c r="O491" s="33">
        <v>921.3</v>
      </c>
      <c r="P491" t="s">
        <v>18</v>
      </c>
    </row>
    <row r="492" spans="1:16" hidden="1" x14ac:dyDescent="0.2">
      <c r="A492" t="s">
        <v>11</v>
      </c>
      <c r="B492" s="25">
        <v>45776</v>
      </c>
      <c r="C492" s="29">
        <v>28</v>
      </c>
      <c r="D492" s="29">
        <v>204</v>
      </c>
      <c r="E492" s="29">
        <v>102</v>
      </c>
      <c r="F492" s="28">
        <v>0.47089999999999999</v>
      </c>
      <c r="G492" s="28">
        <v>1.2999999999999999E-3</v>
      </c>
      <c r="H492" s="31" t="s">
        <v>13</v>
      </c>
      <c r="I492" s="31">
        <v>1</v>
      </c>
      <c r="J492" s="28">
        <v>4</v>
      </c>
      <c r="K492" s="28">
        <v>1</v>
      </c>
      <c r="L492" s="28">
        <v>53</v>
      </c>
      <c r="M492" s="28" t="s">
        <v>43</v>
      </c>
      <c r="N492" s="28" t="s">
        <v>22</v>
      </c>
      <c r="O492" s="33">
        <v>683.1</v>
      </c>
      <c r="P492" t="s">
        <v>18</v>
      </c>
    </row>
    <row r="493" spans="1:16" hidden="1" x14ac:dyDescent="0.2">
      <c r="A493" t="s">
        <v>11</v>
      </c>
      <c r="B493" s="25">
        <v>45776</v>
      </c>
      <c r="C493" s="29">
        <v>28</v>
      </c>
      <c r="D493" s="29">
        <v>201</v>
      </c>
      <c r="E493" s="29">
        <v>102</v>
      </c>
      <c r="F493" s="28">
        <v>0.47089999999999999</v>
      </c>
      <c r="G493" s="28">
        <v>1.2999999999999999E-3</v>
      </c>
      <c r="H493" s="31" t="s">
        <v>13</v>
      </c>
      <c r="I493" s="31">
        <v>1</v>
      </c>
      <c r="J493" s="28">
        <v>4</v>
      </c>
      <c r="K493" s="28">
        <v>2</v>
      </c>
      <c r="L493" s="28">
        <v>8</v>
      </c>
      <c r="M493" s="28" t="s">
        <v>46</v>
      </c>
      <c r="N493" s="28" t="s">
        <v>21</v>
      </c>
      <c r="O493" s="33">
        <v>724.4</v>
      </c>
      <c r="P493" t="s">
        <v>18</v>
      </c>
    </row>
    <row r="494" spans="1:16" hidden="1" x14ac:dyDescent="0.2">
      <c r="A494" t="s">
        <v>37</v>
      </c>
      <c r="B494" s="25">
        <v>45770</v>
      </c>
      <c r="C494" s="29">
        <v>28</v>
      </c>
      <c r="D494" s="29">
        <v>117</v>
      </c>
      <c r="E494" s="29">
        <v>59</v>
      </c>
      <c r="F494" s="28">
        <v>0</v>
      </c>
      <c r="G494" s="28">
        <v>2.6100000000000002E-2</v>
      </c>
      <c r="H494" s="31" t="s">
        <v>15</v>
      </c>
      <c r="I494" s="31">
        <v>2</v>
      </c>
      <c r="J494" s="28">
        <v>1</v>
      </c>
      <c r="K494" s="28">
        <v>1</v>
      </c>
      <c r="L494" s="28">
        <v>3</v>
      </c>
      <c r="M494" s="28" t="s">
        <v>43</v>
      </c>
      <c r="N494" s="28" t="s">
        <v>19</v>
      </c>
      <c r="O494" s="33">
        <v>829.2</v>
      </c>
      <c r="P494" t="s">
        <v>18</v>
      </c>
    </row>
    <row r="495" spans="1:16" hidden="1" x14ac:dyDescent="0.2">
      <c r="A495" t="s">
        <v>37</v>
      </c>
      <c r="B495" s="25">
        <v>45770</v>
      </c>
      <c r="C495" s="29">
        <v>28</v>
      </c>
      <c r="D495" s="29">
        <v>118</v>
      </c>
      <c r="E495" s="29">
        <v>59</v>
      </c>
      <c r="F495" s="28">
        <v>0</v>
      </c>
      <c r="G495" s="28">
        <v>2.6100000000000002E-2</v>
      </c>
      <c r="H495" s="31" t="s">
        <v>15</v>
      </c>
      <c r="I495" s="31">
        <v>2</v>
      </c>
      <c r="J495" s="28">
        <v>1</v>
      </c>
      <c r="K495" s="28">
        <v>2</v>
      </c>
      <c r="L495" s="28">
        <v>79</v>
      </c>
      <c r="M495" s="28" t="s">
        <v>46</v>
      </c>
      <c r="N495" s="28" t="s">
        <v>49</v>
      </c>
      <c r="O495" s="33">
        <v>1152.7</v>
      </c>
      <c r="P495" t="s">
        <v>18</v>
      </c>
    </row>
    <row r="496" spans="1:16" hidden="1" x14ac:dyDescent="0.2">
      <c r="A496" t="s">
        <v>11</v>
      </c>
      <c r="B496" s="25">
        <v>45776</v>
      </c>
      <c r="C496" s="29">
        <v>28</v>
      </c>
      <c r="D496" s="29">
        <v>207</v>
      </c>
      <c r="E496" s="29">
        <v>104</v>
      </c>
      <c r="F496" s="28">
        <v>4.7089999999999996</v>
      </c>
      <c r="G496" s="28">
        <v>1.3100000000000001E-2</v>
      </c>
      <c r="H496" s="31" t="s">
        <v>13</v>
      </c>
      <c r="I496" s="31">
        <v>2</v>
      </c>
      <c r="J496" s="28">
        <v>4</v>
      </c>
      <c r="K496" s="28">
        <v>1</v>
      </c>
      <c r="L496" s="28">
        <v>47</v>
      </c>
      <c r="M496" s="28" t="s">
        <v>43</v>
      </c>
      <c r="N496" s="28" t="s">
        <v>48</v>
      </c>
      <c r="O496" s="33">
        <v>653</v>
      </c>
      <c r="P496" t="s">
        <v>18</v>
      </c>
    </row>
    <row r="497" spans="1:16" hidden="1" x14ac:dyDescent="0.2">
      <c r="A497" t="s">
        <v>11</v>
      </c>
      <c r="B497" s="25">
        <v>45776</v>
      </c>
      <c r="C497" s="29">
        <v>28</v>
      </c>
      <c r="D497" s="29">
        <v>206</v>
      </c>
      <c r="E497" s="29">
        <v>104</v>
      </c>
      <c r="F497" s="28">
        <v>4.7089999999999996</v>
      </c>
      <c r="G497" s="28">
        <v>1.3100000000000001E-2</v>
      </c>
      <c r="H497" s="31" t="s">
        <v>13</v>
      </c>
      <c r="I497" s="31">
        <v>2</v>
      </c>
      <c r="J497" s="28">
        <v>4</v>
      </c>
      <c r="K497" s="28">
        <v>2</v>
      </c>
      <c r="L497" s="28">
        <v>33</v>
      </c>
      <c r="M497" s="28" t="s">
        <v>46</v>
      </c>
      <c r="N497" s="28" t="s">
        <v>47</v>
      </c>
      <c r="O497" s="33">
        <v>763.6</v>
      </c>
      <c r="P497" t="s">
        <v>18</v>
      </c>
    </row>
    <row r="498" spans="1:16" hidden="1" x14ac:dyDescent="0.2">
      <c r="A498" t="s">
        <v>11</v>
      </c>
      <c r="B498" s="25">
        <v>45776</v>
      </c>
      <c r="C498" s="29">
        <v>28</v>
      </c>
      <c r="D498" s="29">
        <v>209</v>
      </c>
      <c r="E498" s="29">
        <v>105</v>
      </c>
      <c r="F498" s="28">
        <v>26.480899999999998</v>
      </c>
      <c r="G498" s="28">
        <v>7.3400000000000007E-2</v>
      </c>
      <c r="H498" s="31" t="s">
        <v>13</v>
      </c>
      <c r="I498" s="31">
        <v>3</v>
      </c>
      <c r="J498" s="28">
        <v>3</v>
      </c>
      <c r="K498" s="28">
        <v>1</v>
      </c>
      <c r="L498" s="28">
        <v>7</v>
      </c>
      <c r="M498" s="28" t="s">
        <v>44</v>
      </c>
      <c r="N498" s="28" t="s">
        <v>19</v>
      </c>
      <c r="O498" s="33">
        <v>513.79999999999995</v>
      </c>
      <c r="P498" t="s">
        <v>18</v>
      </c>
    </row>
    <row r="499" spans="1:16" hidden="1" x14ac:dyDescent="0.2">
      <c r="A499" t="s">
        <v>11</v>
      </c>
      <c r="B499" s="25">
        <v>45776</v>
      </c>
      <c r="C499" s="29">
        <v>28</v>
      </c>
      <c r="D499" s="29">
        <v>210</v>
      </c>
      <c r="E499" s="29">
        <v>105</v>
      </c>
      <c r="F499" s="28">
        <v>26.480899999999998</v>
      </c>
      <c r="G499" s="28">
        <v>7.3400000000000007E-2</v>
      </c>
      <c r="H499" s="31" t="s">
        <v>13</v>
      </c>
      <c r="I499" s="31">
        <v>3</v>
      </c>
      <c r="J499" s="28">
        <v>3</v>
      </c>
      <c r="K499" s="28">
        <v>2</v>
      </c>
      <c r="L499" s="28">
        <v>27</v>
      </c>
      <c r="M499" s="28" t="s">
        <v>45</v>
      </c>
      <c r="N499" s="28" t="s">
        <v>32</v>
      </c>
      <c r="O499" s="33">
        <v>739.1</v>
      </c>
      <c r="P499" t="s">
        <v>18</v>
      </c>
    </row>
    <row r="500" spans="1:16" hidden="1" x14ac:dyDescent="0.2">
      <c r="A500" t="s">
        <v>11</v>
      </c>
      <c r="B500" s="25">
        <v>45776</v>
      </c>
      <c r="C500" s="29">
        <v>28</v>
      </c>
      <c r="D500" s="29">
        <v>212</v>
      </c>
      <c r="E500" s="29">
        <v>106</v>
      </c>
      <c r="F500" s="28">
        <v>26.480899999999998</v>
      </c>
      <c r="G500" s="28">
        <v>7.3400000000000007E-2</v>
      </c>
      <c r="H500" s="31" t="s">
        <v>13</v>
      </c>
      <c r="I500" s="31">
        <v>3</v>
      </c>
      <c r="J500" s="28">
        <v>4</v>
      </c>
      <c r="K500" s="28">
        <v>1</v>
      </c>
      <c r="L500" s="28">
        <v>42</v>
      </c>
      <c r="M500" s="28" t="s">
        <v>43</v>
      </c>
      <c r="N500" s="28" t="s">
        <v>24</v>
      </c>
      <c r="O500" s="33">
        <v>497.2</v>
      </c>
      <c r="P500" t="s">
        <v>18</v>
      </c>
    </row>
    <row r="501" spans="1:16" hidden="1" x14ac:dyDescent="0.2">
      <c r="A501" t="s">
        <v>11</v>
      </c>
      <c r="B501" s="25">
        <v>45776</v>
      </c>
      <c r="C501" s="29">
        <v>28</v>
      </c>
      <c r="D501" s="29">
        <v>211</v>
      </c>
      <c r="E501" s="29">
        <v>106</v>
      </c>
      <c r="F501" s="28">
        <v>26.480899999999998</v>
      </c>
      <c r="G501" s="28">
        <v>7.3400000000000007E-2</v>
      </c>
      <c r="H501" s="31" t="s">
        <v>13</v>
      </c>
      <c r="I501" s="31">
        <v>3</v>
      </c>
      <c r="J501" s="28">
        <v>4</v>
      </c>
      <c r="K501" s="28">
        <v>2</v>
      </c>
      <c r="L501" s="28">
        <v>41</v>
      </c>
      <c r="M501" s="28" t="s">
        <v>46</v>
      </c>
      <c r="N501" s="28" t="s">
        <v>24</v>
      </c>
      <c r="O501" s="33">
        <v>543</v>
      </c>
      <c r="P501" t="s">
        <v>18</v>
      </c>
    </row>
    <row r="502" spans="1:16" hidden="1" x14ac:dyDescent="0.2">
      <c r="A502" t="s">
        <v>11</v>
      </c>
      <c r="B502" s="25">
        <v>45776</v>
      </c>
      <c r="C502" s="29">
        <v>28</v>
      </c>
      <c r="D502" s="29">
        <v>215</v>
      </c>
      <c r="E502" s="29">
        <v>107</v>
      </c>
      <c r="F502" s="28">
        <v>47.090499999999999</v>
      </c>
      <c r="G502" s="28">
        <v>0.1305</v>
      </c>
      <c r="H502" s="31" t="s">
        <v>13</v>
      </c>
      <c r="I502" s="31">
        <v>4</v>
      </c>
      <c r="J502" s="28">
        <v>3</v>
      </c>
      <c r="K502" s="28">
        <v>1</v>
      </c>
      <c r="L502" s="28">
        <v>68</v>
      </c>
      <c r="M502" s="28" t="s">
        <v>43</v>
      </c>
      <c r="N502" s="28" t="s">
        <v>19</v>
      </c>
      <c r="O502" s="33">
        <v>570.4</v>
      </c>
      <c r="P502" t="s">
        <v>18</v>
      </c>
    </row>
    <row r="503" spans="1:16" hidden="1" x14ac:dyDescent="0.2">
      <c r="A503" t="s">
        <v>11</v>
      </c>
      <c r="B503" s="25">
        <v>45776</v>
      </c>
      <c r="C503" s="29">
        <v>28</v>
      </c>
      <c r="D503" s="29">
        <v>216</v>
      </c>
      <c r="E503" s="29">
        <v>107</v>
      </c>
      <c r="F503" s="28">
        <v>47.090499999999999</v>
      </c>
      <c r="G503" s="28">
        <v>0.1305</v>
      </c>
      <c r="H503" s="31" t="s">
        <v>13</v>
      </c>
      <c r="I503" s="31">
        <v>4</v>
      </c>
      <c r="J503" s="28">
        <v>3</v>
      </c>
      <c r="K503" s="28">
        <v>2</v>
      </c>
      <c r="L503" s="28">
        <v>75</v>
      </c>
      <c r="M503" s="28" t="s">
        <v>46</v>
      </c>
      <c r="N503" s="28" t="s">
        <v>24</v>
      </c>
      <c r="O503" s="33">
        <v>704.1</v>
      </c>
      <c r="P503" t="s">
        <v>18</v>
      </c>
    </row>
    <row r="504" spans="1:16" hidden="1" x14ac:dyDescent="0.2">
      <c r="A504" t="s">
        <v>11</v>
      </c>
      <c r="B504" s="25">
        <v>45776</v>
      </c>
      <c r="C504" s="29">
        <v>28</v>
      </c>
      <c r="D504" s="29">
        <v>213</v>
      </c>
      <c r="E504" s="29">
        <v>108</v>
      </c>
      <c r="F504" s="28">
        <v>47.090499999999999</v>
      </c>
      <c r="G504" s="28">
        <v>0.1305</v>
      </c>
      <c r="H504" s="31" t="s">
        <v>13</v>
      </c>
      <c r="I504" s="31">
        <v>4</v>
      </c>
      <c r="J504" s="28">
        <v>4</v>
      </c>
      <c r="K504" s="28">
        <v>1</v>
      </c>
      <c r="L504" s="28">
        <v>54</v>
      </c>
      <c r="M504" s="28" t="s">
        <v>44</v>
      </c>
      <c r="N504" s="28" t="s">
        <v>21</v>
      </c>
      <c r="O504" s="33">
        <v>441.8</v>
      </c>
      <c r="P504" t="s">
        <v>18</v>
      </c>
    </row>
    <row r="505" spans="1:16" hidden="1" x14ac:dyDescent="0.2">
      <c r="A505" t="s">
        <v>11</v>
      </c>
      <c r="B505" s="25">
        <v>45776</v>
      </c>
      <c r="C505" s="29">
        <v>28</v>
      </c>
      <c r="D505" s="29">
        <v>214</v>
      </c>
      <c r="E505" s="29">
        <v>108</v>
      </c>
      <c r="F505" s="28">
        <v>47.090499999999999</v>
      </c>
      <c r="G505" s="28">
        <v>0.1305</v>
      </c>
      <c r="H505" s="31" t="s">
        <v>13</v>
      </c>
      <c r="I505" s="31">
        <v>4</v>
      </c>
      <c r="J505" s="28">
        <v>4</v>
      </c>
      <c r="K505" s="28">
        <v>2</v>
      </c>
      <c r="L505" s="28">
        <v>24</v>
      </c>
      <c r="M505" s="28" t="s">
        <v>45</v>
      </c>
      <c r="N505" s="28" t="s">
        <v>32</v>
      </c>
      <c r="O505" s="33">
        <v>1218</v>
      </c>
      <c r="P505" t="s">
        <v>18</v>
      </c>
    </row>
    <row r="506" spans="1:16" hidden="1" x14ac:dyDescent="0.2">
      <c r="A506" t="s">
        <v>11</v>
      </c>
      <c r="B506" s="25">
        <v>45776</v>
      </c>
      <c r="C506" s="29">
        <v>28</v>
      </c>
      <c r="D506" s="29">
        <v>217</v>
      </c>
      <c r="E506" s="29">
        <v>109</v>
      </c>
      <c r="F506" s="28">
        <v>83.740099999999998</v>
      </c>
      <c r="G506" s="28">
        <v>0.2321</v>
      </c>
      <c r="H506" s="31" t="s">
        <v>13</v>
      </c>
      <c r="I506" s="31">
        <v>5</v>
      </c>
      <c r="J506" s="28">
        <v>3</v>
      </c>
      <c r="K506" s="28">
        <v>1</v>
      </c>
      <c r="L506" s="28">
        <v>7</v>
      </c>
      <c r="M506" s="28" t="s">
        <v>43</v>
      </c>
      <c r="N506" s="28" t="s">
        <v>19</v>
      </c>
      <c r="O506" s="33">
        <v>627.29999999999995</v>
      </c>
      <c r="P506" t="s">
        <v>18</v>
      </c>
    </row>
    <row r="507" spans="1:16" x14ac:dyDescent="0.2">
      <c r="A507" t="s">
        <v>11</v>
      </c>
      <c r="B507" s="25">
        <v>45776</v>
      </c>
      <c r="C507" s="29">
        <v>28</v>
      </c>
      <c r="D507" s="29">
        <v>218</v>
      </c>
      <c r="E507" s="29">
        <v>109</v>
      </c>
      <c r="F507" s="28">
        <v>83.740099999999998</v>
      </c>
      <c r="G507" s="28">
        <v>0.2321</v>
      </c>
      <c r="H507" s="31" t="s">
        <v>13</v>
      </c>
      <c r="I507" s="31">
        <v>5</v>
      </c>
      <c r="J507" s="28">
        <v>3</v>
      </c>
      <c r="K507" s="28">
        <v>2</v>
      </c>
      <c r="L507" s="28">
        <v>27</v>
      </c>
      <c r="M507" s="28" t="s">
        <v>46</v>
      </c>
      <c r="N507" s="28" t="s">
        <v>32</v>
      </c>
      <c r="O507" s="33">
        <v>536</v>
      </c>
      <c r="P507" t="s">
        <v>18</v>
      </c>
    </row>
    <row r="508" spans="1:16" hidden="1" x14ac:dyDescent="0.2">
      <c r="A508" t="s">
        <v>11</v>
      </c>
      <c r="B508" s="25">
        <v>45776</v>
      </c>
      <c r="C508" s="29">
        <v>28</v>
      </c>
      <c r="D508" s="29">
        <v>219</v>
      </c>
      <c r="E508" s="29">
        <v>110</v>
      </c>
      <c r="F508" s="28">
        <v>83.740099999999998</v>
      </c>
      <c r="G508" s="28">
        <v>0.2321</v>
      </c>
      <c r="H508" s="31" t="s">
        <v>13</v>
      </c>
      <c r="I508" s="31">
        <v>5</v>
      </c>
      <c r="J508" s="28">
        <v>4</v>
      </c>
      <c r="K508" s="28">
        <v>1</v>
      </c>
      <c r="L508" s="28">
        <v>51</v>
      </c>
      <c r="M508" s="28" t="s">
        <v>44</v>
      </c>
      <c r="N508" s="28" t="s">
        <v>22</v>
      </c>
      <c r="O508" s="33">
        <v>472</v>
      </c>
      <c r="P508" t="s">
        <v>18</v>
      </c>
    </row>
    <row r="509" spans="1:16" hidden="1" x14ac:dyDescent="0.2">
      <c r="A509" t="s">
        <v>11</v>
      </c>
      <c r="B509" s="25">
        <v>45776</v>
      </c>
      <c r="C509" s="29">
        <v>28</v>
      </c>
      <c r="D509" s="29">
        <v>220</v>
      </c>
      <c r="E509" s="29">
        <v>110</v>
      </c>
      <c r="F509" s="28">
        <v>83.740099999999998</v>
      </c>
      <c r="G509" s="28">
        <v>0.2321</v>
      </c>
      <c r="H509" s="31" t="s">
        <v>13</v>
      </c>
      <c r="I509" s="31">
        <v>5</v>
      </c>
      <c r="J509" s="28">
        <v>4</v>
      </c>
      <c r="K509" s="28">
        <v>2</v>
      </c>
      <c r="L509" s="28">
        <v>53</v>
      </c>
      <c r="M509" s="28" t="s">
        <v>45</v>
      </c>
      <c r="N509" s="28" t="s">
        <v>22</v>
      </c>
      <c r="O509" s="33">
        <v>700</v>
      </c>
      <c r="P509" t="s">
        <v>18</v>
      </c>
    </row>
    <row r="510" spans="1:16" hidden="1" x14ac:dyDescent="0.2">
      <c r="A510" t="s">
        <v>11</v>
      </c>
      <c r="B510" s="25">
        <v>45776</v>
      </c>
      <c r="C510" s="29">
        <v>28</v>
      </c>
      <c r="D510" s="29">
        <v>222</v>
      </c>
      <c r="E510" s="29">
        <v>111</v>
      </c>
      <c r="F510" s="28">
        <v>148.91319999999999</v>
      </c>
      <c r="G510" s="28">
        <v>0.4128</v>
      </c>
      <c r="H510" s="31" t="s">
        <v>13</v>
      </c>
      <c r="I510" s="31">
        <v>6</v>
      </c>
      <c r="J510" s="28">
        <v>3</v>
      </c>
      <c r="K510" s="28">
        <v>1</v>
      </c>
      <c r="L510" s="28">
        <v>16</v>
      </c>
      <c r="M510" s="28" t="s">
        <v>43</v>
      </c>
      <c r="N510" s="28" t="s">
        <v>21</v>
      </c>
      <c r="O510" s="33">
        <v>262.5</v>
      </c>
      <c r="P510" t="s">
        <v>18</v>
      </c>
    </row>
    <row r="511" spans="1:16" hidden="1" x14ac:dyDescent="0.2">
      <c r="A511" t="s">
        <v>11</v>
      </c>
      <c r="B511" s="25">
        <v>45776</v>
      </c>
      <c r="C511" s="29">
        <v>28</v>
      </c>
      <c r="D511" s="29">
        <v>223</v>
      </c>
      <c r="E511" s="29">
        <v>111</v>
      </c>
      <c r="F511" s="28">
        <v>148.91319999999999</v>
      </c>
      <c r="G511" s="28">
        <v>0.4128</v>
      </c>
      <c r="H511" s="31" t="s">
        <v>13</v>
      </c>
      <c r="I511" s="31">
        <v>6</v>
      </c>
      <c r="J511" s="28">
        <v>3</v>
      </c>
      <c r="K511" s="28">
        <v>2</v>
      </c>
      <c r="L511" s="28">
        <v>30</v>
      </c>
      <c r="M511" s="28" t="s">
        <v>46</v>
      </c>
      <c r="N511" s="28" t="s">
        <v>32</v>
      </c>
      <c r="O511" s="33">
        <v>462.7</v>
      </c>
      <c r="P511" t="s">
        <v>18</v>
      </c>
    </row>
    <row r="512" spans="1:16" hidden="1" x14ac:dyDescent="0.2">
      <c r="A512" t="s">
        <v>11</v>
      </c>
      <c r="B512" s="25">
        <v>45776</v>
      </c>
      <c r="C512" s="29">
        <v>28</v>
      </c>
      <c r="D512" s="29">
        <v>224</v>
      </c>
      <c r="E512" s="29">
        <v>112</v>
      </c>
      <c r="F512" s="28">
        <v>148.91319999999999</v>
      </c>
      <c r="G512" s="28">
        <v>0.4128</v>
      </c>
      <c r="H512" s="31" t="s">
        <v>13</v>
      </c>
      <c r="I512" s="31">
        <v>6</v>
      </c>
      <c r="J512" s="28">
        <v>4</v>
      </c>
      <c r="K512" s="28">
        <v>1</v>
      </c>
      <c r="L512" s="28">
        <v>75</v>
      </c>
      <c r="M512" s="28" t="s">
        <v>44</v>
      </c>
      <c r="N512" s="28" t="s">
        <v>24</v>
      </c>
      <c r="O512" s="33">
        <v>445.8</v>
      </c>
      <c r="P512" t="s">
        <v>18</v>
      </c>
    </row>
    <row r="513" spans="1:16" hidden="1" x14ac:dyDescent="0.2">
      <c r="A513" t="s">
        <v>11</v>
      </c>
      <c r="B513" s="25">
        <v>45776</v>
      </c>
      <c r="C513" s="29">
        <v>28</v>
      </c>
      <c r="D513" s="29">
        <v>221</v>
      </c>
      <c r="E513" s="29">
        <v>112</v>
      </c>
      <c r="F513" s="28">
        <v>148.91319999999999</v>
      </c>
      <c r="G513" s="28">
        <v>0.4128</v>
      </c>
      <c r="H513" s="31" t="s">
        <v>13</v>
      </c>
      <c r="I513" s="31">
        <v>6</v>
      </c>
      <c r="J513" s="28">
        <v>4</v>
      </c>
      <c r="K513" s="28">
        <v>2</v>
      </c>
      <c r="L513" s="28">
        <v>7</v>
      </c>
      <c r="M513" s="28" t="s">
        <v>45</v>
      </c>
      <c r="N513" s="28" t="s">
        <v>19</v>
      </c>
      <c r="O513" s="33">
        <v>540.6</v>
      </c>
      <c r="P513" t="s">
        <v>18</v>
      </c>
    </row>
    <row r="514" spans="1:16" hidden="1" x14ac:dyDescent="0.2">
      <c r="A514" t="s">
        <v>11</v>
      </c>
      <c r="B514" s="25">
        <v>45776</v>
      </c>
      <c r="C514" s="29">
        <v>28</v>
      </c>
      <c r="D514" s="29">
        <v>228</v>
      </c>
      <c r="E514" s="29">
        <v>113</v>
      </c>
      <c r="F514" s="28">
        <v>264.80930000000001</v>
      </c>
      <c r="G514" s="28">
        <v>0.73409999999999997</v>
      </c>
      <c r="H514" s="31" t="s">
        <v>13</v>
      </c>
      <c r="I514" s="31">
        <v>7</v>
      </c>
      <c r="J514" s="28">
        <v>3</v>
      </c>
      <c r="K514" s="28">
        <v>1</v>
      </c>
      <c r="L514" s="28">
        <v>56</v>
      </c>
      <c r="M514" s="28" t="s">
        <v>44</v>
      </c>
      <c r="N514" s="28" t="s">
        <v>20</v>
      </c>
      <c r="O514" s="33">
        <v>314.60000000000002</v>
      </c>
      <c r="P514" t="s">
        <v>18</v>
      </c>
    </row>
    <row r="515" spans="1:16" hidden="1" x14ac:dyDescent="0.2">
      <c r="A515" t="s">
        <v>11</v>
      </c>
      <c r="B515" s="25">
        <v>45776</v>
      </c>
      <c r="C515" s="29">
        <v>28</v>
      </c>
      <c r="D515" s="29">
        <v>225</v>
      </c>
      <c r="E515" s="29">
        <v>113</v>
      </c>
      <c r="F515" s="28">
        <v>264.80930000000001</v>
      </c>
      <c r="G515" s="28">
        <v>0.73409999999999997</v>
      </c>
      <c r="H515" s="31" t="s">
        <v>13</v>
      </c>
      <c r="I515" s="31">
        <v>7</v>
      </c>
      <c r="J515" s="28">
        <v>3</v>
      </c>
      <c r="K515" s="28">
        <v>2</v>
      </c>
      <c r="L515" s="28">
        <v>2</v>
      </c>
      <c r="M515" s="28" t="s">
        <v>45</v>
      </c>
      <c r="N515" s="28" t="s">
        <v>19</v>
      </c>
      <c r="O515" s="33">
        <v>275</v>
      </c>
      <c r="P515" t="s">
        <v>18</v>
      </c>
    </row>
    <row r="516" spans="1:16" hidden="1" x14ac:dyDescent="0.2">
      <c r="A516" t="s">
        <v>11</v>
      </c>
      <c r="B516" s="25">
        <v>45776</v>
      </c>
      <c r="C516" s="29">
        <v>28</v>
      </c>
      <c r="D516" s="29">
        <v>226</v>
      </c>
      <c r="E516" s="29">
        <v>114</v>
      </c>
      <c r="F516" s="28">
        <v>264.80930000000001</v>
      </c>
      <c r="G516" s="28">
        <v>0.73409999999999997</v>
      </c>
      <c r="H516" s="31" t="s">
        <v>13</v>
      </c>
      <c r="I516" s="31">
        <v>7</v>
      </c>
      <c r="J516" s="28">
        <v>4</v>
      </c>
      <c r="K516" s="28">
        <v>1</v>
      </c>
      <c r="L516" s="28">
        <v>30</v>
      </c>
      <c r="M516" s="28" t="s">
        <v>44</v>
      </c>
      <c r="N516" s="28" t="s">
        <v>32</v>
      </c>
      <c r="O516" s="33">
        <v>313.7</v>
      </c>
      <c r="P516" t="s">
        <v>18</v>
      </c>
    </row>
    <row r="517" spans="1:16" hidden="1" x14ac:dyDescent="0.2">
      <c r="A517" t="s">
        <v>11</v>
      </c>
      <c r="B517" s="25">
        <v>45776</v>
      </c>
      <c r="C517" s="29">
        <v>28</v>
      </c>
      <c r="D517" s="29">
        <v>227</v>
      </c>
      <c r="E517" s="29">
        <v>114</v>
      </c>
      <c r="F517" s="28">
        <v>264.80930000000001</v>
      </c>
      <c r="G517" s="28">
        <v>0.73409999999999997</v>
      </c>
      <c r="H517" s="31" t="s">
        <v>13</v>
      </c>
      <c r="I517" s="31">
        <v>7</v>
      </c>
      <c r="J517" s="28">
        <v>4</v>
      </c>
      <c r="K517" s="28">
        <v>2</v>
      </c>
      <c r="L517" s="28">
        <v>49</v>
      </c>
      <c r="M517" s="28" t="s">
        <v>45</v>
      </c>
      <c r="N517" s="28" t="s">
        <v>48</v>
      </c>
      <c r="O517" s="33">
        <v>244.3</v>
      </c>
      <c r="P517" t="s">
        <v>18</v>
      </c>
    </row>
    <row r="518" spans="1:16" hidden="1" x14ac:dyDescent="0.2">
      <c r="A518" t="s">
        <v>11</v>
      </c>
      <c r="B518" s="25">
        <v>45776</v>
      </c>
      <c r="C518" s="29">
        <v>28</v>
      </c>
      <c r="D518" s="29">
        <v>229</v>
      </c>
      <c r="E518" s="29">
        <v>115</v>
      </c>
      <c r="F518" s="28">
        <v>0.23549999999999999</v>
      </c>
      <c r="G518" s="28">
        <v>2E-3</v>
      </c>
      <c r="H518" s="31" t="s">
        <v>14</v>
      </c>
      <c r="I518" s="31">
        <v>1</v>
      </c>
      <c r="J518" s="28">
        <v>3</v>
      </c>
      <c r="K518" s="28">
        <v>1</v>
      </c>
      <c r="L518" s="28">
        <v>17</v>
      </c>
      <c r="M518" s="28" t="s">
        <v>43</v>
      </c>
      <c r="N518" s="28" t="s">
        <v>21</v>
      </c>
      <c r="O518" s="33">
        <v>1060</v>
      </c>
      <c r="P518" t="s">
        <v>18</v>
      </c>
    </row>
    <row r="519" spans="1:16" hidden="1" x14ac:dyDescent="0.2">
      <c r="A519" t="s">
        <v>11</v>
      </c>
      <c r="B519" s="25">
        <v>45776</v>
      </c>
      <c r="C519" s="29">
        <v>28</v>
      </c>
      <c r="D519" s="29">
        <v>231</v>
      </c>
      <c r="E519" s="29">
        <v>115</v>
      </c>
      <c r="F519" s="28">
        <v>0.23549999999999999</v>
      </c>
      <c r="G519" s="28">
        <v>2E-3</v>
      </c>
      <c r="H519" s="31" t="s">
        <v>14</v>
      </c>
      <c r="I519" s="31">
        <v>1</v>
      </c>
      <c r="J519" s="28">
        <v>3</v>
      </c>
      <c r="K519" s="28">
        <v>2</v>
      </c>
      <c r="L519" s="28">
        <v>52</v>
      </c>
      <c r="M519" s="28" t="s">
        <v>46</v>
      </c>
      <c r="N519" s="28" t="s">
        <v>22</v>
      </c>
      <c r="O519" s="33">
        <v>667.6</v>
      </c>
      <c r="P519" t="s">
        <v>18</v>
      </c>
    </row>
    <row r="520" spans="1:16" hidden="1" x14ac:dyDescent="0.2">
      <c r="A520" t="s">
        <v>11</v>
      </c>
      <c r="B520" s="25">
        <v>45776</v>
      </c>
      <c r="C520" s="29">
        <v>28</v>
      </c>
      <c r="D520" s="29">
        <v>232</v>
      </c>
      <c r="E520" s="29">
        <v>116</v>
      </c>
      <c r="F520" s="28">
        <v>0.23549999999999999</v>
      </c>
      <c r="G520" s="28">
        <v>2E-3</v>
      </c>
      <c r="H520" s="31" t="s">
        <v>14</v>
      </c>
      <c r="I520" s="31">
        <v>1</v>
      </c>
      <c r="J520" s="28">
        <v>4</v>
      </c>
      <c r="K520" s="28">
        <v>1</v>
      </c>
      <c r="L520" s="28">
        <v>72</v>
      </c>
      <c r="M520" s="28" t="s">
        <v>43</v>
      </c>
      <c r="N520" s="28" t="s">
        <v>24</v>
      </c>
      <c r="O520" s="33">
        <v>856.8</v>
      </c>
      <c r="P520" t="s">
        <v>18</v>
      </c>
    </row>
    <row r="521" spans="1:16" hidden="1" x14ac:dyDescent="0.2">
      <c r="A521" t="s">
        <v>11</v>
      </c>
      <c r="B521" s="25">
        <v>45776</v>
      </c>
      <c r="C521" s="29">
        <v>28</v>
      </c>
      <c r="D521" s="29">
        <v>230</v>
      </c>
      <c r="E521" s="29">
        <v>116</v>
      </c>
      <c r="F521" s="28">
        <v>0.23549999999999999</v>
      </c>
      <c r="G521" s="28">
        <v>2E-3</v>
      </c>
      <c r="H521" s="31" t="s">
        <v>14</v>
      </c>
      <c r="I521" s="31">
        <v>1</v>
      </c>
      <c r="J521" s="28">
        <v>4</v>
      </c>
      <c r="K521" s="28">
        <v>2</v>
      </c>
      <c r="L521" s="28">
        <v>48</v>
      </c>
      <c r="M521" s="28" t="s">
        <v>46</v>
      </c>
      <c r="N521" s="28" t="s">
        <v>48</v>
      </c>
      <c r="O521" s="33">
        <v>598.20000000000005</v>
      </c>
      <c r="P521" t="s">
        <v>18</v>
      </c>
    </row>
    <row r="522" spans="1:16" hidden="1" x14ac:dyDescent="0.2">
      <c r="A522" t="s">
        <v>11</v>
      </c>
      <c r="B522" s="25">
        <v>45776</v>
      </c>
      <c r="C522" s="29">
        <v>28</v>
      </c>
      <c r="D522" s="29">
        <v>263</v>
      </c>
      <c r="E522" s="29">
        <v>131</v>
      </c>
      <c r="F522" s="28">
        <v>0</v>
      </c>
      <c r="G522" s="28">
        <v>2.6100000000000002E-2</v>
      </c>
      <c r="H522" s="31" t="s">
        <v>15</v>
      </c>
      <c r="I522" s="31">
        <v>2</v>
      </c>
      <c r="J522" s="28">
        <v>3</v>
      </c>
      <c r="K522" s="28">
        <v>1</v>
      </c>
      <c r="L522" s="28">
        <v>58</v>
      </c>
      <c r="M522" s="28" t="s">
        <v>43</v>
      </c>
      <c r="N522" s="28" t="s">
        <v>20</v>
      </c>
      <c r="O522" s="33">
        <v>857.1</v>
      </c>
      <c r="P522" t="s">
        <v>18</v>
      </c>
    </row>
    <row r="523" spans="1:16" hidden="1" x14ac:dyDescent="0.2">
      <c r="A523" t="s">
        <v>11</v>
      </c>
      <c r="B523" s="25">
        <v>45776</v>
      </c>
      <c r="C523" s="29">
        <v>28</v>
      </c>
      <c r="D523" s="29">
        <v>262</v>
      </c>
      <c r="E523" s="29">
        <v>131</v>
      </c>
      <c r="F523" s="28">
        <v>0</v>
      </c>
      <c r="G523" s="28">
        <v>2.6100000000000002E-2</v>
      </c>
      <c r="H523" s="31" t="s">
        <v>15</v>
      </c>
      <c r="I523" s="31">
        <v>2</v>
      </c>
      <c r="J523" s="28">
        <v>3</v>
      </c>
      <c r="K523" s="28">
        <v>2</v>
      </c>
      <c r="L523" s="28">
        <v>35</v>
      </c>
      <c r="M523" s="28" t="s">
        <v>46</v>
      </c>
      <c r="N523" s="28" t="s">
        <v>47</v>
      </c>
      <c r="O523" s="33">
        <v>642.20000000000005</v>
      </c>
      <c r="P523" t="s">
        <v>18</v>
      </c>
    </row>
    <row r="524" spans="1:16" hidden="1" x14ac:dyDescent="0.2">
      <c r="A524" t="s">
        <v>11</v>
      </c>
      <c r="B524" s="25">
        <v>45776</v>
      </c>
      <c r="C524" s="29">
        <v>28</v>
      </c>
      <c r="D524" s="29">
        <v>234</v>
      </c>
      <c r="E524" s="29">
        <v>118</v>
      </c>
      <c r="F524" s="28">
        <v>2.3544999999999998</v>
      </c>
      <c r="G524" s="28">
        <v>1.9599999999999999E-2</v>
      </c>
      <c r="H524" s="31" t="s">
        <v>14</v>
      </c>
      <c r="I524" s="31">
        <v>2</v>
      </c>
      <c r="J524" s="28">
        <v>4</v>
      </c>
      <c r="K524" s="28">
        <v>1</v>
      </c>
      <c r="L524" s="28">
        <v>40</v>
      </c>
      <c r="M524" s="28" t="s">
        <v>44</v>
      </c>
      <c r="N524" s="28" t="s">
        <v>47</v>
      </c>
      <c r="O524" s="33">
        <v>691.4</v>
      </c>
      <c r="P524" t="s">
        <v>18</v>
      </c>
    </row>
    <row r="525" spans="1:16" hidden="1" x14ac:dyDescent="0.2">
      <c r="A525" t="s">
        <v>11</v>
      </c>
      <c r="B525" s="25">
        <v>45776</v>
      </c>
      <c r="C525" s="29">
        <v>28</v>
      </c>
      <c r="D525" s="29">
        <v>235</v>
      </c>
      <c r="E525" s="29">
        <v>118</v>
      </c>
      <c r="F525" s="28">
        <v>2.3544999999999998</v>
      </c>
      <c r="G525" s="28">
        <v>1.9599999999999999E-2</v>
      </c>
      <c r="H525" s="31" t="s">
        <v>14</v>
      </c>
      <c r="I525" s="31">
        <v>2</v>
      </c>
      <c r="J525" s="28">
        <v>4</v>
      </c>
      <c r="K525" s="28">
        <v>2</v>
      </c>
      <c r="L525" s="28">
        <v>42</v>
      </c>
      <c r="M525" s="28" t="s">
        <v>45</v>
      </c>
      <c r="N525" s="28" t="s">
        <v>24</v>
      </c>
      <c r="O525" s="33">
        <v>497.2</v>
      </c>
      <c r="P525" t="s">
        <v>18</v>
      </c>
    </row>
    <row r="526" spans="1:16" hidden="1" x14ac:dyDescent="0.2">
      <c r="A526" t="s">
        <v>11</v>
      </c>
      <c r="B526" s="25">
        <v>45776</v>
      </c>
      <c r="C526" s="29">
        <v>28</v>
      </c>
      <c r="D526" s="29">
        <v>240</v>
      </c>
      <c r="E526" s="29">
        <v>119</v>
      </c>
      <c r="F526" s="28">
        <v>13.240500000000001</v>
      </c>
      <c r="G526" s="28">
        <v>0.1101</v>
      </c>
      <c r="H526" s="31" t="s">
        <v>14</v>
      </c>
      <c r="I526" s="31">
        <v>3</v>
      </c>
      <c r="J526" s="28">
        <v>3</v>
      </c>
      <c r="K526" s="28">
        <v>1</v>
      </c>
      <c r="L526" s="28">
        <v>70</v>
      </c>
      <c r="M526" s="28" t="s">
        <v>44</v>
      </c>
      <c r="N526" s="28" t="s">
        <v>19</v>
      </c>
      <c r="O526" s="33">
        <v>913.3</v>
      </c>
      <c r="P526" t="s">
        <v>18</v>
      </c>
    </row>
    <row r="527" spans="1:16" hidden="1" x14ac:dyDescent="0.2">
      <c r="A527" t="s">
        <v>11</v>
      </c>
      <c r="B527" s="25">
        <v>45776</v>
      </c>
      <c r="C527" s="29">
        <v>28</v>
      </c>
      <c r="D527" s="29">
        <v>237</v>
      </c>
      <c r="E527" s="29">
        <v>119</v>
      </c>
      <c r="F527" s="28">
        <v>13.240500000000001</v>
      </c>
      <c r="G527" s="28">
        <v>0.1101</v>
      </c>
      <c r="H527" s="31" t="s">
        <v>14</v>
      </c>
      <c r="I527" s="31">
        <v>3</v>
      </c>
      <c r="J527" s="28">
        <v>3</v>
      </c>
      <c r="K527" s="28">
        <v>2</v>
      </c>
      <c r="L527" s="28">
        <v>59</v>
      </c>
      <c r="M527" s="28" t="s">
        <v>45</v>
      </c>
      <c r="N527" s="28" t="s">
        <v>25</v>
      </c>
      <c r="O527" s="33">
        <v>913.4</v>
      </c>
      <c r="P527" t="s">
        <v>18</v>
      </c>
    </row>
    <row r="528" spans="1:16" hidden="1" x14ac:dyDescent="0.2">
      <c r="A528" t="s">
        <v>11</v>
      </c>
      <c r="B528" s="25">
        <v>45776</v>
      </c>
      <c r="C528" s="29">
        <v>28</v>
      </c>
      <c r="D528" s="29">
        <v>238</v>
      </c>
      <c r="E528" s="29">
        <v>120</v>
      </c>
      <c r="F528" s="28">
        <v>13.240500000000001</v>
      </c>
      <c r="G528" s="28">
        <v>0.1101</v>
      </c>
      <c r="H528" s="31" t="s">
        <v>14</v>
      </c>
      <c r="I528" s="31">
        <v>3</v>
      </c>
      <c r="J528" s="28">
        <v>4</v>
      </c>
      <c r="K528" s="28">
        <v>1</v>
      </c>
      <c r="L528" s="28">
        <v>62</v>
      </c>
      <c r="M528" s="28" t="s">
        <v>44</v>
      </c>
      <c r="N528" s="28" t="s">
        <v>25</v>
      </c>
      <c r="O528" s="33">
        <v>639.70000000000005</v>
      </c>
      <c r="P528" t="s">
        <v>18</v>
      </c>
    </row>
    <row r="529" spans="1:16" hidden="1" x14ac:dyDescent="0.2">
      <c r="A529" t="s">
        <v>11</v>
      </c>
      <c r="B529" s="25">
        <v>45776</v>
      </c>
      <c r="C529" s="29">
        <v>28</v>
      </c>
      <c r="D529" s="29">
        <v>239</v>
      </c>
      <c r="E529" s="29">
        <v>120</v>
      </c>
      <c r="F529" s="28">
        <v>13.240500000000001</v>
      </c>
      <c r="G529" s="28">
        <v>0.1101</v>
      </c>
      <c r="H529" s="31" t="s">
        <v>14</v>
      </c>
      <c r="I529" s="31">
        <v>3</v>
      </c>
      <c r="J529" s="28">
        <v>4</v>
      </c>
      <c r="K529" s="28">
        <v>2</v>
      </c>
      <c r="L529" s="28">
        <v>62</v>
      </c>
      <c r="M529" s="28" t="s">
        <v>45</v>
      </c>
      <c r="N529" s="28" t="s">
        <v>25</v>
      </c>
      <c r="O529" s="33">
        <v>1079.5999999999999</v>
      </c>
      <c r="P529" t="s">
        <v>18</v>
      </c>
    </row>
    <row r="530" spans="1:16" hidden="1" x14ac:dyDescent="0.2">
      <c r="A530" t="s">
        <v>11</v>
      </c>
      <c r="B530" s="25">
        <v>45776</v>
      </c>
      <c r="C530" s="29">
        <v>28</v>
      </c>
      <c r="D530" s="29">
        <v>241</v>
      </c>
      <c r="E530" s="29">
        <v>121</v>
      </c>
      <c r="F530" s="28">
        <v>23.545200000000001</v>
      </c>
      <c r="G530" s="28">
        <v>0.1958</v>
      </c>
      <c r="H530" s="31" t="s">
        <v>14</v>
      </c>
      <c r="I530" s="31">
        <v>4</v>
      </c>
      <c r="J530" s="28">
        <v>3</v>
      </c>
      <c r="K530" s="28">
        <v>1</v>
      </c>
      <c r="L530" s="28">
        <v>8</v>
      </c>
      <c r="M530" s="28" t="s">
        <v>44</v>
      </c>
      <c r="N530" s="28" t="s">
        <v>21</v>
      </c>
      <c r="O530" s="33">
        <v>530.20000000000005</v>
      </c>
      <c r="P530" t="s">
        <v>18</v>
      </c>
    </row>
    <row r="531" spans="1:16" hidden="1" x14ac:dyDescent="0.2">
      <c r="A531" t="s">
        <v>11</v>
      </c>
      <c r="B531" s="25">
        <v>45776</v>
      </c>
      <c r="C531" s="29">
        <v>28</v>
      </c>
      <c r="D531" s="29">
        <v>242</v>
      </c>
      <c r="E531" s="29">
        <v>121</v>
      </c>
      <c r="F531" s="28">
        <v>23.545200000000001</v>
      </c>
      <c r="G531" s="28">
        <v>0.1958</v>
      </c>
      <c r="H531" s="31" t="s">
        <v>14</v>
      </c>
      <c r="I531" s="31">
        <v>4</v>
      </c>
      <c r="J531" s="28">
        <v>3</v>
      </c>
      <c r="K531" s="28">
        <v>2</v>
      </c>
      <c r="L531" s="28">
        <v>40</v>
      </c>
      <c r="M531" s="28" t="s">
        <v>45</v>
      </c>
      <c r="N531" s="28" t="s">
        <v>47</v>
      </c>
      <c r="O531" s="33">
        <v>604.9</v>
      </c>
      <c r="P531" t="s">
        <v>18</v>
      </c>
    </row>
    <row r="532" spans="1:16" hidden="1" x14ac:dyDescent="0.2">
      <c r="A532" t="s">
        <v>11</v>
      </c>
      <c r="B532" s="25">
        <v>45776</v>
      </c>
      <c r="C532" s="29">
        <v>28</v>
      </c>
      <c r="D532" s="29">
        <v>243</v>
      </c>
      <c r="E532" s="29">
        <v>122</v>
      </c>
      <c r="F532" s="28">
        <v>23.545200000000001</v>
      </c>
      <c r="G532" s="28">
        <v>0.1958</v>
      </c>
      <c r="H532" s="31" t="s">
        <v>14</v>
      </c>
      <c r="I532" s="31">
        <v>4</v>
      </c>
      <c r="J532" s="28">
        <v>4</v>
      </c>
      <c r="K532" s="28">
        <v>1</v>
      </c>
      <c r="L532" s="28">
        <v>51</v>
      </c>
      <c r="M532" s="28" t="s">
        <v>43</v>
      </c>
      <c r="N532" s="28" t="s">
        <v>22</v>
      </c>
      <c r="O532" s="33">
        <v>1051.3</v>
      </c>
      <c r="P532" t="s">
        <v>18</v>
      </c>
    </row>
    <row r="533" spans="1:16" hidden="1" x14ac:dyDescent="0.2">
      <c r="A533" t="s">
        <v>11</v>
      </c>
      <c r="B533" s="25">
        <v>45776</v>
      </c>
      <c r="C533" s="29">
        <v>28</v>
      </c>
      <c r="D533" s="29">
        <v>244</v>
      </c>
      <c r="E533" s="29">
        <v>122</v>
      </c>
      <c r="F533" s="28">
        <v>23.545200000000001</v>
      </c>
      <c r="G533" s="28">
        <v>0.1958</v>
      </c>
      <c r="H533" s="31" t="s">
        <v>14</v>
      </c>
      <c r="I533" s="31">
        <v>4</v>
      </c>
      <c r="J533" s="28">
        <v>4</v>
      </c>
      <c r="K533" s="28">
        <v>2</v>
      </c>
      <c r="L533" s="28">
        <v>53</v>
      </c>
      <c r="M533" s="28" t="s">
        <v>46</v>
      </c>
      <c r="N533" s="28" t="s">
        <v>22</v>
      </c>
      <c r="O533" s="33">
        <v>325.2</v>
      </c>
      <c r="P533" t="s">
        <v>18</v>
      </c>
    </row>
    <row r="534" spans="1:16" hidden="1" x14ac:dyDescent="0.2">
      <c r="A534" t="s">
        <v>11</v>
      </c>
      <c r="B534" s="25">
        <v>45776</v>
      </c>
      <c r="C534" s="29">
        <v>28</v>
      </c>
      <c r="D534" s="29">
        <v>247</v>
      </c>
      <c r="E534" s="29">
        <v>123</v>
      </c>
      <c r="F534" s="28">
        <v>41.87</v>
      </c>
      <c r="G534" s="28">
        <v>0.34820000000000001</v>
      </c>
      <c r="H534" s="31" t="s">
        <v>14</v>
      </c>
      <c r="I534" s="31">
        <v>5</v>
      </c>
      <c r="J534" s="28">
        <v>3</v>
      </c>
      <c r="K534" s="28">
        <v>1</v>
      </c>
      <c r="L534" s="28">
        <v>68</v>
      </c>
      <c r="M534" s="28" t="s">
        <v>44</v>
      </c>
      <c r="N534" s="28" t="s">
        <v>19</v>
      </c>
      <c r="O534" s="33">
        <v>469.5</v>
      </c>
      <c r="P534" t="s">
        <v>18</v>
      </c>
    </row>
    <row r="535" spans="1:16" x14ac:dyDescent="0.2">
      <c r="A535" t="s">
        <v>11</v>
      </c>
      <c r="B535" s="25">
        <v>45776</v>
      </c>
      <c r="C535" s="29">
        <v>28</v>
      </c>
      <c r="D535" s="29">
        <v>248</v>
      </c>
      <c r="E535" s="29">
        <v>123</v>
      </c>
      <c r="F535" s="28">
        <v>41.87</v>
      </c>
      <c r="G535" s="28">
        <v>0.34820000000000001</v>
      </c>
      <c r="H535" s="31" t="s">
        <v>14</v>
      </c>
      <c r="I535" s="31">
        <v>5</v>
      </c>
      <c r="J535" s="28">
        <v>3</v>
      </c>
      <c r="K535" s="28">
        <v>2</v>
      </c>
      <c r="L535" s="28">
        <v>75</v>
      </c>
      <c r="M535" s="28" t="s">
        <v>45</v>
      </c>
      <c r="N535" s="28" t="s">
        <v>24</v>
      </c>
      <c r="O535" s="33">
        <v>681.5</v>
      </c>
      <c r="P535" t="s">
        <v>18</v>
      </c>
    </row>
    <row r="536" spans="1:16" hidden="1" x14ac:dyDescent="0.2">
      <c r="A536" t="s">
        <v>11</v>
      </c>
      <c r="B536" s="25">
        <v>45776</v>
      </c>
      <c r="C536" s="29">
        <v>28</v>
      </c>
      <c r="D536" s="29">
        <v>246</v>
      </c>
      <c r="E536" s="29">
        <v>124</v>
      </c>
      <c r="F536" s="28">
        <v>41.87</v>
      </c>
      <c r="G536" s="28">
        <v>0.34820000000000001</v>
      </c>
      <c r="H536" s="31" t="s">
        <v>14</v>
      </c>
      <c r="I536" s="31">
        <v>5</v>
      </c>
      <c r="J536" s="28">
        <v>4</v>
      </c>
      <c r="K536" s="28">
        <v>1</v>
      </c>
      <c r="L536" s="28">
        <v>25</v>
      </c>
      <c r="M536" s="28" t="s">
        <v>44</v>
      </c>
      <c r="N536" s="28" t="s">
        <v>32</v>
      </c>
      <c r="O536" s="33">
        <v>623.29999999999995</v>
      </c>
      <c r="P536" t="s">
        <v>18</v>
      </c>
    </row>
    <row r="537" spans="1:16" hidden="1" x14ac:dyDescent="0.2">
      <c r="A537" t="s">
        <v>11</v>
      </c>
      <c r="B537" s="25">
        <v>45776</v>
      </c>
      <c r="C537" s="29">
        <v>28</v>
      </c>
      <c r="D537" s="29">
        <v>245</v>
      </c>
      <c r="E537" s="29">
        <v>124</v>
      </c>
      <c r="F537" s="28">
        <v>41.87</v>
      </c>
      <c r="G537" s="28">
        <v>0.34820000000000001</v>
      </c>
      <c r="H537" s="31" t="s">
        <v>14</v>
      </c>
      <c r="I537" s="31">
        <v>5</v>
      </c>
      <c r="J537" s="28">
        <v>4</v>
      </c>
      <c r="K537" s="28">
        <v>2</v>
      </c>
      <c r="L537" s="28">
        <v>19</v>
      </c>
      <c r="M537" s="28" t="s">
        <v>45</v>
      </c>
      <c r="N537" s="28" t="s">
        <v>21</v>
      </c>
      <c r="O537" s="33">
        <v>365.1</v>
      </c>
      <c r="P537" t="s">
        <v>18</v>
      </c>
    </row>
    <row r="538" spans="1:16" hidden="1" x14ac:dyDescent="0.2">
      <c r="A538" t="s">
        <v>11</v>
      </c>
      <c r="B538" s="25">
        <v>45776</v>
      </c>
      <c r="C538" s="29">
        <v>28</v>
      </c>
      <c r="D538" s="29">
        <v>251</v>
      </c>
      <c r="E538" s="29">
        <v>125</v>
      </c>
      <c r="F538" s="28">
        <v>74.456599999999995</v>
      </c>
      <c r="G538" s="28">
        <v>0.61919999999999997</v>
      </c>
      <c r="H538" s="31" t="s">
        <v>14</v>
      </c>
      <c r="I538" s="31">
        <v>6</v>
      </c>
      <c r="J538" s="28">
        <v>3</v>
      </c>
      <c r="K538" s="28">
        <v>1</v>
      </c>
      <c r="L538" s="28">
        <v>62</v>
      </c>
      <c r="M538" s="28" t="s">
        <v>43</v>
      </c>
      <c r="N538" s="28" t="s">
        <v>25</v>
      </c>
      <c r="O538" s="33">
        <v>599.6</v>
      </c>
      <c r="P538" t="s">
        <v>18</v>
      </c>
    </row>
    <row r="539" spans="1:16" hidden="1" x14ac:dyDescent="0.2">
      <c r="A539" t="s">
        <v>11</v>
      </c>
      <c r="B539" s="25">
        <v>45776</v>
      </c>
      <c r="C539" s="29">
        <v>28</v>
      </c>
      <c r="D539" s="29">
        <v>252</v>
      </c>
      <c r="E539" s="29">
        <v>125</v>
      </c>
      <c r="F539" s="28">
        <v>74.456599999999995</v>
      </c>
      <c r="G539" s="28">
        <v>0.61919999999999997</v>
      </c>
      <c r="H539" s="31" t="s">
        <v>14</v>
      </c>
      <c r="I539" s="31">
        <v>6</v>
      </c>
      <c r="J539" s="28">
        <v>3</v>
      </c>
      <c r="K539" s="28">
        <v>2</v>
      </c>
      <c r="L539" s="28">
        <v>62</v>
      </c>
      <c r="M539" s="28" t="s">
        <v>46</v>
      </c>
      <c r="N539" s="28" t="s">
        <v>25</v>
      </c>
      <c r="O539" s="33">
        <v>406.4</v>
      </c>
      <c r="P539" t="s">
        <v>18</v>
      </c>
    </row>
    <row r="540" spans="1:16" hidden="1" x14ac:dyDescent="0.2">
      <c r="A540" t="s">
        <v>11</v>
      </c>
      <c r="B540" s="25">
        <v>45776</v>
      </c>
      <c r="C540" s="29">
        <v>28</v>
      </c>
      <c r="D540" s="29">
        <v>249</v>
      </c>
      <c r="E540" s="29">
        <v>126</v>
      </c>
      <c r="F540" s="28">
        <v>74.456599999999995</v>
      </c>
      <c r="G540" s="28">
        <v>0.61919999999999997</v>
      </c>
      <c r="H540" s="31" t="s">
        <v>14</v>
      </c>
      <c r="I540" s="31">
        <v>6</v>
      </c>
      <c r="J540" s="28">
        <v>4</v>
      </c>
      <c r="K540" s="28">
        <v>1</v>
      </c>
      <c r="L540" s="28">
        <v>22</v>
      </c>
      <c r="M540" s="28" t="s">
        <v>44</v>
      </c>
      <c r="N540" s="28" t="s">
        <v>32</v>
      </c>
      <c r="O540" s="33">
        <v>376.4</v>
      </c>
      <c r="P540" t="s">
        <v>18</v>
      </c>
    </row>
    <row r="541" spans="1:16" hidden="1" x14ac:dyDescent="0.2">
      <c r="A541" t="s">
        <v>11</v>
      </c>
      <c r="B541" s="25">
        <v>45776</v>
      </c>
      <c r="C541" s="29">
        <v>28</v>
      </c>
      <c r="D541" s="29">
        <v>250</v>
      </c>
      <c r="E541" s="29">
        <v>126</v>
      </c>
      <c r="F541" s="28">
        <v>74.456599999999995</v>
      </c>
      <c r="G541" s="28">
        <v>0.61919999999999997</v>
      </c>
      <c r="H541" s="31" t="s">
        <v>14</v>
      </c>
      <c r="I541" s="31">
        <v>6</v>
      </c>
      <c r="J541" s="28">
        <v>4</v>
      </c>
      <c r="K541" s="28">
        <v>2</v>
      </c>
      <c r="L541" s="28">
        <v>25</v>
      </c>
      <c r="M541" s="28" t="s">
        <v>45</v>
      </c>
      <c r="N541" s="28" t="s">
        <v>32</v>
      </c>
      <c r="O541" s="33">
        <v>432.7</v>
      </c>
      <c r="P541" t="s">
        <v>18</v>
      </c>
    </row>
    <row r="542" spans="1:16" hidden="1" x14ac:dyDescent="0.2">
      <c r="A542" t="s">
        <v>11</v>
      </c>
      <c r="B542" s="25">
        <v>45776</v>
      </c>
      <c r="C542" s="29">
        <v>28</v>
      </c>
      <c r="D542" s="29">
        <v>256</v>
      </c>
      <c r="E542" s="29">
        <v>127</v>
      </c>
      <c r="F542" s="28">
        <v>132.40469999999999</v>
      </c>
      <c r="G542" s="28">
        <v>1.1012</v>
      </c>
      <c r="H542" s="31" t="s">
        <v>14</v>
      </c>
      <c r="I542" s="31">
        <v>7</v>
      </c>
      <c r="J542" s="28">
        <v>3</v>
      </c>
      <c r="K542" s="28">
        <v>1</v>
      </c>
      <c r="L542" s="28">
        <v>76</v>
      </c>
      <c r="M542" s="28" t="s">
        <v>43</v>
      </c>
      <c r="N542" s="28" t="s">
        <v>25</v>
      </c>
      <c r="O542" s="33">
        <v>158</v>
      </c>
      <c r="P542" t="s">
        <v>18</v>
      </c>
    </row>
    <row r="543" spans="1:16" hidden="1" x14ac:dyDescent="0.2">
      <c r="A543" t="s">
        <v>11</v>
      </c>
      <c r="B543" s="25">
        <v>45776</v>
      </c>
      <c r="C543" s="29">
        <v>28</v>
      </c>
      <c r="D543" s="29">
        <v>253</v>
      </c>
      <c r="E543" s="29">
        <v>127</v>
      </c>
      <c r="F543" s="28">
        <v>132.40469999999999</v>
      </c>
      <c r="G543" s="28">
        <v>1.1012</v>
      </c>
      <c r="H543" s="31" t="s">
        <v>14</v>
      </c>
      <c r="I543" s="31">
        <v>7</v>
      </c>
      <c r="J543" s="28">
        <v>3</v>
      </c>
      <c r="K543" s="28">
        <v>2</v>
      </c>
      <c r="L543" s="28">
        <v>11</v>
      </c>
      <c r="M543" s="28" t="s">
        <v>46</v>
      </c>
      <c r="N543" s="28" t="s">
        <v>21</v>
      </c>
      <c r="O543" s="33">
        <v>499.5</v>
      </c>
      <c r="P543" t="s">
        <v>18</v>
      </c>
    </row>
    <row r="544" spans="1:16" hidden="1" x14ac:dyDescent="0.2">
      <c r="A544" t="s">
        <v>11</v>
      </c>
      <c r="B544" s="25">
        <v>45776</v>
      </c>
      <c r="C544" s="29">
        <v>28</v>
      </c>
      <c r="D544" s="29">
        <v>254</v>
      </c>
      <c r="E544" s="29">
        <v>128</v>
      </c>
      <c r="F544" s="28">
        <v>132.40469999999999</v>
      </c>
      <c r="G544" s="28">
        <v>1.1012</v>
      </c>
      <c r="H544" s="31" t="s">
        <v>14</v>
      </c>
      <c r="I544" s="31">
        <v>7</v>
      </c>
      <c r="J544" s="28">
        <v>4</v>
      </c>
      <c r="K544" s="28">
        <v>1</v>
      </c>
      <c r="L544" s="28">
        <v>12</v>
      </c>
      <c r="M544" s="28" t="s">
        <v>44</v>
      </c>
      <c r="N544" s="28" t="s">
        <v>21</v>
      </c>
      <c r="O544" s="33">
        <v>170.2</v>
      </c>
      <c r="P544" t="s">
        <v>18</v>
      </c>
    </row>
    <row r="545" spans="1:16" hidden="1" x14ac:dyDescent="0.2">
      <c r="A545" t="s">
        <v>11</v>
      </c>
      <c r="B545" s="25">
        <v>45776</v>
      </c>
      <c r="C545" s="29">
        <v>28</v>
      </c>
      <c r="D545" s="29">
        <v>255</v>
      </c>
      <c r="E545" s="29">
        <v>128</v>
      </c>
      <c r="F545" s="28">
        <v>132.40469999999999</v>
      </c>
      <c r="G545" s="28">
        <v>1.1012</v>
      </c>
      <c r="H545" s="31" t="s">
        <v>14</v>
      </c>
      <c r="I545" s="31">
        <v>7</v>
      </c>
      <c r="J545" s="28">
        <v>4</v>
      </c>
      <c r="K545" s="28">
        <v>2</v>
      </c>
      <c r="L545" s="28">
        <v>16</v>
      </c>
      <c r="M545" s="28" t="s">
        <v>45</v>
      </c>
      <c r="N545" s="28" t="s">
        <v>21</v>
      </c>
      <c r="O545" s="33">
        <v>260.3</v>
      </c>
      <c r="P545" t="s">
        <v>18</v>
      </c>
    </row>
    <row r="546" spans="1:16" hidden="1" x14ac:dyDescent="0.2">
      <c r="A546" t="s">
        <v>11</v>
      </c>
      <c r="B546" s="25">
        <v>45776</v>
      </c>
      <c r="C546" s="29">
        <v>28</v>
      </c>
      <c r="D546" s="29">
        <v>260</v>
      </c>
      <c r="E546" s="29">
        <v>129</v>
      </c>
      <c r="F546" s="28">
        <v>0</v>
      </c>
      <c r="G546" s="28">
        <v>2.5999999999999999E-3</v>
      </c>
      <c r="H546" s="31" t="s">
        <v>15</v>
      </c>
      <c r="I546" s="31">
        <v>1</v>
      </c>
      <c r="J546" s="28">
        <v>3</v>
      </c>
      <c r="K546" s="28">
        <v>1</v>
      </c>
      <c r="L546" s="28">
        <v>75</v>
      </c>
      <c r="M546" s="28" t="s">
        <v>43</v>
      </c>
      <c r="N546" s="28" t="s">
        <v>24</v>
      </c>
      <c r="O546" s="33">
        <v>682.6</v>
      </c>
      <c r="P546" t="s">
        <v>18</v>
      </c>
    </row>
    <row r="547" spans="1:16" hidden="1" x14ac:dyDescent="0.2">
      <c r="A547" t="s">
        <v>11</v>
      </c>
      <c r="B547" s="25">
        <v>45776</v>
      </c>
      <c r="C547" s="29">
        <v>28</v>
      </c>
      <c r="D547" s="29">
        <v>257</v>
      </c>
      <c r="E547" s="29">
        <v>129</v>
      </c>
      <c r="F547" s="28">
        <v>0</v>
      </c>
      <c r="G547" s="28">
        <v>2.5999999999999999E-3</v>
      </c>
      <c r="H547" s="31" t="s">
        <v>15</v>
      </c>
      <c r="I547" s="31">
        <v>1</v>
      </c>
      <c r="J547" s="28">
        <v>3</v>
      </c>
      <c r="K547" s="28">
        <v>2</v>
      </c>
      <c r="L547" s="28">
        <v>7</v>
      </c>
      <c r="M547" s="28" t="s">
        <v>46</v>
      </c>
      <c r="N547" s="28" t="s">
        <v>19</v>
      </c>
      <c r="O547" s="33">
        <v>634.79999999999995</v>
      </c>
      <c r="P547" t="s">
        <v>18</v>
      </c>
    </row>
    <row r="548" spans="1:16" hidden="1" x14ac:dyDescent="0.2">
      <c r="A548" t="s">
        <v>11</v>
      </c>
      <c r="B548" s="25">
        <v>45776</v>
      </c>
      <c r="C548" s="29">
        <v>28</v>
      </c>
      <c r="D548" s="29">
        <v>258</v>
      </c>
      <c r="E548" s="29">
        <v>130</v>
      </c>
      <c r="F548" s="28">
        <v>0</v>
      </c>
      <c r="G548" s="28">
        <v>2.5999999999999999E-3</v>
      </c>
      <c r="H548" s="31" t="s">
        <v>15</v>
      </c>
      <c r="I548" s="31">
        <v>1</v>
      </c>
      <c r="J548" s="28">
        <v>4</v>
      </c>
      <c r="K548" s="28">
        <v>1</v>
      </c>
      <c r="L548" s="28">
        <v>30</v>
      </c>
      <c r="M548" s="28" t="s">
        <v>43</v>
      </c>
      <c r="N548" s="28" t="s">
        <v>32</v>
      </c>
      <c r="O548" s="33">
        <v>841.1</v>
      </c>
      <c r="P548" t="s">
        <v>18</v>
      </c>
    </row>
    <row r="549" spans="1:16" hidden="1" x14ac:dyDescent="0.2">
      <c r="A549" t="s">
        <v>11</v>
      </c>
      <c r="B549" s="25">
        <v>45776</v>
      </c>
      <c r="C549" s="29">
        <v>28</v>
      </c>
      <c r="D549" s="29">
        <v>259</v>
      </c>
      <c r="E549" s="29">
        <v>130</v>
      </c>
      <c r="F549" s="28">
        <v>0</v>
      </c>
      <c r="G549" s="28">
        <v>2.5999999999999999E-3</v>
      </c>
      <c r="H549" s="31" t="s">
        <v>15</v>
      </c>
      <c r="I549" s="31">
        <v>1</v>
      </c>
      <c r="J549" s="28">
        <v>4</v>
      </c>
      <c r="K549" s="28">
        <v>2</v>
      </c>
      <c r="L549" s="28">
        <v>49</v>
      </c>
      <c r="M549" s="28" t="s">
        <v>46</v>
      </c>
      <c r="N549" s="28" t="s">
        <v>48</v>
      </c>
      <c r="O549" s="33">
        <v>777.3</v>
      </c>
      <c r="P549" t="s">
        <v>18</v>
      </c>
    </row>
    <row r="550" spans="1:16" hidden="1" x14ac:dyDescent="0.2">
      <c r="A550" t="s">
        <v>37</v>
      </c>
      <c r="B550" s="25">
        <v>45770</v>
      </c>
      <c r="C550" s="29">
        <v>28</v>
      </c>
      <c r="D550" s="29">
        <v>141</v>
      </c>
      <c r="E550" s="29">
        <v>71</v>
      </c>
      <c r="F550" s="28">
        <v>0</v>
      </c>
      <c r="G550" s="28">
        <v>0</v>
      </c>
      <c r="H550" s="31" t="s">
        <v>16</v>
      </c>
      <c r="I550" s="31">
        <v>0</v>
      </c>
      <c r="J550" s="28">
        <v>1</v>
      </c>
      <c r="K550" s="28">
        <v>1</v>
      </c>
      <c r="L550" s="28">
        <v>23</v>
      </c>
      <c r="M550" s="28" t="s">
        <v>44</v>
      </c>
      <c r="N550" s="28" t="s">
        <v>32</v>
      </c>
      <c r="O550" s="33">
        <v>725.8</v>
      </c>
      <c r="P550" t="s">
        <v>18</v>
      </c>
    </row>
    <row r="551" spans="1:16" hidden="1" x14ac:dyDescent="0.2">
      <c r="A551" t="s">
        <v>37</v>
      </c>
      <c r="B551" s="25">
        <v>45770</v>
      </c>
      <c r="C551" s="29">
        <v>28</v>
      </c>
      <c r="D551" s="29">
        <v>142</v>
      </c>
      <c r="E551" s="29">
        <v>71</v>
      </c>
      <c r="F551" s="28">
        <v>0</v>
      </c>
      <c r="G551" s="28">
        <v>0</v>
      </c>
      <c r="H551" s="31" t="s">
        <v>16</v>
      </c>
      <c r="I551" s="31">
        <v>0</v>
      </c>
      <c r="J551" s="28">
        <v>1</v>
      </c>
      <c r="K551" s="28">
        <v>2</v>
      </c>
      <c r="L551" s="28">
        <v>4</v>
      </c>
      <c r="M551" s="28" t="s">
        <v>45</v>
      </c>
      <c r="N551" s="28" t="s">
        <v>19</v>
      </c>
      <c r="O551" s="33">
        <v>547.5</v>
      </c>
      <c r="P551" t="s">
        <v>18</v>
      </c>
    </row>
    <row r="552" spans="1:16" hidden="1" x14ac:dyDescent="0.2">
      <c r="A552" t="s">
        <v>11</v>
      </c>
      <c r="B552" s="25">
        <v>45776</v>
      </c>
      <c r="C552" s="29">
        <v>28</v>
      </c>
      <c r="D552" s="29">
        <v>261</v>
      </c>
      <c r="E552" s="29">
        <v>132</v>
      </c>
      <c r="F552" s="28">
        <v>0</v>
      </c>
      <c r="G552" s="28">
        <v>2.6100000000000002E-2</v>
      </c>
      <c r="H552" s="31" t="s">
        <v>15</v>
      </c>
      <c r="I552" s="31">
        <v>2</v>
      </c>
      <c r="J552" s="28">
        <v>4</v>
      </c>
      <c r="K552" s="28">
        <v>1</v>
      </c>
      <c r="L552" s="28">
        <v>24</v>
      </c>
      <c r="M552" s="28" t="s">
        <v>43</v>
      </c>
      <c r="N552" s="28" t="s">
        <v>32</v>
      </c>
      <c r="O552" s="33">
        <v>531.20000000000005</v>
      </c>
      <c r="P552" t="s">
        <v>18</v>
      </c>
    </row>
    <row r="553" spans="1:16" hidden="1" x14ac:dyDescent="0.2">
      <c r="A553" t="s">
        <v>11</v>
      </c>
      <c r="B553" s="25">
        <v>45776</v>
      </c>
      <c r="C553" s="29">
        <v>28</v>
      </c>
      <c r="D553" s="29">
        <v>264</v>
      </c>
      <c r="E553" s="29">
        <v>132</v>
      </c>
      <c r="F553" s="28">
        <v>0</v>
      </c>
      <c r="G553" s="28">
        <v>2.6100000000000002E-2</v>
      </c>
      <c r="H553" s="31" t="s">
        <v>15</v>
      </c>
      <c r="I553" s="31">
        <v>2</v>
      </c>
      <c r="J553" s="28">
        <v>4</v>
      </c>
      <c r="K553" s="28">
        <v>2</v>
      </c>
      <c r="L553" s="28">
        <v>58</v>
      </c>
      <c r="M553" s="28" t="s">
        <v>46</v>
      </c>
      <c r="N553" s="28" t="s">
        <v>20</v>
      </c>
      <c r="O553" s="33">
        <v>788</v>
      </c>
      <c r="P553" t="s">
        <v>18</v>
      </c>
    </row>
    <row r="554" spans="1:16" hidden="1" x14ac:dyDescent="0.2">
      <c r="A554" t="s">
        <v>11</v>
      </c>
      <c r="B554" s="25">
        <v>45776</v>
      </c>
      <c r="C554" s="29">
        <v>28</v>
      </c>
      <c r="D554" s="29">
        <v>267</v>
      </c>
      <c r="E554" s="29">
        <v>133</v>
      </c>
      <c r="F554" s="28">
        <v>0</v>
      </c>
      <c r="G554" s="28">
        <v>0.14680000000000001</v>
      </c>
      <c r="H554" s="31" t="s">
        <v>15</v>
      </c>
      <c r="I554" s="31">
        <v>3</v>
      </c>
      <c r="J554" s="28">
        <v>3</v>
      </c>
      <c r="K554" s="28">
        <v>1</v>
      </c>
      <c r="L554" s="28">
        <v>57</v>
      </c>
      <c r="M554" s="28" t="s">
        <v>43</v>
      </c>
      <c r="N554" s="28" t="s">
        <v>20</v>
      </c>
      <c r="O554" s="33">
        <v>902.7</v>
      </c>
      <c r="P554" t="s">
        <v>18</v>
      </c>
    </row>
    <row r="555" spans="1:16" hidden="1" x14ac:dyDescent="0.2">
      <c r="A555" t="s">
        <v>11</v>
      </c>
      <c r="B555" s="25">
        <v>45776</v>
      </c>
      <c r="C555" s="29">
        <v>28</v>
      </c>
      <c r="D555" s="29">
        <v>268</v>
      </c>
      <c r="E555" s="29">
        <v>133</v>
      </c>
      <c r="F555" s="28">
        <v>0</v>
      </c>
      <c r="G555" s="28">
        <v>0.14680000000000001</v>
      </c>
      <c r="H555" s="31" t="s">
        <v>15</v>
      </c>
      <c r="I555" s="31">
        <v>3</v>
      </c>
      <c r="J555" s="28">
        <v>3</v>
      </c>
      <c r="K555" s="28">
        <v>2</v>
      </c>
      <c r="L555" s="28">
        <v>76</v>
      </c>
      <c r="M555" s="28" t="s">
        <v>46</v>
      </c>
      <c r="N555" s="28" t="s">
        <v>25</v>
      </c>
      <c r="O555" s="33">
        <v>870</v>
      </c>
      <c r="P555" t="s">
        <v>18</v>
      </c>
    </row>
    <row r="556" spans="1:16" hidden="1" x14ac:dyDescent="0.2">
      <c r="A556" t="s">
        <v>11</v>
      </c>
      <c r="B556" s="25">
        <v>45776</v>
      </c>
      <c r="C556" s="29">
        <v>28</v>
      </c>
      <c r="D556" s="29">
        <v>265</v>
      </c>
      <c r="E556" s="29">
        <v>134</v>
      </c>
      <c r="F556" s="28">
        <v>0</v>
      </c>
      <c r="G556" s="28">
        <v>0.14680000000000001</v>
      </c>
      <c r="H556" s="31" t="s">
        <v>15</v>
      </c>
      <c r="I556" s="31">
        <v>3</v>
      </c>
      <c r="J556" s="28">
        <v>4</v>
      </c>
      <c r="K556" s="28">
        <v>1</v>
      </c>
      <c r="L556" s="28">
        <v>41</v>
      </c>
      <c r="M556" s="28" t="s">
        <v>44</v>
      </c>
      <c r="N556" s="28" t="s">
        <v>24</v>
      </c>
      <c r="O556" s="33">
        <v>574</v>
      </c>
      <c r="P556" t="s">
        <v>18</v>
      </c>
    </row>
    <row r="557" spans="1:16" hidden="1" x14ac:dyDescent="0.2">
      <c r="A557" t="s">
        <v>11</v>
      </c>
      <c r="B557" s="25">
        <v>45776</v>
      </c>
      <c r="C557" s="29">
        <v>28</v>
      </c>
      <c r="D557" s="29">
        <v>266</v>
      </c>
      <c r="E557" s="29">
        <v>134</v>
      </c>
      <c r="F557" s="28">
        <v>0</v>
      </c>
      <c r="G557" s="28">
        <v>0.14680000000000001</v>
      </c>
      <c r="H557" s="31" t="s">
        <v>15</v>
      </c>
      <c r="I557" s="31">
        <v>3</v>
      </c>
      <c r="J557" s="28">
        <v>4</v>
      </c>
      <c r="K557" s="28">
        <v>2</v>
      </c>
      <c r="L557" s="28">
        <v>56</v>
      </c>
      <c r="M557" s="28" t="s">
        <v>45</v>
      </c>
      <c r="N557" s="28" t="s">
        <v>20</v>
      </c>
      <c r="O557" s="33">
        <v>701</v>
      </c>
      <c r="P557" t="s">
        <v>18</v>
      </c>
    </row>
    <row r="558" spans="1:16" hidden="1" x14ac:dyDescent="0.2">
      <c r="A558" t="s">
        <v>11</v>
      </c>
      <c r="B558" s="25">
        <v>45776</v>
      </c>
      <c r="C558" s="29">
        <v>28</v>
      </c>
      <c r="D558" s="29">
        <v>269</v>
      </c>
      <c r="E558" s="29">
        <v>135</v>
      </c>
      <c r="F558" s="28">
        <v>0</v>
      </c>
      <c r="G558" s="28">
        <v>0.2611</v>
      </c>
      <c r="H558" s="31" t="s">
        <v>15</v>
      </c>
      <c r="I558" s="31">
        <v>4</v>
      </c>
      <c r="J558" s="28">
        <v>3</v>
      </c>
      <c r="K558" s="28">
        <v>1</v>
      </c>
      <c r="L558" s="28">
        <v>27</v>
      </c>
      <c r="M558" s="28" t="s">
        <v>44</v>
      </c>
      <c r="N558" s="28" t="s">
        <v>32</v>
      </c>
      <c r="O558" s="33">
        <v>856.4</v>
      </c>
      <c r="P558" t="s">
        <v>18</v>
      </c>
    </row>
    <row r="559" spans="1:16" hidden="1" x14ac:dyDescent="0.2">
      <c r="A559" t="s">
        <v>11</v>
      </c>
      <c r="B559" s="25">
        <v>45776</v>
      </c>
      <c r="C559" s="29">
        <v>28</v>
      </c>
      <c r="D559" s="29">
        <v>271</v>
      </c>
      <c r="E559" s="29">
        <v>135</v>
      </c>
      <c r="F559" s="28">
        <v>0</v>
      </c>
      <c r="G559" s="28">
        <v>0.2611</v>
      </c>
      <c r="H559" s="31" t="s">
        <v>15</v>
      </c>
      <c r="I559" s="31">
        <v>4</v>
      </c>
      <c r="J559" s="28">
        <v>3</v>
      </c>
      <c r="K559" s="28">
        <v>2</v>
      </c>
      <c r="L559" s="28">
        <v>51</v>
      </c>
      <c r="M559" s="28" t="s">
        <v>45</v>
      </c>
      <c r="N559" s="28" t="s">
        <v>22</v>
      </c>
      <c r="O559" s="33">
        <v>859.1</v>
      </c>
      <c r="P559" t="s">
        <v>18</v>
      </c>
    </row>
    <row r="560" spans="1:16" hidden="1" x14ac:dyDescent="0.2">
      <c r="A560" t="s">
        <v>11</v>
      </c>
      <c r="B560" s="25">
        <v>45776</v>
      </c>
      <c r="C560" s="29">
        <v>28</v>
      </c>
      <c r="D560" s="29">
        <v>270</v>
      </c>
      <c r="E560" s="29">
        <v>136</v>
      </c>
      <c r="F560" s="28">
        <v>0</v>
      </c>
      <c r="G560" s="28">
        <v>0.2611</v>
      </c>
      <c r="H560" s="31" t="s">
        <v>15</v>
      </c>
      <c r="I560" s="31">
        <v>4</v>
      </c>
      <c r="J560" s="28">
        <v>4</v>
      </c>
      <c r="K560" s="28">
        <v>1</v>
      </c>
      <c r="L560" s="28">
        <v>33</v>
      </c>
      <c r="M560" s="28" t="s">
        <v>43</v>
      </c>
      <c r="N560" s="28" t="s">
        <v>47</v>
      </c>
      <c r="O560" s="33">
        <v>628.5</v>
      </c>
      <c r="P560" t="s">
        <v>18</v>
      </c>
    </row>
    <row r="561" spans="1:16" hidden="1" x14ac:dyDescent="0.2">
      <c r="A561" t="s">
        <v>11</v>
      </c>
      <c r="B561" s="25">
        <v>45776</v>
      </c>
      <c r="C561" s="29">
        <v>28</v>
      </c>
      <c r="D561" s="29">
        <v>272</v>
      </c>
      <c r="E561" s="29">
        <v>136</v>
      </c>
      <c r="F561" s="28">
        <v>0</v>
      </c>
      <c r="G561" s="28">
        <v>0.2611</v>
      </c>
      <c r="H561" s="31" t="s">
        <v>15</v>
      </c>
      <c r="I561" s="31">
        <v>4</v>
      </c>
      <c r="J561" s="28">
        <v>4</v>
      </c>
      <c r="K561" s="28">
        <v>2</v>
      </c>
      <c r="L561" s="28">
        <v>68</v>
      </c>
      <c r="M561" s="28" t="s">
        <v>46</v>
      </c>
      <c r="N561" s="28" t="s">
        <v>19</v>
      </c>
      <c r="O561" s="33">
        <v>615.5</v>
      </c>
      <c r="P561" t="s">
        <v>18</v>
      </c>
    </row>
    <row r="562" spans="1:16" hidden="1" x14ac:dyDescent="0.2">
      <c r="A562" t="s">
        <v>11</v>
      </c>
      <c r="B562" s="25">
        <v>45776</v>
      </c>
      <c r="C562" s="29">
        <v>28</v>
      </c>
      <c r="D562" s="29">
        <v>273</v>
      </c>
      <c r="E562" s="29">
        <v>137</v>
      </c>
      <c r="F562" s="28">
        <v>0</v>
      </c>
      <c r="G562" s="28">
        <v>0.46429999999999999</v>
      </c>
      <c r="H562" s="31" t="s">
        <v>15</v>
      </c>
      <c r="I562" s="31">
        <v>5</v>
      </c>
      <c r="J562" s="28">
        <v>3</v>
      </c>
      <c r="K562" s="28">
        <v>1</v>
      </c>
      <c r="L562" s="28">
        <v>15</v>
      </c>
      <c r="M562" s="28" t="s">
        <v>43</v>
      </c>
      <c r="N562" s="28" t="s">
        <v>21</v>
      </c>
      <c r="O562" s="33">
        <v>425.8</v>
      </c>
      <c r="P562" t="s">
        <v>18</v>
      </c>
    </row>
    <row r="563" spans="1:16" x14ac:dyDescent="0.2">
      <c r="A563" t="s">
        <v>11</v>
      </c>
      <c r="B563" s="25">
        <v>45776</v>
      </c>
      <c r="C563" s="29">
        <v>28</v>
      </c>
      <c r="D563" s="29">
        <v>274</v>
      </c>
      <c r="E563" s="29">
        <v>137</v>
      </c>
      <c r="F563" s="28">
        <v>0</v>
      </c>
      <c r="G563" s="28">
        <v>0.46429999999999999</v>
      </c>
      <c r="H563" s="31" t="s">
        <v>15</v>
      </c>
      <c r="I563" s="31">
        <v>5</v>
      </c>
      <c r="J563" s="28">
        <v>3</v>
      </c>
      <c r="K563" s="28">
        <v>2</v>
      </c>
      <c r="L563" s="28">
        <v>15</v>
      </c>
      <c r="M563" s="28" t="s">
        <v>46</v>
      </c>
      <c r="N563" s="28" t="s">
        <v>21</v>
      </c>
      <c r="O563" s="33">
        <v>357.1</v>
      </c>
      <c r="P563" t="s">
        <v>18</v>
      </c>
    </row>
    <row r="564" spans="1:16" hidden="1" x14ac:dyDescent="0.2">
      <c r="A564" t="s">
        <v>11</v>
      </c>
      <c r="B564" s="25">
        <v>45776</v>
      </c>
      <c r="C564" s="29">
        <v>28</v>
      </c>
      <c r="D564" s="29">
        <v>276</v>
      </c>
      <c r="E564" s="29">
        <v>138</v>
      </c>
      <c r="F564" s="28">
        <v>0</v>
      </c>
      <c r="G564" s="28">
        <v>0.46429999999999999</v>
      </c>
      <c r="H564" s="31" t="s">
        <v>15</v>
      </c>
      <c r="I564" s="31">
        <v>5</v>
      </c>
      <c r="J564" s="28">
        <v>4</v>
      </c>
      <c r="K564" s="28">
        <v>1</v>
      </c>
      <c r="L564" s="28">
        <v>25</v>
      </c>
      <c r="M564" s="28" t="s">
        <v>43</v>
      </c>
      <c r="N564" s="28" t="s">
        <v>32</v>
      </c>
      <c r="O564" s="33">
        <v>560.5</v>
      </c>
      <c r="P564" t="s">
        <v>18</v>
      </c>
    </row>
    <row r="565" spans="1:16" hidden="1" x14ac:dyDescent="0.2">
      <c r="A565" t="s">
        <v>11</v>
      </c>
      <c r="B565" s="25">
        <v>45776</v>
      </c>
      <c r="C565" s="29">
        <v>28</v>
      </c>
      <c r="D565" s="29">
        <v>275</v>
      </c>
      <c r="E565" s="29">
        <v>138</v>
      </c>
      <c r="F565" s="28">
        <v>0</v>
      </c>
      <c r="G565" s="28">
        <v>0.46429999999999999</v>
      </c>
      <c r="H565" s="31" t="s">
        <v>15</v>
      </c>
      <c r="I565" s="31">
        <v>5</v>
      </c>
      <c r="J565" s="28">
        <v>4</v>
      </c>
      <c r="K565" s="28">
        <v>2</v>
      </c>
      <c r="L565" s="28">
        <v>19</v>
      </c>
      <c r="M565" s="28" t="s">
        <v>46</v>
      </c>
      <c r="N565" s="28" t="s">
        <v>21</v>
      </c>
      <c r="O565" s="33">
        <v>363.6</v>
      </c>
      <c r="P565" t="s">
        <v>18</v>
      </c>
    </row>
    <row r="566" spans="1:16" hidden="1" x14ac:dyDescent="0.2">
      <c r="A566" t="s">
        <v>11</v>
      </c>
      <c r="B566" s="25">
        <v>45776</v>
      </c>
      <c r="C566" s="29">
        <v>28</v>
      </c>
      <c r="D566" s="29">
        <v>278</v>
      </c>
      <c r="E566" s="29">
        <v>139</v>
      </c>
      <c r="F566" s="28">
        <v>0</v>
      </c>
      <c r="G566" s="28">
        <v>0.8256</v>
      </c>
      <c r="H566" s="31" t="s">
        <v>15</v>
      </c>
      <c r="I566" s="31">
        <v>6</v>
      </c>
      <c r="J566" s="28">
        <v>3</v>
      </c>
      <c r="K566" s="28">
        <v>1</v>
      </c>
      <c r="L566" s="28">
        <v>52</v>
      </c>
      <c r="M566" s="28" t="s">
        <v>44</v>
      </c>
      <c r="N566" s="28" t="s">
        <v>22</v>
      </c>
      <c r="O566" s="33">
        <v>262.5</v>
      </c>
      <c r="P566" t="s">
        <v>18</v>
      </c>
    </row>
    <row r="567" spans="1:16" hidden="1" x14ac:dyDescent="0.2">
      <c r="A567" t="s">
        <v>11</v>
      </c>
      <c r="B567" s="25">
        <v>45776</v>
      </c>
      <c r="C567" s="29">
        <v>28</v>
      </c>
      <c r="D567" s="29">
        <v>277</v>
      </c>
      <c r="E567" s="29">
        <v>139</v>
      </c>
      <c r="F567" s="28">
        <v>0</v>
      </c>
      <c r="G567" s="28">
        <v>0.8256</v>
      </c>
      <c r="H567" s="31" t="s">
        <v>15</v>
      </c>
      <c r="I567" s="31">
        <v>6</v>
      </c>
      <c r="J567" s="28">
        <v>3</v>
      </c>
      <c r="K567" s="28">
        <v>2</v>
      </c>
      <c r="L567" s="28">
        <v>12</v>
      </c>
      <c r="M567" s="28" t="s">
        <v>45</v>
      </c>
      <c r="N567" s="28" t="s">
        <v>21</v>
      </c>
      <c r="O567" s="33">
        <v>336.3</v>
      </c>
      <c r="P567" t="s">
        <v>18</v>
      </c>
    </row>
    <row r="568" spans="1:16" hidden="1" x14ac:dyDescent="0.2">
      <c r="A568" t="s">
        <v>11</v>
      </c>
      <c r="B568" s="25">
        <v>45776</v>
      </c>
      <c r="C568" s="29">
        <v>28</v>
      </c>
      <c r="D568" s="29">
        <v>280</v>
      </c>
      <c r="E568" s="29">
        <v>140</v>
      </c>
      <c r="F568" s="28">
        <v>0</v>
      </c>
      <c r="G568" s="28">
        <v>0.8256</v>
      </c>
      <c r="H568" s="31" t="s">
        <v>15</v>
      </c>
      <c r="I568" s="31">
        <v>6</v>
      </c>
      <c r="J568" s="28">
        <v>4</v>
      </c>
      <c r="K568" s="28">
        <v>1</v>
      </c>
      <c r="L568" s="28">
        <v>59</v>
      </c>
      <c r="M568" s="28" t="s">
        <v>43</v>
      </c>
      <c r="N568" s="28" t="s">
        <v>25</v>
      </c>
      <c r="O568" s="33">
        <v>300.10000000000002</v>
      </c>
      <c r="P568" t="s">
        <v>18</v>
      </c>
    </row>
    <row r="569" spans="1:16" hidden="1" x14ac:dyDescent="0.2">
      <c r="A569" t="s">
        <v>11</v>
      </c>
      <c r="B569" s="25">
        <v>45776</v>
      </c>
      <c r="C569" s="29">
        <v>28</v>
      </c>
      <c r="D569" s="29">
        <v>279</v>
      </c>
      <c r="E569" s="29">
        <v>140</v>
      </c>
      <c r="F569" s="28">
        <v>0</v>
      </c>
      <c r="G569" s="28">
        <v>0.8256</v>
      </c>
      <c r="H569" s="31" t="s">
        <v>15</v>
      </c>
      <c r="I569" s="31">
        <v>6</v>
      </c>
      <c r="J569" s="28">
        <v>4</v>
      </c>
      <c r="K569" s="28">
        <v>2</v>
      </c>
      <c r="L569" s="28">
        <v>57</v>
      </c>
      <c r="M569" s="28" t="s">
        <v>46</v>
      </c>
      <c r="N569" s="28" t="s">
        <v>20</v>
      </c>
      <c r="O569" s="33">
        <v>330.7</v>
      </c>
      <c r="P569" t="s">
        <v>18</v>
      </c>
    </row>
    <row r="570" spans="1:16" hidden="1" x14ac:dyDescent="0.2">
      <c r="A570" t="s">
        <v>11</v>
      </c>
      <c r="B570" s="25">
        <v>45776</v>
      </c>
      <c r="C570" s="29">
        <v>28</v>
      </c>
      <c r="D570" s="29">
        <v>282</v>
      </c>
      <c r="E570" s="29">
        <v>141</v>
      </c>
      <c r="F570" s="28">
        <v>0</v>
      </c>
      <c r="G570" s="28">
        <v>1.4681999999999999</v>
      </c>
      <c r="H570" s="31" t="s">
        <v>15</v>
      </c>
      <c r="I570" s="31">
        <v>7</v>
      </c>
      <c r="J570" s="28">
        <v>3</v>
      </c>
      <c r="K570" s="28">
        <v>1</v>
      </c>
      <c r="L570" s="28">
        <v>27</v>
      </c>
      <c r="M570" s="28" t="s">
        <v>43</v>
      </c>
      <c r="N570" s="28" t="s">
        <v>32</v>
      </c>
      <c r="O570" s="33">
        <v>356.9</v>
      </c>
      <c r="P570" t="s">
        <v>18</v>
      </c>
    </row>
    <row r="571" spans="1:16" hidden="1" x14ac:dyDescent="0.2">
      <c r="A571" t="s">
        <v>11</v>
      </c>
      <c r="B571" s="25">
        <v>45776</v>
      </c>
      <c r="C571" s="29">
        <v>28</v>
      </c>
      <c r="D571" s="29">
        <v>283</v>
      </c>
      <c r="E571" s="29">
        <v>141</v>
      </c>
      <c r="F571" s="28">
        <v>0</v>
      </c>
      <c r="G571" s="28">
        <v>1.4681999999999999</v>
      </c>
      <c r="H571" s="31" t="s">
        <v>15</v>
      </c>
      <c r="I571" s="31">
        <v>7</v>
      </c>
      <c r="J571" s="28">
        <v>3</v>
      </c>
      <c r="K571" s="28">
        <v>2</v>
      </c>
      <c r="L571" s="28">
        <v>51</v>
      </c>
      <c r="M571" s="28" t="s">
        <v>46</v>
      </c>
      <c r="N571" s="28" t="s">
        <v>22</v>
      </c>
      <c r="O571" s="33">
        <v>248.7</v>
      </c>
      <c r="P571" t="s">
        <v>18</v>
      </c>
    </row>
    <row r="572" spans="1:16" hidden="1" x14ac:dyDescent="0.2">
      <c r="A572" t="s">
        <v>11</v>
      </c>
      <c r="B572" s="25">
        <v>45776</v>
      </c>
      <c r="C572" s="29">
        <v>28</v>
      </c>
      <c r="D572" s="29">
        <v>281</v>
      </c>
      <c r="E572" s="29">
        <v>142</v>
      </c>
      <c r="F572" s="28">
        <v>0</v>
      </c>
      <c r="G572" s="28">
        <v>1.4681999999999999</v>
      </c>
      <c r="H572" s="31" t="s">
        <v>15</v>
      </c>
      <c r="I572" s="31">
        <v>7</v>
      </c>
      <c r="J572" s="28">
        <v>4</v>
      </c>
      <c r="K572" s="28">
        <v>1</v>
      </c>
      <c r="L572" s="28">
        <v>54</v>
      </c>
      <c r="M572" s="28" t="s">
        <v>44</v>
      </c>
      <c r="N572" s="28" t="s">
        <v>22</v>
      </c>
      <c r="O572" s="33">
        <v>355</v>
      </c>
      <c r="P572" t="s">
        <v>18</v>
      </c>
    </row>
    <row r="573" spans="1:16" hidden="1" x14ac:dyDescent="0.2">
      <c r="A573" t="s">
        <v>11</v>
      </c>
      <c r="B573" s="25">
        <v>45776</v>
      </c>
      <c r="C573" s="29">
        <v>28</v>
      </c>
      <c r="D573" s="29">
        <v>284</v>
      </c>
      <c r="E573" s="29">
        <v>142</v>
      </c>
      <c r="F573" s="28">
        <v>0</v>
      </c>
      <c r="G573" s="28">
        <v>1.4681999999999999</v>
      </c>
      <c r="H573" s="31" t="s">
        <v>15</v>
      </c>
      <c r="I573" s="31">
        <v>7</v>
      </c>
      <c r="J573" s="28">
        <v>4</v>
      </c>
      <c r="K573" s="28">
        <v>2</v>
      </c>
      <c r="L573" s="28">
        <v>71</v>
      </c>
      <c r="M573" s="28" t="s">
        <v>45</v>
      </c>
      <c r="N573" s="28" t="s">
        <v>24</v>
      </c>
      <c r="O573" s="33">
        <v>323.7</v>
      </c>
      <c r="P573" t="s">
        <v>18</v>
      </c>
    </row>
    <row r="574" spans="1:16" hidden="1" x14ac:dyDescent="0.2">
      <c r="A574" t="s">
        <v>11</v>
      </c>
      <c r="B574" s="25">
        <v>45776</v>
      </c>
      <c r="C574" s="29">
        <v>28</v>
      </c>
      <c r="D574" s="29">
        <v>288</v>
      </c>
      <c r="E574" s="29">
        <v>143</v>
      </c>
      <c r="F574" s="28">
        <v>0</v>
      </c>
      <c r="G574" s="28">
        <v>0</v>
      </c>
      <c r="H574" s="31" t="s">
        <v>16</v>
      </c>
      <c r="I574" s="31">
        <v>0</v>
      </c>
      <c r="J574" s="28">
        <v>3</v>
      </c>
      <c r="K574" s="28">
        <v>1</v>
      </c>
      <c r="L574" s="28">
        <v>35</v>
      </c>
      <c r="M574" s="28" t="s">
        <v>44</v>
      </c>
      <c r="N574" s="28" t="s">
        <v>47</v>
      </c>
      <c r="O574" s="33">
        <v>942.6</v>
      </c>
      <c r="P574" t="s">
        <v>18</v>
      </c>
    </row>
    <row r="575" spans="1:16" hidden="1" x14ac:dyDescent="0.2">
      <c r="A575" t="s">
        <v>11</v>
      </c>
      <c r="B575" s="25">
        <v>45776</v>
      </c>
      <c r="C575" s="29">
        <v>28</v>
      </c>
      <c r="D575" s="29">
        <v>286</v>
      </c>
      <c r="E575" s="29">
        <v>143</v>
      </c>
      <c r="F575" s="28">
        <v>0</v>
      </c>
      <c r="G575" s="28">
        <v>0</v>
      </c>
      <c r="H575" s="31" t="s">
        <v>16</v>
      </c>
      <c r="I575" s="31">
        <v>0</v>
      </c>
      <c r="J575" s="28">
        <v>3</v>
      </c>
      <c r="K575" s="28">
        <v>2</v>
      </c>
      <c r="L575" s="28">
        <v>17</v>
      </c>
      <c r="M575" s="28" t="s">
        <v>45</v>
      </c>
      <c r="N575" s="28" t="s">
        <v>21</v>
      </c>
      <c r="O575" s="33">
        <v>791.7</v>
      </c>
      <c r="P575" t="s">
        <v>18</v>
      </c>
    </row>
    <row r="576" spans="1:16" hidden="1" x14ac:dyDescent="0.2">
      <c r="A576" t="s">
        <v>11</v>
      </c>
      <c r="B576" s="25">
        <v>45776</v>
      </c>
      <c r="C576" s="29">
        <v>28</v>
      </c>
      <c r="D576" s="29">
        <v>285</v>
      </c>
      <c r="E576" s="29">
        <v>144</v>
      </c>
      <c r="F576" s="28">
        <v>0</v>
      </c>
      <c r="G576" s="28">
        <v>0</v>
      </c>
      <c r="H576" s="31" t="s">
        <v>16</v>
      </c>
      <c r="I576" s="31">
        <v>0</v>
      </c>
      <c r="J576" s="28">
        <v>4</v>
      </c>
      <c r="K576" s="28">
        <v>1</v>
      </c>
      <c r="L576" s="28">
        <v>16</v>
      </c>
      <c r="M576" s="28" t="s">
        <v>44</v>
      </c>
      <c r="N576" s="28" t="s">
        <v>21</v>
      </c>
      <c r="O576" s="46">
        <v>803.3</v>
      </c>
      <c r="P576" t="s">
        <v>18</v>
      </c>
    </row>
    <row r="577" spans="1:16" hidden="1" x14ac:dyDescent="0.2">
      <c r="A577" t="s">
        <v>11</v>
      </c>
      <c r="B577" s="25">
        <v>45776</v>
      </c>
      <c r="C577" s="29">
        <v>28</v>
      </c>
      <c r="D577" s="29">
        <v>287</v>
      </c>
      <c r="E577" s="29">
        <v>144</v>
      </c>
      <c r="F577" s="28">
        <v>0</v>
      </c>
      <c r="G577" s="28">
        <v>0</v>
      </c>
      <c r="H577" s="31" t="s">
        <v>16</v>
      </c>
      <c r="I577" s="31">
        <v>0</v>
      </c>
      <c r="J577" s="28">
        <v>4</v>
      </c>
      <c r="K577" s="28">
        <v>2</v>
      </c>
      <c r="L577" s="28">
        <v>30</v>
      </c>
      <c r="M577" s="28" t="s">
        <v>45</v>
      </c>
      <c r="N577" s="28" t="s">
        <v>32</v>
      </c>
      <c r="O577" s="33">
        <v>716.2</v>
      </c>
      <c r="P577" t="s">
        <v>18</v>
      </c>
    </row>
    <row r="587" spans="1:16" x14ac:dyDescent="0.2">
      <c r="O587" s="33"/>
    </row>
  </sheetData>
  <autoFilter ref="A1:P577" xr:uid="{39E4C65D-F359-AD49-BC7D-8ABA3238360F}">
    <filterColumn colId="8">
      <filters>
        <filter val="5"/>
      </filters>
    </filterColumn>
    <filterColumn colId="9">
      <filters>
        <filter val="1"/>
        <filter val="3"/>
      </filters>
    </filterColumn>
    <filterColumn colId="10">
      <filters>
        <filter val="2"/>
      </filters>
    </filterColumn>
    <sortState xmlns:xlrd2="http://schemas.microsoft.com/office/spreadsheetml/2017/richdata2" ref="A6:P575">
      <sortCondition ref="C1:C577"/>
    </sortState>
  </autoFilter>
  <sortState xmlns:xlrd2="http://schemas.microsoft.com/office/spreadsheetml/2017/richdata2" ref="A2:P289">
    <sortCondition ref="A2:A289"/>
    <sortCondition ref="C2:C289"/>
    <sortCondition ref="H2:H289"/>
    <sortCondition ref="I2:I289"/>
    <sortCondition ref="J2:J289"/>
    <sortCondition ref="K2:K289"/>
  </sortState>
  <conditionalFormatting sqref="M2:M577">
    <cfRule type="containsText" dxfId="20" priority="5" operator="containsText" text="Green">
      <formula>NOT(ISERROR(SEARCH("Green",M2)))</formula>
    </cfRule>
    <cfRule type="containsText" dxfId="19" priority="6" operator="containsText" text="Orange">
      <formula>NOT(ISERROR(SEARCH("Orange",M2)))</formula>
    </cfRule>
    <cfRule type="containsText" dxfId="18" priority="7" operator="containsText" text="Yellow">
      <formula>NOT(ISERROR(SEARCH("Yellow",M2)))</formula>
    </cfRule>
    <cfRule type="containsText" dxfId="17" priority="8" operator="containsText" text="Pink">
      <formula>NOT(ISERROR(SEARCH("Pink",M2)))</formula>
    </cfRule>
  </conditionalFormatting>
  <conditionalFormatting sqref="M1">
    <cfRule type="containsText" dxfId="16" priority="1" operator="containsText" text="Green">
      <formula>NOT(ISERROR(SEARCH("Green",M1)))</formula>
    </cfRule>
    <cfRule type="containsText" dxfId="15" priority="2" operator="containsText" text="Orange">
      <formula>NOT(ISERROR(SEARCH("Orange",M1)))</formula>
    </cfRule>
    <cfRule type="containsText" dxfId="14" priority="3" operator="containsText" text="Yellow">
      <formula>NOT(ISERROR(SEARCH("Yellow",M1)))</formula>
    </cfRule>
    <cfRule type="containsText" dxfId="13" priority="4" operator="containsText" text="Pink">
      <formula>NOT(ISERROR(SEARCH("Pink",M1)))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C79C-735D-7745-9103-3B789D76AD05}">
  <sheetPr filterMode="1"/>
  <dimension ref="A1:P145"/>
  <sheetViews>
    <sheetView topLeftCell="B1" zoomScaleNormal="57" workbookViewId="0">
      <selection activeCell="O83" sqref="O83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5.5" customWidth="1"/>
    <col min="4" max="4" width="5.33203125" customWidth="1"/>
    <col min="5" max="5" width="13.33203125" customWidth="1"/>
    <col min="8" max="8" width="6.6640625" customWidth="1"/>
    <col min="9" max="9" width="9" customWidth="1"/>
    <col min="10" max="10" width="11.1640625" customWidth="1"/>
    <col min="11" max="11" width="19.6640625" customWidth="1"/>
    <col min="12" max="12" width="6" customWidth="1"/>
    <col min="15" max="15" width="10.83203125" style="33"/>
  </cols>
  <sheetData>
    <row r="1" spans="1:16" ht="17" thickBot="1" x14ac:dyDescent="0.25">
      <c r="A1" s="36" t="s">
        <v>17</v>
      </c>
      <c r="B1" s="36" t="s">
        <v>0</v>
      </c>
      <c r="C1" s="36" t="s">
        <v>1</v>
      </c>
      <c r="D1" s="36" t="s">
        <v>38</v>
      </c>
      <c r="E1" s="36" t="s">
        <v>3</v>
      </c>
      <c r="F1" s="37" t="s">
        <v>28</v>
      </c>
      <c r="G1" s="37" t="s">
        <v>29</v>
      </c>
      <c r="H1" s="38" t="s">
        <v>5</v>
      </c>
      <c r="I1" s="38" t="s">
        <v>4</v>
      </c>
      <c r="J1" s="37" t="s">
        <v>6</v>
      </c>
      <c r="K1" s="37" t="s">
        <v>42</v>
      </c>
      <c r="L1" s="37" t="s">
        <v>40</v>
      </c>
      <c r="M1" s="37" t="s">
        <v>39</v>
      </c>
      <c r="N1" s="37" t="s">
        <v>2</v>
      </c>
      <c r="O1" s="39" t="s">
        <v>41</v>
      </c>
      <c r="P1" s="36" t="s">
        <v>9</v>
      </c>
    </row>
    <row r="2" spans="1:16" hidden="1" x14ac:dyDescent="0.2">
      <c r="A2" t="s">
        <v>37</v>
      </c>
      <c r="B2" s="25">
        <v>45771</v>
      </c>
      <c r="C2" s="29">
        <v>29</v>
      </c>
      <c r="D2" s="29">
        <v>1</v>
      </c>
      <c r="E2" s="29">
        <v>1</v>
      </c>
      <c r="F2" s="28">
        <v>0.94179999999999997</v>
      </c>
      <c r="G2" s="28">
        <v>0</v>
      </c>
      <c r="H2" s="31" t="s">
        <v>11</v>
      </c>
      <c r="I2" s="31">
        <v>1</v>
      </c>
      <c r="J2" s="28">
        <v>1</v>
      </c>
      <c r="K2" s="28">
        <v>1</v>
      </c>
      <c r="L2" s="28">
        <v>74</v>
      </c>
      <c r="M2" s="28" t="s">
        <v>43</v>
      </c>
      <c r="N2" s="28" t="s">
        <v>24</v>
      </c>
      <c r="O2" s="33">
        <v>560.6</v>
      </c>
      <c r="P2" t="s">
        <v>18</v>
      </c>
    </row>
    <row r="3" spans="1:16" hidden="1" x14ac:dyDescent="0.2">
      <c r="A3" t="s">
        <v>37</v>
      </c>
      <c r="B3" s="25">
        <v>45771</v>
      </c>
      <c r="C3" s="29">
        <v>29</v>
      </c>
      <c r="D3" s="29">
        <v>2</v>
      </c>
      <c r="E3" s="29">
        <v>1</v>
      </c>
      <c r="F3" s="28">
        <v>0.94179999999999997</v>
      </c>
      <c r="G3" s="28">
        <v>0</v>
      </c>
      <c r="H3" s="31" t="s">
        <v>11</v>
      </c>
      <c r="I3" s="31">
        <v>1</v>
      </c>
      <c r="J3" s="28">
        <v>1</v>
      </c>
      <c r="K3" s="28">
        <v>2</v>
      </c>
      <c r="L3" s="28">
        <v>69</v>
      </c>
      <c r="M3" s="28" t="s">
        <v>46</v>
      </c>
      <c r="N3" s="28" t="s">
        <v>19</v>
      </c>
      <c r="O3" s="33">
        <v>484.3</v>
      </c>
      <c r="P3" t="s">
        <v>18</v>
      </c>
    </row>
    <row r="4" spans="1:16" hidden="1" x14ac:dyDescent="0.2">
      <c r="A4" t="s">
        <v>37</v>
      </c>
      <c r="B4" s="25">
        <v>45771</v>
      </c>
      <c r="C4" s="29">
        <v>29</v>
      </c>
      <c r="D4" s="29">
        <v>5</v>
      </c>
      <c r="E4" s="29">
        <v>3</v>
      </c>
      <c r="F4" s="28">
        <v>9.4181000000000008</v>
      </c>
      <c r="G4" s="28">
        <v>0</v>
      </c>
      <c r="H4" s="31" t="s">
        <v>11</v>
      </c>
      <c r="I4" s="31">
        <v>2</v>
      </c>
      <c r="J4" s="28">
        <v>1</v>
      </c>
      <c r="K4" s="28">
        <v>1</v>
      </c>
      <c r="L4" s="28">
        <v>36</v>
      </c>
      <c r="M4" s="28" t="s">
        <v>44</v>
      </c>
      <c r="N4" s="28" t="s">
        <v>47</v>
      </c>
      <c r="O4" s="33">
        <v>578.5</v>
      </c>
      <c r="P4" t="s">
        <v>18</v>
      </c>
    </row>
    <row r="5" spans="1:16" hidden="1" x14ac:dyDescent="0.2">
      <c r="A5" t="s">
        <v>37</v>
      </c>
      <c r="B5" s="25">
        <v>45771</v>
      </c>
      <c r="C5" s="29">
        <v>29</v>
      </c>
      <c r="D5" s="29">
        <v>6</v>
      </c>
      <c r="E5" s="29">
        <v>3</v>
      </c>
      <c r="F5" s="28">
        <v>9.4181000000000008</v>
      </c>
      <c r="G5" s="28">
        <v>0</v>
      </c>
      <c r="H5" s="31" t="s">
        <v>11</v>
      </c>
      <c r="I5" s="31">
        <v>2</v>
      </c>
      <c r="J5" s="28">
        <v>1</v>
      </c>
      <c r="K5" s="28">
        <v>2</v>
      </c>
      <c r="L5" s="28">
        <v>45</v>
      </c>
      <c r="M5" s="28" t="s">
        <v>45</v>
      </c>
      <c r="N5" s="28" t="s">
        <v>24</v>
      </c>
      <c r="O5" s="33">
        <v>645.20000000000005</v>
      </c>
      <c r="P5" t="s">
        <v>18</v>
      </c>
    </row>
    <row r="6" spans="1:16" hidden="1" x14ac:dyDescent="0.2">
      <c r="A6" t="s">
        <v>37</v>
      </c>
      <c r="B6" s="25">
        <v>45771</v>
      </c>
      <c r="C6" s="29">
        <v>29</v>
      </c>
      <c r="D6" s="29">
        <v>9</v>
      </c>
      <c r="E6" s="29">
        <v>5</v>
      </c>
      <c r="F6" s="28">
        <v>52.9619</v>
      </c>
      <c r="G6" s="28">
        <v>0</v>
      </c>
      <c r="H6" s="31" t="s">
        <v>11</v>
      </c>
      <c r="I6" s="31">
        <v>3</v>
      </c>
      <c r="J6" s="28">
        <v>1</v>
      </c>
      <c r="K6" s="28">
        <v>1</v>
      </c>
      <c r="L6" s="28">
        <v>39</v>
      </c>
      <c r="M6" s="28" t="s">
        <v>43</v>
      </c>
      <c r="N6" s="28" t="s">
        <v>47</v>
      </c>
      <c r="O6" s="33">
        <v>475.5</v>
      </c>
      <c r="P6" t="s">
        <v>18</v>
      </c>
    </row>
    <row r="7" spans="1:16" hidden="1" x14ac:dyDescent="0.2">
      <c r="A7" t="s">
        <v>37</v>
      </c>
      <c r="B7" s="25">
        <v>45771</v>
      </c>
      <c r="C7" s="29">
        <v>29</v>
      </c>
      <c r="D7" s="29">
        <v>10</v>
      </c>
      <c r="E7" s="29">
        <v>5</v>
      </c>
      <c r="F7" s="28">
        <v>52.9619</v>
      </c>
      <c r="G7" s="28">
        <v>0</v>
      </c>
      <c r="H7" s="31" t="s">
        <v>11</v>
      </c>
      <c r="I7" s="31">
        <v>3</v>
      </c>
      <c r="J7" s="28">
        <v>1</v>
      </c>
      <c r="K7" s="28">
        <v>2</v>
      </c>
      <c r="L7" s="28">
        <v>31</v>
      </c>
      <c r="M7" s="28" t="s">
        <v>46</v>
      </c>
      <c r="N7" s="28" t="s">
        <v>47</v>
      </c>
      <c r="O7" s="33">
        <v>523.79999999999995</v>
      </c>
      <c r="P7" t="s">
        <v>18</v>
      </c>
    </row>
    <row r="8" spans="1:16" hidden="1" x14ac:dyDescent="0.2">
      <c r="A8" t="s">
        <v>37</v>
      </c>
      <c r="B8" s="25">
        <v>45771</v>
      </c>
      <c r="C8" s="29">
        <v>29</v>
      </c>
      <c r="D8" s="29">
        <v>13</v>
      </c>
      <c r="E8" s="29">
        <v>7</v>
      </c>
      <c r="F8" s="28">
        <v>94.180999999999997</v>
      </c>
      <c r="G8" s="28">
        <v>0</v>
      </c>
      <c r="H8" s="31" t="s">
        <v>11</v>
      </c>
      <c r="I8" s="31">
        <v>4</v>
      </c>
      <c r="J8" s="28">
        <v>1</v>
      </c>
      <c r="K8" s="28">
        <v>1</v>
      </c>
      <c r="L8" s="28">
        <v>21</v>
      </c>
      <c r="M8" s="28" t="s">
        <v>43</v>
      </c>
      <c r="N8" s="28" t="s">
        <v>32</v>
      </c>
      <c r="O8" s="33">
        <v>530.29999999999995</v>
      </c>
      <c r="P8" t="s">
        <v>18</v>
      </c>
    </row>
    <row r="9" spans="1:16" hidden="1" x14ac:dyDescent="0.2">
      <c r="A9" t="s">
        <v>37</v>
      </c>
      <c r="B9" s="25">
        <v>45771</v>
      </c>
      <c r="C9" s="29">
        <v>29</v>
      </c>
      <c r="D9" s="29">
        <v>14</v>
      </c>
      <c r="E9" s="29">
        <v>7</v>
      </c>
      <c r="F9" s="28">
        <v>94.180999999999997</v>
      </c>
      <c r="G9" s="28">
        <v>0</v>
      </c>
      <c r="H9" s="31" t="s">
        <v>11</v>
      </c>
      <c r="I9" s="31">
        <v>4</v>
      </c>
      <c r="J9" s="28">
        <v>1</v>
      </c>
      <c r="K9" s="28">
        <v>2</v>
      </c>
      <c r="L9" s="28">
        <v>44</v>
      </c>
      <c r="M9" s="28" t="s">
        <v>46</v>
      </c>
      <c r="N9" s="28" t="s">
        <v>24</v>
      </c>
      <c r="O9" s="33">
        <v>460.6</v>
      </c>
      <c r="P9" t="s">
        <v>18</v>
      </c>
    </row>
    <row r="10" spans="1:16" hidden="1" x14ac:dyDescent="0.2">
      <c r="A10" t="s">
        <v>37</v>
      </c>
      <c r="B10" s="25">
        <v>45771</v>
      </c>
      <c r="C10" s="29">
        <v>29</v>
      </c>
      <c r="D10" s="29">
        <v>17</v>
      </c>
      <c r="E10" s="29">
        <v>9</v>
      </c>
      <c r="F10" s="28">
        <v>167.48009999999999</v>
      </c>
      <c r="G10" s="28">
        <v>0</v>
      </c>
      <c r="H10" s="31" t="s">
        <v>11</v>
      </c>
      <c r="I10" s="31">
        <v>5</v>
      </c>
      <c r="J10" s="28">
        <v>1</v>
      </c>
      <c r="K10" s="28">
        <v>1</v>
      </c>
      <c r="L10" s="28">
        <v>31</v>
      </c>
      <c r="M10" s="28" t="s">
        <v>43</v>
      </c>
      <c r="N10" s="28" t="s">
        <v>47</v>
      </c>
      <c r="O10" s="33">
        <v>644.20000000000005</v>
      </c>
      <c r="P10" t="s">
        <v>18</v>
      </c>
    </row>
    <row r="11" spans="1:16" x14ac:dyDescent="0.2">
      <c r="A11" t="s">
        <v>37</v>
      </c>
      <c r="B11" s="25">
        <v>45771</v>
      </c>
      <c r="C11" s="29">
        <v>29</v>
      </c>
      <c r="D11" s="29">
        <v>18</v>
      </c>
      <c r="E11" s="29">
        <v>9</v>
      </c>
      <c r="F11" s="28">
        <v>167.48009999999999</v>
      </c>
      <c r="G11" s="28">
        <v>0</v>
      </c>
      <c r="H11" s="31" t="s">
        <v>11</v>
      </c>
      <c r="I11" s="31">
        <v>5</v>
      </c>
      <c r="J11" s="28">
        <v>1</v>
      </c>
      <c r="K11" s="28">
        <v>2</v>
      </c>
      <c r="L11" s="28">
        <v>20</v>
      </c>
      <c r="M11" s="28" t="s">
        <v>46</v>
      </c>
      <c r="N11" s="28" t="s">
        <v>21</v>
      </c>
      <c r="O11" s="33">
        <v>617.9</v>
      </c>
      <c r="P11" t="s">
        <v>18</v>
      </c>
    </row>
    <row r="12" spans="1:16" hidden="1" x14ac:dyDescent="0.2">
      <c r="A12" t="s">
        <v>37</v>
      </c>
      <c r="B12" s="25">
        <v>45771</v>
      </c>
      <c r="C12" s="29">
        <v>29</v>
      </c>
      <c r="D12" s="29">
        <v>21</v>
      </c>
      <c r="E12" s="29">
        <v>11</v>
      </c>
      <c r="F12" s="28">
        <v>297.82639999999998</v>
      </c>
      <c r="G12" s="28">
        <v>0</v>
      </c>
      <c r="H12" s="31" t="s">
        <v>11</v>
      </c>
      <c r="I12" s="31">
        <v>6</v>
      </c>
      <c r="J12" s="28">
        <v>1</v>
      </c>
      <c r="K12" s="28">
        <v>1</v>
      </c>
      <c r="L12" s="28">
        <v>4</v>
      </c>
      <c r="M12" s="28" t="s">
        <v>43</v>
      </c>
      <c r="N12" s="28" t="s">
        <v>19</v>
      </c>
      <c r="O12" s="33">
        <v>690.7</v>
      </c>
      <c r="P12" t="s">
        <v>18</v>
      </c>
    </row>
    <row r="13" spans="1:16" hidden="1" x14ac:dyDescent="0.2">
      <c r="A13" t="s">
        <v>37</v>
      </c>
      <c r="B13" s="25">
        <v>45771</v>
      </c>
      <c r="C13" s="29">
        <v>29</v>
      </c>
      <c r="D13" s="29">
        <v>22</v>
      </c>
      <c r="E13" s="29">
        <v>11</v>
      </c>
      <c r="F13" s="28">
        <v>297.82639999999998</v>
      </c>
      <c r="G13" s="28">
        <v>0</v>
      </c>
      <c r="H13" s="31" t="s">
        <v>11</v>
      </c>
      <c r="I13" s="31">
        <v>6</v>
      </c>
      <c r="J13" s="28">
        <v>1</v>
      </c>
      <c r="K13" s="28">
        <v>2</v>
      </c>
      <c r="L13" s="28">
        <v>43</v>
      </c>
      <c r="M13" s="28" t="s">
        <v>46</v>
      </c>
      <c r="N13" s="28" t="s">
        <v>24</v>
      </c>
      <c r="O13" s="33">
        <v>479.6</v>
      </c>
      <c r="P13" t="s">
        <v>18</v>
      </c>
    </row>
    <row r="14" spans="1:16" hidden="1" x14ac:dyDescent="0.2">
      <c r="A14" t="s">
        <v>37</v>
      </c>
      <c r="B14" s="25">
        <v>45771</v>
      </c>
      <c r="C14" s="29">
        <v>29</v>
      </c>
      <c r="D14" s="29">
        <v>25</v>
      </c>
      <c r="E14" s="29">
        <v>13</v>
      </c>
      <c r="F14" s="28">
        <v>529.61860000000001</v>
      </c>
      <c r="G14" s="28">
        <v>0</v>
      </c>
      <c r="H14" s="31" t="s">
        <v>11</v>
      </c>
      <c r="I14" s="31">
        <v>7</v>
      </c>
      <c r="J14" s="28">
        <v>1</v>
      </c>
      <c r="K14" s="28">
        <v>1</v>
      </c>
      <c r="L14" s="28">
        <v>13</v>
      </c>
      <c r="M14" s="28" t="s">
        <v>44</v>
      </c>
      <c r="N14" s="28" t="s">
        <v>21</v>
      </c>
      <c r="O14" s="33">
        <v>356.5</v>
      </c>
      <c r="P14" t="s">
        <v>18</v>
      </c>
    </row>
    <row r="15" spans="1:16" hidden="1" x14ac:dyDescent="0.2">
      <c r="A15" t="s">
        <v>37</v>
      </c>
      <c r="B15" s="25">
        <v>45771</v>
      </c>
      <c r="C15" s="29">
        <v>29</v>
      </c>
      <c r="D15" s="29">
        <v>26</v>
      </c>
      <c r="E15" s="29">
        <v>13</v>
      </c>
      <c r="F15" s="28">
        <v>529.61860000000001</v>
      </c>
      <c r="G15" s="28">
        <v>0</v>
      </c>
      <c r="H15" s="31" t="s">
        <v>11</v>
      </c>
      <c r="I15" s="31">
        <v>7</v>
      </c>
      <c r="J15" s="28">
        <v>1</v>
      </c>
      <c r="K15" s="28">
        <v>2</v>
      </c>
      <c r="L15" s="28">
        <v>1</v>
      </c>
      <c r="M15" s="28" t="s">
        <v>45</v>
      </c>
      <c r="N15" s="28" t="s">
        <v>19</v>
      </c>
      <c r="O15" s="33">
        <v>281.3</v>
      </c>
      <c r="P15" t="s">
        <v>18</v>
      </c>
    </row>
    <row r="16" spans="1:16" hidden="1" x14ac:dyDescent="0.2">
      <c r="A16" t="s">
        <v>37</v>
      </c>
      <c r="B16" s="25">
        <v>45771</v>
      </c>
      <c r="C16" s="29">
        <v>29</v>
      </c>
      <c r="D16" s="29">
        <v>29</v>
      </c>
      <c r="E16" s="29">
        <v>15</v>
      </c>
      <c r="F16" s="28">
        <v>0.70640000000000003</v>
      </c>
      <c r="G16" s="28">
        <v>6.9999999999999999E-4</v>
      </c>
      <c r="H16" s="31" t="s">
        <v>12</v>
      </c>
      <c r="I16" s="31">
        <v>1</v>
      </c>
      <c r="J16" s="28">
        <v>1</v>
      </c>
      <c r="K16" s="28">
        <v>1</v>
      </c>
      <c r="L16" s="28">
        <v>73</v>
      </c>
      <c r="M16" s="28" t="s">
        <v>43</v>
      </c>
      <c r="N16" s="28" t="s">
        <v>24</v>
      </c>
      <c r="O16" s="33">
        <v>450.7</v>
      </c>
      <c r="P16" t="s">
        <v>18</v>
      </c>
    </row>
    <row r="17" spans="1:16" hidden="1" x14ac:dyDescent="0.2">
      <c r="A17" t="s">
        <v>37</v>
      </c>
      <c r="B17" s="25">
        <v>45771</v>
      </c>
      <c r="C17" s="29">
        <v>29</v>
      </c>
      <c r="D17" s="29">
        <v>30</v>
      </c>
      <c r="E17" s="29">
        <v>15</v>
      </c>
      <c r="F17" s="28">
        <v>0.70640000000000003</v>
      </c>
      <c r="G17" s="28">
        <v>6.9999999999999999E-4</v>
      </c>
      <c r="H17" s="31" t="s">
        <v>12</v>
      </c>
      <c r="I17" s="31">
        <v>1</v>
      </c>
      <c r="J17" s="28">
        <v>1</v>
      </c>
      <c r="K17" s="28">
        <v>2</v>
      </c>
      <c r="L17" s="28">
        <v>77</v>
      </c>
      <c r="M17" s="28" t="s">
        <v>46</v>
      </c>
      <c r="N17" s="28" t="s">
        <v>25</v>
      </c>
      <c r="O17" s="33">
        <v>412.2</v>
      </c>
      <c r="P17" t="s">
        <v>18</v>
      </c>
    </row>
    <row r="18" spans="1:16" hidden="1" x14ac:dyDescent="0.2">
      <c r="A18" t="s">
        <v>11</v>
      </c>
      <c r="B18" s="25">
        <v>45777</v>
      </c>
      <c r="C18" s="29">
        <v>29</v>
      </c>
      <c r="D18" s="29">
        <v>149</v>
      </c>
      <c r="E18" s="29">
        <v>75</v>
      </c>
      <c r="F18" s="28">
        <v>9.4181000000000008</v>
      </c>
      <c r="G18" s="28">
        <v>0</v>
      </c>
      <c r="H18" s="31" t="s">
        <v>11</v>
      </c>
      <c r="I18" s="31">
        <v>2</v>
      </c>
      <c r="J18" s="28">
        <v>3</v>
      </c>
      <c r="K18" s="28">
        <v>1</v>
      </c>
      <c r="L18" s="28">
        <v>17</v>
      </c>
      <c r="M18" s="28" t="s">
        <v>44</v>
      </c>
      <c r="N18" s="28" t="s">
        <v>21</v>
      </c>
      <c r="O18" s="33">
        <v>519</v>
      </c>
      <c r="P18" t="s">
        <v>18</v>
      </c>
    </row>
    <row r="19" spans="1:16" hidden="1" x14ac:dyDescent="0.2">
      <c r="A19" t="s">
        <v>11</v>
      </c>
      <c r="B19" s="25">
        <v>45777</v>
      </c>
      <c r="C19" s="29">
        <v>29</v>
      </c>
      <c r="D19" s="29">
        <v>152</v>
      </c>
      <c r="E19" s="29">
        <v>75</v>
      </c>
      <c r="F19" s="28">
        <v>9.4181000000000008</v>
      </c>
      <c r="G19" s="28">
        <v>0</v>
      </c>
      <c r="H19" s="31" t="s">
        <v>11</v>
      </c>
      <c r="I19" s="31">
        <v>2</v>
      </c>
      <c r="J19" s="28">
        <v>3</v>
      </c>
      <c r="K19" s="28">
        <v>2</v>
      </c>
      <c r="L19" s="28">
        <v>52</v>
      </c>
      <c r="M19" s="28" t="s">
        <v>45</v>
      </c>
      <c r="N19" s="28" t="s">
        <v>22</v>
      </c>
      <c r="O19" s="33">
        <v>573.6</v>
      </c>
      <c r="P19" t="s">
        <v>18</v>
      </c>
    </row>
    <row r="20" spans="1:16" hidden="1" x14ac:dyDescent="0.2">
      <c r="A20" t="s">
        <v>37</v>
      </c>
      <c r="B20" s="25">
        <v>45771</v>
      </c>
      <c r="C20" s="29">
        <v>29</v>
      </c>
      <c r="D20" s="29">
        <v>37</v>
      </c>
      <c r="E20" s="29">
        <v>19</v>
      </c>
      <c r="F20" s="28">
        <v>39.721400000000003</v>
      </c>
      <c r="G20" s="28">
        <v>3.6700000000000003E-2</v>
      </c>
      <c r="H20" s="31" t="s">
        <v>12</v>
      </c>
      <c r="I20" s="31">
        <v>3</v>
      </c>
      <c r="J20" s="28">
        <v>1</v>
      </c>
      <c r="K20" s="28">
        <v>1</v>
      </c>
      <c r="L20" s="28">
        <v>20</v>
      </c>
      <c r="M20" s="28" t="s">
        <v>44</v>
      </c>
      <c r="N20" s="28" t="s">
        <v>21</v>
      </c>
      <c r="O20" s="33">
        <v>750</v>
      </c>
      <c r="P20" t="s">
        <v>18</v>
      </c>
    </row>
    <row r="21" spans="1:16" hidden="1" x14ac:dyDescent="0.2">
      <c r="A21" t="s">
        <v>37</v>
      </c>
      <c r="B21" s="25">
        <v>45771</v>
      </c>
      <c r="C21" s="29">
        <v>29</v>
      </c>
      <c r="D21" s="29">
        <v>38</v>
      </c>
      <c r="E21" s="29">
        <v>19</v>
      </c>
      <c r="F21" s="28">
        <v>39.721400000000003</v>
      </c>
      <c r="G21" s="28">
        <v>3.6700000000000003E-2</v>
      </c>
      <c r="H21" s="31" t="s">
        <v>12</v>
      </c>
      <c r="I21" s="31">
        <v>3</v>
      </c>
      <c r="J21" s="28">
        <v>1</v>
      </c>
      <c r="K21" s="28">
        <v>2</v>
      </c>
      <c r="L21" s="28">
        <v>74</v>
      </c>
      <c r="M21" s="28" t="s">
        <v>45</v>
      </c>
      <c r="N21" s="28" t="s">
        <v>24</v>
      </c>
      <c r="O21" s="33">
        <v>243</v>
      </c>
      <c r="P21" t="s">
        <v>18</v>
      </c>
    </row>
    <row r="22" spans="1:16" hidden="1" x14ac:dyDescent="0.2">
      <c r="A22" t="s">
        <v>37</v>
      </c>
      <c r="B22" s="25">
        <v>45771</v>
      </c>
      <c r="C22" s="29">
        <v>29</v>
      </c>
      <c r="D22" s="29">
        <v>41</v>
      </c>
      <c r="E22" s="29">
        <v>21</v>
      </c>
      <c r="F22" s="28">
        <v>70.6357</v>
      </c>
      <c r="G22" s="28">
        <v>6.5299999999999997E-2</v>
      </c>
      <c r="H22" s="31" t="s">
        <v>12</v>
      </c>
      <c r="I22" s="31">
        <v>4</v>
      </c>
      <c r="J22" s="28">
        <v>1</v>
      </c>
      <c r="K22" s="28">
        <v>1</v>
      </c>
      <c r="L22" s="28">
        <v>20</v>
      </c>
      <c r="M22" s="28" t="s">
        <v>43</v>
      </c>
      <c r="N22" s="28" t="s">
        <v>21</v>
      </c>
      <c r="O22" s="33">
        <v>536.6</v>
      </c>
      <c r="P22" t="s">
        <v>18</v>
      </c>
    </row>
    <row r="23" spans="1:16" hidden="1" x14ac:dyDescent="0.2">
      <c r="A23" t="s">
        <v>37</v>
      </c>
      <c r="B23" s="25">
        <v>45771</v>
      </c>
      <c r="C23" s="29">
        <v>29</v>
      </c>
      <c r="D23" s="29">
        <v>42</v>
      </c>
      <c r="E23" s="29">
        <v>21</v>
      </c>
      <c r="F23" s="28">
        <v>70.6357</v>
      </c>
      <c r="G23" s="28">
        <v>6.5299999999999997E-2</v>
      </c>
      <c r="H23" s="31" t="s">
        <v>12</v>
      </c>
      <c r="I23" s="31">
        <v>4</v>
      </c>
      <c r="J23" s="28">
        <v>1</v>
      </c>
      <c r="K23" s="28">
        <v>2</v>
      </c>
      <c r="L23" s="28">
        <v>74</v>
      </c>
      <c r="M23" s="28" t="s">
        <v>46</v>
      </c>
      <c r="N23" s="28" t="s">
        <v>24</v>
      </c>
      <c r="O23" s="33">
        <v>463.3</v>
      </c>
      <c r="P23" t="s">
        <v>18</v>
      </c>
    </row>
    <row r="24" spans="1:16" hidden="1" x14ac:dyDescent="0.2">
      <c r="A24" t="s">
        <v>37</v>
      </c>
      <c r="B24" s="25">
        <v>45771</v>
      </c>
      <c r="C24" s="29">
        <v>29</v>
      </c>
      <c r="D24" s="29">
        <v>45</v>
      </c>
      <c r="E24" s="29">
        <v>23</v>
      </c>
      <c r="F24" s="28">
        <v>125.6101</v>
      </c>
      <c r="G24" s="28">
        <v>0.11609999999999999</v>
      </c>
      <c r="H24" s="31" t="s">
        <v>12</v>
      </c>
      <c r="I24" s="31">
        <v>5</v>
      </c>
      <c r="J24" s="28">
        <v>1</v>
      </c>
      <c r="K24" s="28">
        <v>1</v>
      </c>
      <c r="L24" s="28">
        <v>79</v>
      </c>
      <c r="M24" s="28" t="s">
        <v>43</v>
      </c>
      <c r="N24" s="28" t="s">
        <v>49</v>
      </c>
      <c r="O24" s="33">
        <v>856.7</v>
      </c>
      <c r="P24" t="s">
        <v>18</v>
      </c>
    </row>
    <row r="25" spans="1:16" x14ac:dyDescent="0.2">
      <c r="A25" t="s">
        <v>37</v>
      </c>
      <c r="B25" s="25">
        <v>45771</v>
      </c>
      <c r="C25" s="29">
        <v>29</v>
      </c>
      <c r="D25" s="29">
        <v>46</v>
      </c>
      <c r="E25" s="29">
        <v>23</v>
      </c>
      <c r="F25" s="28">
        <v>125.6101</v>
      </c>
      <c r="G25" s="28">
        <v>0.11609999999999999</v>
      </c>
      <c r="H25" s="31" t="s">
        <v>12</v>
      </c>
      <c r="I25" s="31">
        <v>5</v>
      </c>
      <c r="J25" s="28">
        <v>1</v>
      </c>
      <c r="K25" s="28">
        <v>2</v>
      </c>
      <c r="L25" s="28">
        <v>65</v>
      </c>
      <c r="M25" s="28" t="s">
        <v>46</v>
      </c>
      <c r="N25" s="28" t="s">
        <v>23</v>
      </c>
      <c r="O25" s="33">
        <v>361.8</v>
      </c>
      <c r="P25" t="s">
        <v>18</v>
      </c>
    </row>
    <row r="26" spans="1:16" hidden="1" x14ac:dyDescent="0.2">
      <c r="A26" t="s">
        <v>37</v>
      </c>
      <c r="B26" s="25">
        <v>45771</v>
      </c>
      <c r="C26" s="29">
        <v>29</v>
      </c>
      <c r="D26" s="29">
        <v>49</v>
      </c>
      <c r="E26" s="29">
        <v>25</v>
      </c>
      <c r="F26" s="28">
        <v>223.3698</v>
      </c>
      <c r="G26" s="28">
        <v>0.2064</v>
      </c>
      <c r="H26" s="31" t="s">
        <v>12</v>
      </c>
      <c r="I26" s="31">
        <v>6</v>
      </c>
      <c r="J26" s="28">
        <v>1</v>
      </c>
      <c r="K26" s="28">
        <v>1</v>
      </c>
      <c r="L26" s="28">
        <v>55</v>
      </c>
      <c r="M26" s="28" t="s">
        <v>44</v>
      </c>
      <c r="N26" s="28" t="s">
        <v>20</v>
      </c>
      <c r="O26" s="33">
        <v>454.9</v>
      </c>
      <c r="P26" t="s">
        <v>18</v>
      </c>
    </row>
    <row r="27" spans="1:16" hidden="1" x14ac:dyDescent="0.2">
      <c r="A27" t="s">
        <v>37</v>
      </c>
      <c r="B27" s="25">
        <v>45771</v>
      </c>
      <c r="C27" s="29">
        <v>29</v>
      </c>
      <c r="D27" s="29">
        <v>50</v>
      </c>
      <c r="E27" s="29">
        <v>25</v>
      </c>
      <c r="F27" s="28">
        <v>223.3698</v>
      </c>
      <c r="G27" s="28">
        <v>0.2064</v>
      </c>
      <c r="H27" s="31" t="s">
        <v>12</v>
      </c>
      <c r="I27" s="31">
        <v>6</v>
      </c>
      <c r="J27" s="28">
        <v>1</v>
      </c>
      <c r="K27" s="28">
        <v>2</v>
      </c>
      <c r="L27" s="28">
        <v>13</v>
      </c>
      <c r="M27" s="28" t="s">
        <v>45</v>
      </c>
      <c r="N27" s="28" t="s">
        <v>21</v>
      </c>
      <c r="O27" s="33">
        <v>584.79999999999995</v>
      </c>
      <c r="P27" t="s">
        <v>18</v>
      </c>
    </row>
    <row r="28" spans="1:16" hidden="1" x14ac:dyDescent="0.2">
      <c r="A28" t="s">
        <v>37</v>
      </c>
      <c r="B28" s="25">
        <v>45771</v>
      </c>
      <c r="C28" s="29">
        <v>29</v>
      </c>
      <c r="D28" s="29">
        <v>53</v>
      </c>
      <c r="E28" s="29">
        <v>27</v>
      </c>
      <c r="F28" s="28">
        <v>397.214</v>
      </c>
      <c r="G28" s="28">
        <v>0.36709999999999998</v>
      </c>
      <c r="H28" s="31" t="s">
        <v>12</v>
      </c>
      <c r="I28" s="31">
        <v>7</v>
      </c>
      <c r="J28" s="28">
        <v>1</v>
      </c>
      <c r="K28" s="28">
        <v>1</v>
      </c>
      <c r="L28" s="28">
        <v>66</v>
      </c>
      <c r="M28" s="28" t="s">
        <v>43</v>
      </c>
      <c r="N28" s="28" t="s">
        <v>23</v>
      </c>
      <c r="O28" s="33">
        <v>519.5</v>
      </c>
      <c r="P28" t="s">
        <v>18</v>
      </c>
    </row>
    <row r="29" spans="1:16" hidden="1" x14ac:dyDescent="0.2">
      <c r="A29" t="s">
        <v>37</v>
      </c>
      <c r="B29" s="25">
        <v>45771</v>
      </c>
      <c r="C29" s="29">
        <v>29</v>
      </c>
      <c r="D29" s="29">
        <v>54</v>
      </c>
      <c r="E29" s="29">
        <v>27</v>
      </c>
      <c r="F29" s="28">
        <v>397.214</v>
      </c>
      <c r="G29" s="28">
        <v>0.36709999999999998</v>
      </c>
      <c r="H29" s="31" t="s">
        <v>12</v>
      </c>
      <c r="I29" s="31">
        <v>7</v>
      </c>
      <c r="J29" s="28">
        <v>1</v>
      </c>
      <c r="K29" s="28">
        <v>2</v>
      </c>
      <c r="L29" s="28">
        <v>46</v>
      </c>
      <c r="M29" s="28" t="s">
        <v>46</v>
      </c>
      <c r="N29" s="28" t="s">
        <v>48</v>
      </c>
      <c r="O29" s="33">
        <v>280.3</v>
      </c>
      <c r="P29" t="s">
        <v>18</v>
      </c>
    </row>
    <row r="30" spans="1:16" hidden="1" x14ac:dyDescent="0.2">
      <c r="A30" t="s">
        <v>37</v>
      </c>
      <c r="B30" s="25">
        <v>45771</v>
      </c>
      <c r="C30" s="29">
        <v>29</v>
      </c>
      <c r="D30" s="29">
        <v>57</v>
      </c>
      <c r="E30" s="29">
        <v>29</v>
      </c>
      <c r="F30" s="28">
        <v>0.47089999999999999</v>
      </c>
      <c r="G30" s="28">
        <v>1.2999999999999999E-3</v>
      </c>
      <c r="H30" s="31" t="s">
        <v>13</v>
      </c>
      <c r="I30" s="31">
        <v>1</v>
      </c>
      <c r="J30" s="28">
        <v>1</v>
      </c>
      <c r="K30" s="28">
        <v>1</v>
      </c>
      <c r="L30" s="28">
        <v>80</v>
      </c>
      <c r="M30" s="28" t="s">
        <v>44</v>
      </c>
      <c r="N30" s="28" t="s">
        <v>50</v>
      </c>
      <c r="O30" s="33">
        <v>545.20000000000005</v>
      </c>
      <c r="P30" t="s">
        <v>18</v>
      </c>
    </row>
    <row r="31" spans="1:16" hidden="1" x14ac:dyDescent="0.2">
      <c r="A31" t="s">
        <v>37</v>
      </c>
      <c r="B31" s="25">
        <v>45771</v>
      </c>
      <c r="C31" s="29">
        <v>29</v>
      </c>
      <c r="D31" s="29">
        <v>58</v>
      </c>
      <c r="E31" s="29">
        <v>29</v>
      </c>
      <c r="F31" s="28">
        <v>0.47089999999999999</v>
      </c>
      <c r="G31" s="28">
        <v>1.2999999999999999E-3</v>
      </c>
      <c r="H31" s="31" t="s">
        <v>13</v>
      </c>
      <c r="I31" s="31">
        <v>1</v>
      </c>
      <c r="J31" s="28">
        <v>1</v>
      </c>
      <c r="K31" s="28">
        <v>2</v>
      </c>
      <c r="L31" s="28">
        <v>9</v>
      </c>
      <c r="M31" s="28" t="s">
        <v>45</v>
      </c>
      <c r="N31" s="28" t="s">
        <v>19</v>
      </c>
      <c r="O31" s="33">
        <v>639.79999999999995</v>
      </c>
      <c r="P31" t="s">
        <v>18</v>
      </c>
    </row>
    <row r="32" spans="1:16" hidden="1" x14ac:dyDescent="0.2">
      <c r="A32" t="s">
        <v>37</v>
      </c>
      <c r="B32" s="25">
        <v>45771</v>
      </c>
      <c r="C32" s="29">
        <v>29</v>
      </c>
      <c r="D32" s="29">
        <v>33</v>
      </c>
      <c r="E32" s="29">
        <v>17</v>
      </c>
      <c r="F32" s="28">
        <v>7.0636000000000001</v>
      </c>
      <c r="G32" s="28">
        <v>6.4999999999999997E-3</v>
      </c>
      <c r="H32" s="31" t="s">
        <v>12</v>
      </c>
      <c r="I32" s="31">
        <v>2</v>
      </c>
      <c r="J32" s="28">
        <v>1</v>
      </c>
      <c r="K32" s="28">
        <v>1</v>
      </c>
      <c r="L32" s="28">
        <v>29</v>
      </c>
      <c r="M32" s="28" t="s">
        <v>43</v>
      </c>
      <c r="N32" s="28" t="s">
        <v>32</v>
      </c>
      <c r="O32" s="33">
        <v>602</v>
      </c>
      <c r="P32" t="s">
        <v>18</v>
      </c>
    </row>
    <row r="33" spans="1:16" hidden="1" x14ac:dyDescent="0.2">
      <c r="A33" t="s">
        <v>37</v>
      </c>
      <c r="B33" s="25">
        <v>45771</v>
      </c>
      <c r="C33" s="29">
        <v>29</v>
      </c>
      <c r="D33" s="29">
        <v>34</v>
      </c>
      <c r="E33" s="29">
        <v>17</v>
      </c>
      <c r="F33" s="28">
        <v>7.0636000000000001</v>
      </c>
      <c r="G33" s="28">
        <v>6.4999999999999997E-3</v>
      </c>
      <c r="H33" s="31" t="s">
        <v>12</v>
      </c>
      <c r="I33" s="31">
        <v>2</v>
      </c>
      <c r="J33" s="28">
        <v>1</v>
      </c>
      <c r="K33" s="28">
        <v>2</v>
      </c>
      <c r="L33" s="28">
        <v>29</v>
      </c>
      <c r="M33" s="28" t="s">
        <v>46</v>
      </c>
      <c r="N33" s="28" t="s">
        <v>32</v>
      </c>
      <c r="O33" s="33">
        <v>577.6</v>
      </c>
      <c r="P33" t="s">
        <v>18</v>
      </c>
    </row>
    <row r="34" spans="1:16" hidden="1" x14ac:dyDescent="0.2">
      <c r="A34" t="s">
        <v>37</v>
      </c>
      <c r="B34" s="25">
        <v>45771</v>
      </c>
      <c r="C34" s="29">
        <v>29</v>
      </c>
      <c r="D34" s="29">
        <v>65</v>
      </c>
      <c r="E34" s="29">
        <v>33</v>
      </c>
      <c r="F34" s="28">
        <v>26.480899999999998</v>
      </c>
      <c r="G34" s="28">
        <v>7.3400000000000007E-2</v>
      </c>
      <c r="H34" s="31" t="s">
        <v>13</v>
      </c>
      <c r="I34" s="31">
        <v>3</v>
      </c>
      <c r="J34" s="28">
        <v>1</v>
      </c>
      <c r="K34" s="28">
        <v>1</v>
      </c>
      <c r="L34" s="28">
        <v>78</v>
      </c>
      <c r="M34" s="28" t="s">
        <v>43</v>
      </c>
      <c r="N34" s="28" t="s">
        <v>25</v>
      </c>
      <c r="O34" s="33">
        <v>496.9</v>
      </c>
      <c r="P34" t="s">
        <v>18</v>
      </c>
    </row>
    <row r="35" spans="1:16" hidden="1" x14ac:dyDescent="0.2">
      <c r="A35" t="s">
        <v>37</v>
      </c>
      <c r="B35" s="25">
        <v>45771</v>
      </c>
      <c r="C35" s="29">
        <v>29</v>
      </c>
      <c r="D35" s="29">
        <v>66</v>
      </c>
      <c r="E35" s="29">
        <v>33</v>
      </c>
      <c r="F35" s="28">
        <v>26.480899999999998</v>
      </c>
      <c r="G35" s="28">
        <v>7.3400000000000007E-2</v>
      </c>
      <c r="H35" s="31" t="s">
        <v>13</v>
      </c>
      <c r="I35" s="31">
        <v>3</v>
      </c>
      <c r="J35" s="28">
        <v>1</v>
      </c>
      <c r="K35" s="28">
        <v>2</v>
      </c>
      <c r="L35" s="28">
        <v>18</v>
      </c>
      <c r="M35" s="28" t="s">
        <v>46</v>
      </c>
      <c r="N35" s="28" t="s">
        <v>21</v>
      </c>
      <c r="O35" s="33">
        <v>548.70000000000005</v>
      </c>
      <c r="P35" t="s">
        <v>18</v>
      </c>
    </row>
    <row r="36" spans="1:16" hidden="1" x14ac:dyDescent="0.2">
      <c r="A36" t="s">
        <v>37</v>
      </c>
      <c r="B36" s="25">
        <v>45771</v>
      </c>
      <c r="C36" s="29">
        <v>29</v>
      </c>
      <c r="D36" s="29">
        <v>69</v>
      </c>
      <c r="E36" s="29">
        <v>35</v>
      </c>
      <c r="F36" s="28">
        <v>47.090499999999999</v>
      </c>
      <c r="G36" s="28">
        <v>0.1305</v>
      </c>
      <c r="H36" s="31" t="s">
        <v>13</v>
      </c>
      <c r="I36" s="31">
        <v>4</v>
      </c>
      <c r="J36" s="28">
        <v>1</v>
      </c>
      <c r="K36" s="28">
        <v>1</v>
      </c>
      <c r="L36" s="28">
        <v>65</v>
      </c>
      <c r="M36" s="28" t="s">
        <v>44</v>
      </c>
      <c r="N36" s="28" t="s">
        <v>23</v>
      </c>
      <c r="O36" s="33">
        <v>410.5</v>
      </c>
      <c r="P36" t="s">
        <v>18</v>
      </c>
    </row>
    <row r="37" spans="1:16" hidden="1" x14ac:dyDescent="0.2">
      <c r="A37" t="s">
        <v>37</v>
      </c>
      <c r="B37" s="25">
        <v>45771</v>
      </c>
      <c r="C37" s="29">
        <v>29</v>
      </c>
      <c r="D37" s="29">
        <v>70</v>
      </c>
      <c r="E37" s="29">
        <v>35</v>
      </c>
      <c r="F37" s="28">
        <v>47.090499999999999</v>
      </c>
      <c r="G37" s="28">
        <v>0.1305</v>
      </c>
      <c r="H37" s="31" t="s">
        <v>13</v>
      </c>
      <c r="I37" s="31">
        <v>4</v>
      </c>
      <c r="J37" s="28">
        <v>1</v>
      </c>
      <c r="K37" s="28">
        <v>2</v>
      </c>
      <c r="L37" s="28">
        <v>78</v>
      </c>
      <c r="M37" s="28" t="s">
        <v>45</v>
      </c>
      <c r="N37" s="28" t="s">
        <v>25</v>
      </c>
      <c r="O37" s="33">
        <v>467.9</v>
      </c>
      <c r="P37" t="s">
        <v>18</v>
      </c>
    </row>
    <row r="38" spans="1:16" hidden="1" x14ac:dyDescent="0.2">
      <c r="A38" t="s">
        <v>37</v>
      </c>
      <c r="B38" s="25">
        <v>45771</v>
      </c>
      <c r="C38" s="29">
        <v>29</v>
      </c>
      <c r="D38" s="29">
        <v>73</v>
      </c>
      <c r="E38" s="29">
        <v>37</v>
      </c>
      <c r="F38" s="28">
        <v>83.740099999999998</v>
      </c>
      <c r="G38" s="28">
        <v>0.2321</v>
      </c>
      <c r="H38" s="31" t="s">
        <v>13</v>
      </c>
      <c r="I38" s="31">
        <v>5</v>
      </c>
      <c r="J38" s="28">
        <v>1</v>
      </c>
      <c r="K38" s="28">
        <v>1</v>
      </c>
      <c r="L38" s="28">
        <v>13</v>
      </c>
      <c r="M38" s="28" t="s">
        <v>43</v>
      </c>
      <c r="N38" s="28" t="s">
        <v>21</v>
      </c>
      <c r="O38" s="33">
        <v>466.1</v>
      </c>
      <c r="P38" t="s">
        <v>18</v>
      </c>
    </row>
    <row r="39" spans="1:16" x14ac:dyDescent="0.2">
      <c r="A39" t="s">
        <v>37</v>
      </c>
      <c r="B39" s="25">
        <v>45771</v>
      </c>
      <c r="C39" s="29">
        <v>29</v>
      </c>
      <c r="D39" s="29">
        <v>74</v>
      </c>
      <c r="E39" s="29">
        <v>37</v>
      </c>
      <c r="F39" s="28">
        <v>83.740099999999998</v>
      </c>
      <c r="G39" s="28">
        <v>0.2321</v>
      </c>
      <c r="H39" s="31" t="s">
        <v>13</v>
      </c>
      <c r="I39" s="31">
        <v>5</v>
      </c>
      <c r="J39" s="28">
        <v>1</v>
      </c>
      <c r="K39" s="28">
        <v>2</v>
      </c>
      <c r="L39" s="28">
        <v>1</v>
      </c>
      <c r="M39" s="28" t="s">
        <v>46</v>
      </c>
      <c r="N39" s="28" t="s">
        <v>19</v>
      </c>
      <c r="O39" s="33">
        <v>498.3</v>
      </c>
      <c r="P39" t="s">
        <v>18</v>
      </c>
    </row>
    <row r="40" spans="1:16" hidden="1" x14ac:dyDescent="0.2">
      <c r="A40" t="s">
        <v>37</v>
      </c>
      <c r="B40" s="25">
        <v>45771</v>
      </c>
      <c r="C40" s="29">
        <v>29</v>
      </c>
      <c r="D40" s="29">
        <v>77</v>
      </c>
      <c r="E40" s="29">
        <v>39</v>
      </c>
      <c r="F40" s="28">
        <v>148.91319999999999</v>
      </c>
      <c r="G40" s="28">
        <v>0.4128</v>
      </c>
      <c r="H40" s="31" t="s">
        <v>13</v>
      </c>
      <c r="I40" s="31">
        <v>6</v>
      </c>
      <c r="J40" s="28">
        <v>1</v>
      </c>
      <c r="K40" s="28">
        <v>1</v>
      </c>
      <c r="L40" s="28">
        <v>9</v>
      </c>
      <c r="M40" s="28" t="s">
        <v>44</v>
      </c>
      <c r="N40" s="28" t="s">
        <v>19</v>
      </c>
      <c r="O40" s="33">
        <v>841.3</v>
      </c>
      <c r="P40" t="s">
        <v>18</v>
      </c>
    </row>
    <row r="41" spans="1:16" hidden="1" x14ac:dyDescent="0.2">
      <c r="A41" t="s">
        <v>37</v>
      </c>
      <c r="B41" s="25">
        <v>45771</v>
      </c>
      <c r="C41" s="29">
        <v>29</v>
      </c>
      <c r="D41" s="29">
        <v>78</v>
      </c>
      <c r="E41" s="29">
        <v>39</v>
      </c>
      <c r="F41" s="28">
        <v>148.91319999999999</v>
      </c>
      <c r="G41" s="28">
        <v>0.4128</v>
      </c>
      <c r="H41" s="31" t="s">
        <v>13</v>
      </c>
      <c r="I41" s="31">
        <v>6</v>
      </c>
      <c r="J41" s="28">
        <v>1</v>
      </c>
      <c r="K41" s="28">
        <v>2</v>
      </c>
      <c r="L41" s="28">
        <v>3</v>
      </c>
      <c r="M41" s="28" t="s">
        <v>45</v>
      </c>
      <c r="N41" s="28" t="s">
        <v>19</v>
      </c>
      <c r="O41" s="33">
        <v>367.4</v>
      </c>
      <c r="P41" t="s">
        <v>18</v>
      </c>
    </row>
    <row r="42" spans="1:16" hidden="1" x14ac:dyDescent="0.2">
      <c r="A42" t="s">
        <v>37</v>
      </c>
      <c r="B42" s="25">
        <v>45771</v>
      </c>
      <c r="C42" s="29">
        <v>29</v>
      </c>
      <c r="D42" s="29">
        <v>81</v>
      </c>
      <c r="E42" s="29">
        <v>41</v>
      </c>
      <c r="F42" s="28">
        <v>264.80930000000001</v>
      </c>
      <c r="G42" s="28">
        <v>0.73409999999999997</v>
      </c>
      <c r="H42" s="31" t="s">
        <v>13</v>
      </c>
      <c r="I42" s="31">
        <v>7</v>
      </c>
      <c r="J42" s="28">
        <v>1</v>
      </c>
      <c r="K42" s="28">
        <v>1</v>
      </c>
      <c r="L42" s="28">
        <v>78</v>
      </c>
      <c r="M42" s="28" t="s">
        <v>44</v>
      </c>
      <c r="N42" s="28" t="s">
        <v>25</v>
      </c>
      <c r="O42" s="33">
        <v>338.4</v>
      </c>
      <c r="P42" t="s">
        <v>18</v>
      </c>
    </row>
    <row r="43" spans="1:16" hidden="1" x14ac:dyDescent="0.2">
      <c r="A43" t="s">
        <v>37</v>
      </c>
      <c r="B43" s="25">
        <v>45771</v>
      </c>
      <c r="C43" s="29">
        <v>29</v>
      </c>
      <c r="D43" s="29">
        <v>82</v>
      </c>
      <c r="E43" s="29">
        <v>41</v>
      </c>
      <c r="F43" s="28">
        <v>264.80930000000001</v>
      </c>
      <c r="G43" s="28">
        <v>0.73409999999999997</v>
      </c>
      <c r="H43" s="31" t="s">
        <v>13</v>
      </c>
      <c r="I43" s="31">
        <v>7</v>
      </c>
      <c r="J43" s="28">
        <v>1</v>
      </c>
      <c r="K43" s="28">
        <v>2</v>
      </c>
      <c r="L43" s="28">
        <v>18</v>
      </c>
      <c r="M43" s="28" t="s">
        <v>45</v>
      </c>
      <c r="N43" s="28" t="s">
        <v>21</v>
      </c>
      <c r="O43" s="33">
        <v>782.2</v>
      </c>
      <c r="P43" t="s">
        <v>18</v>
      </c>
    </row>
    <row r="44" spans="1:16" hidden="1" x14ac:dyDescent="0.2">
      <c r="A44" t="s">
        <v>37</v>
      </c>
      <c r="B44" s="25">
        <v>45771</v>
      </c>
      <c r="C44" s="29">
        <v>29</v>
      </c>
      <c r="D44" s="29">
        <v>85</v>
      </c>
      <c r="E44" s="29">
        <v>43</v>
      </c>
      <c r="F44" s="28">
        <v>0.23549999999999999</v>
      </c>
      <c r="G44" s="28">
        <v>2E-3</v>
      </c>
      <c r="H44" s="31" t="s">
        <v>14</v>
      </c>
      <c r="I44" s="31">
        <v>1</v>
      </c>
      <c r="J44" s="28">
        <v>1</v>
      </c>
      <c r="K44" s="28">
        <v>1</v>
      </c>
      <c r="L44" s="28">
        <v>1</v>
      </c>
      <c r="M44" s="28" t="s">
        <v>44</v>
      </c>
      <c r="N44" s="28" t="s">
        <v>19</v>
      </c>
      <c r="O44" s="33">
        <v>793.4</v>
      </c>
      <c r="P44" t="s">
        <v>18</v>
      </c>
    </row>
    <row r="45" spans="1:16" hidden="1" x14ac:dyDescent="0.2">
      <c r="A45" t="s">
        <v>37</v>
      </c>
      <c r="B45" s="25">
        <v>45771</v>
      </c>
      <c r="C45" s="29">
        <v>29</v>
      </c>
      <c r="D45" s="29">
        <v>86</v>
      </c>
      <c r="E45" s="29">
        <v>43</v>
      </c>
      <c r="F45" s="28">
        <v>0.23549999999999999</v>
      </c>
      <c r="G45" s="28">
        <v>2E-3</v>
      </c>
      <c r="H45" s="31" t="s">
        <v>14</v>
      </c>
      <c r="I45" s="31">
        <v>1</v>
      </c>
      <c r="J45" s="28">
        <v>1</v>
      </c>
      <c r="K45" s="28">
        <v>2</v>
      </c>
      <c r="L45" s="28">
        <v>21</v>
      </c>
      <c r="M45" s="28" t="s">
        <v>45</v>
      </c>
      <c r="N45" s="28" t="s">
        <v>32</v>
      </c>
      <c r="O45" s="33">
        <v>566.6</v>
      </c>
      <c r="P45" t="s">
        <v>18</v>
      </c>
    </row>
    <row r="46" spans="1:16" hidden="1" x14ac:dyDescent="0.2">
      <c r="A46" t="s">
        <v>11</v>
      </c>
      <c r="B46" s="25">
        <v>45777</v>
      </c>
      <c r="C46" s="29">
        <v>29</v>
      </c>
      <c r="D46" s="29">
        <v>179</v>
      </c>
      <c r="E46" s="29">
        <v>89</v>
      </c>
      <c r="F46" s="28">
        <v>7.0636000000000001</v>
      </c>
      <c r="G46" s="28">
        <v>6.4999999999999997E-3</v>
      </c>
      <c r="H46" s="31" t="s">
        <v>12</v>
      </c>
      <c r="I46" s="31">
        <v>2</v>
      </c>
      <c r="J46" s="28">
        <v>3</v>
      </c>
      <c r="K46" s="28">
        <v>1</v>
      </c>
      <c r="L46" s="28">
        <v>35</v>
      </c>
      <c r="M46" s="28" t="s">
        <v>43</v>
      </c>
      <c r="N46" s="28" t="s">
        <v>47</v>
      </c>
      <c r="O46" s="33">
        <v>849.7</v>
      </c>
      <c r="P46" t="s">
        <v>18</v>
      </c>
    </row>
    <row r="47" spans="1:16" hidden="1" x14ac:dyDescent="0.2">
      <c r="A47" t="s">
        <v>11</v>
      </c>
      <c r="B47" s="25">
        <v>45777</v>
      </c>
      <c r="C47" s="29">
        <v>29</v>
      </c>
      <c r="D47" s="29">
        <v>178</v>
      </c>
      <c r="E47" s="29">
        <v>89</v>
      </c>
      <c r="F47" s="28">
        <v>7.0636000000000001</v>
      </c>
      <c r="G47" s="28">
        <v>6.4999999999999997E-3</v>
      </c>
      <c r="H47" s="31" t="s">
        <v>12</v>
      </c>
      <c r="I47" s="31">
        <v>2</v>
      </c>
      <c r="J47" s="28">
        <v>3</v>
      </c>
      <c r="K47" s="28">
        <v>2</v>
      </c>
      <c r="L47" s="28">
        <v>17</v>
      </c>
      <c r="M47" s="28" t="s">
        <v>46</v>
      </c>
      <c r="N47" s="28" t="s">
        <v>21</v>
      </c>
      <c r="O47" s="33">
        <v>600.79999999999995</v>
      </c>
      <c r="P47" t="s">
        <v>18</v>
      </c>
    </row>
    <row r="48" spans="1:16" hidden="1" x14ac:dyDescent="0.2">
      <c r="A48" t="s">
        <v>37</v>
      </c>
      <c r="B48" s="25">
        <v>45771</v>
      </c>
      <c r="C48" s="29">
        <v>29</v>
      </c>
      <c r="D48" s="29">
        <v>93</v>
      </c>
      <c r="E48" s="29">
        <v>47</v>
      </c>
      <c r="F48" s="28">
        <v>13.240500000000001</v>
      </c>
      <c r="G48" s="28">
        <v>0.1101</v>
      </c>
      <c r="H48" s="31" t="s">
        <v>14</v>
      </c>
      <c r="I48" s="31">
        <v>3</v>
      </c>
      <c r="J48" s="28">
        <v>1</v>
      </c>
      <c r="K48" s="28">
        <v>1</v>
      </c>
      <c r="L48" s="28">
        <v>31</v>
      </c>
      <c r="M48" s="28" t="s">
        <v>44</v>
      </c>
      <c r="N48" s="28" t="s">
        <v>47</v>
      </c>
      <c r="O48" s="33">
        <v>541.70000000000005</v>
      </c>
      <c r="P48" t="s">
        <v>18</v>
      </c>
    </row>
    <row r="49" spans="1:16" hidden="1" x14ac:dyDescent="0.2">
      <c r="A49" t="s">
        <v>37</v>
      </c>
      <c r="B49" s="25">
        <v>45771</v>
      </c>
      <c r="C49" s="29">
        <v>29</v>
      </c>
      <c r="D49" s="29">
        <v>94</v>
      </c>
      <c r="E49" s="29">
        <v>47</v>
      </c>
      <c r="F49" s="28">
        <v>13.240500000000001</v>
      </c>
      <c r="G49" s="28">
        <v>0.1101</v>
      </c>
      <c r="H49" s="31" t="s">
        <v>14</v>
      </c>
      <c r="I49" s="31">
        <v>3</v>
      </c>
      <c r="J49" s="28">
        <v>1</v>
      </c>
      <c r="K49" s="28">
        <v>2</v>
      </c>
      <c r="L49" s="28">
        <v>20</v>
      </c>
      <c r="M49" s="28" t="s">
        <v>45</v>
      </c>
      <c r="N49" s="28" t="s">
        <v>21</v>
      </c>
      <c r="O49" s="33">
        <v>531.79999999999995</v>
      </c>
      <c r="P49" t="s">
        <v>18</v>
      </c>
    </row>
    <row r="50" spans="1:16" hidden="1" x14ac:dyDescent="0.2">
      <c r="A50" t="s">
        <v>37</v>
      </c>
      <c r="B50" s="25">
        <v>45771</v>
      </c>
      <c r="C50" s="29">
        <v>29</v>
      </c>
      <c r="D50" s="29">
        <v>97</v>
      </c>
      <c r="E50" s="29">
        <v>49</v>
      </c>
      <c r="F50" s="28">
        <v>23.545200000000001</v>
      </c>
      <c r="G50" s="28">
        <v>0.1958</v>
      </c>
      <c r="H50" s="31" t="s">
        <v>14</v>
      </c>
      <c r="I50" s="31">
        <v>4</v>
      </c>
      <c r="J50" s="28">
        <v>1</v>
      </c>
      <c r="K50" s="28">
        <v>1</v>
      </c>
      <c r="L50" s="28">
        <v>14</v>
      </c>
      <c r="M50" s="28" t="s">
        <v>43</v>
      </c>
      <c r="N50" s="28" t="s">
        <v>21</v>
      </c>
      <c r="O50" s="33">
        <v>532.6</v>
      </c>
      <c r="P50" t="s">
        <v>18</v>
      </c>
    </row>
    <row r="51" spans="1:16" hidden="1" x14ac:dyDescent="0.2">
      <c r="A51" t="s">
        <v>37</v>
      </c>
      <c r="B51" s="25">
        <v>45771</v>
      </c>
      <c r="C51" s="29">
        <v>29</v>
      </c>
      <c r="D51" s="29">
        <v>98</v>
      </c>
      <c r="E51" s="29">
        <v>49</v>
      </c>
      <c r="F51" s="28">
        <v>23.545200000000001</v>
      </c>
      <c r="G51" s="28">
        <v>0.1958</v>
      </c>
      <c r="H51" s="31" t="s">
        <v>14</v>
      </c>
      <c r="I51" s="31">
        <v>4</v>
      </c>
      <c r="J51" s="28">
        <v>1</v>
      </c>
      <c r="K51" s="28">
        <v>2</v>
      </c>
      <c r="L51" s="28">
        <v>10</v>
      </c>
      <c r="M51" s="28" t="s">
        <v>46</v>
      </c>
      <c r="N51" s="28" t="s">
        <v>19</v>
      </c>
      <c r="O51" s="33">
        <v>943.6</v>
      </c>
      <c r="P51" t="s">
        <v>18</v>
      </c>
    </row>
    <row r="52" spans="1:16" hidden="1" x14ac:dyDescent="0.2">
      <c r="A52" t="s">
        <v>37</v>
      </c>
      <c r="B52" s="25">
        <v>45771</v>
      </c>
      <c r="C52" s="29">
        <v>29</v>
      </c>
      <c r="D52" s="29">
        <v>101</v>
      </c>
      <c r="E52" s="29">
        <v>51</v>
      </c>
      <c r="F52" s="28">
        <v>41.87</v>
      </c>
      <c r="G52" s="28">
        <v>0.34820000000000001</v>
      </c>
      <c r="H52" s="31" t="s">
        <v>14</v>
      </c>
      <c r="I52" s="31">
        <v>5</v>
      </c>
      <c r="J52" s="28">
        <v>1</v>
      </c>
      <c r="K52" s="28">
        <v>1</v>
      </c>
      <c r="L52" s="28">
        <v>34</v>
      </c>
      <c r="M52" s="28" t="s">
        <v>44</v>
      </c>
      <c r="N52" s="28" t="s">
        <v>47</v>
      </c>
      <c r="O52" s="33">
        <v>566.20000000000005</v>
      </c>
      <c r="P52" t="s">
        <v>18</v>
      </c>
    </row>
    <row r="53" spans="1:16" x14ac:dyDescent="0.2">
      <c r="A53" t="s">
        <v>37</v>
      </c>
      <c r="B53" s="25">
        <v>45771</v>
      </c>
      <c r="C53" s="29">
        <v>29</v>
      </c>
      <c r="D53" s="29">
        <v>102</v>
      </c>
      <c r="E53" s="29">
        <v>51</v>
      </c>
      <c r="F53" s="28">
        <v>41.87</v>
      </c>
      <c r="G53" s="28">
        <v>0.34820000000000001</v>
      </c>
      <c r="H53" s="31" t="s">
        <v>14</v>
      </c>
      <c r="I53" s="31">
        <v>5</v>
      </c>
      <c r="J53" s="28">
        <v>1</v>
      </c>
      <c r="K53" s="28">
        <v>2</v>
      </c>
      <c r="L53" s="28">
        <v>23</v>
      </c>
      <c r="M53" s="28" t="s">
        <v>45</v>
      </c>
      <c r="N53" s="28" t="s">
        <v>32</v>
      </c>
      <c r="O53" s="33">
        <v>636.1</v>
      </c>
      <c r="P53" t="s">
        <v>18</v>
      </c>
    </row>
    <row r="54" spans="1:16" hidden="1" x14ac:dyDescent="0.2">
      <c r="A54" t="s">
        <v>37</v>
      </c>
      <c r="B54" s="25">
        <v>45771</v>
      </c>
      <c r="C54" s="29">
        <v>29</v>
      </c>
      <c r="D54" s="29">
        <v>105</v>
      </c>
      <c r="E54" s="29">
        <v>53</v>
      </c>
      <c r="F54" s="28">
        <v>74.456599999999995</v>
      </c>
      <c r="G54" s="28">
        <v>0.61919999999999997</v>
      </c>
      <c r="H54" s="31" t="s">
        <v>14</v>
      </c>
      <c r="I54" s="31">
        <v>6</v>
      </c>
      <c r="J54" s="28">
        <v>1</v>
      </c>
      <c r="K54" s="28">
        <v>1</v>
      </c>
      <c r="L54" s="28">
        <v>74</v>
      </c>
      <c r="M54" s="28" t="s">
        <v>44</v>
      </c>
      <c r="N54" s="28" t="s">
        <v>24</v>
      </c>
      <c r="O54" s="33">
        <v>195.9</v>
      </c>
      <c r="P54" t="s">
        <v>18</v>
      </c>
    </row>
    <row r="55" spans="1:16" hidden="1" x14ac:dyDescent="0.2">
      <c r="A55" t="s">
        <v>37</v>
      </c>
      <c r="B55" s="25">
        <v>45771</v>
      </c>
      <c r="C55" s="29">
        <v>29</v>
      </c>
      <c r="D55" s="29">
        <v>106</v>
      </c>
      <c r="E55" s="29">
        <v>53</v>
      </c>
      <c r="F55" s="28">
        <v>74.456599999999995</v>
      </c>
      <c r="G55" s="28">
        <v>0.61919999999999997</v>
      </c>
      <c r="H55" s="31" t="s">
        <v>14</v>
      </c>
      <c r="I55" s="31">
        <v>6</v>
      </c>
      <c r="J55" s="28">
        <v>1</v>
      </c>
      <c r="K55" s="28">
        <v>2</v>
      </c>
      <c r="L55" s="28">
        <v>69</v>
      </c>
      <c r="M55" s="28" t="s">
        <v>45</v>
      </c>
      <c r="N55" s="28" t="s">
        <v>19</v>
      </c>
      <c r="O55" s="33">
        <v>242.5</v>
      </c>
      <c r="P55" t="s">
        <v>18</v>
      </c>
    </row>
    <row r="56" spans="1:16" hidden="1" x14ac:dyDescent="0.2">
      <c r="A56" t="s">
        <v>37</v>
      </c>
      <c r="B56" s="25">
        <v>45771</v>
      </c>
      <c r="C56" s="29">
        <v>29</v>
      </c>
      <c r="D56" s="29">
        <v>109</v>
      </c>
      <c r="E56" s="29">
        <v>55</v>
      </c>
      <c r="F56" s="28">
        <v>132.40469999999999</v>
      </c>
      <c r="G56" s="28">
        <v>1.1012</v>
      </c>
      <c r="H56" s="31" t="s">
        <v>14</v>
      </c>
      <c r="I56" s="31">
        <v>7</v>
      </c>
      <c r="J56" s="28">
        <v>1</v>
      </c>
      <c r="K56" s="28">
        <v>1</v>
      </c>
      <c r="L56" s="28">
        <v>39</v>
      </c>
      <c r="M56" s="28" t="s">
        <v>44</v>
      </c>
      <c r="N56" s="28" t="s">
        <v>47</v>
      </c>
      <c r="O56" s="33">
        <v>579.1</v>
      </c>
      <c r="P56" t="s">
        <v>18</v>
      </c>
    </row>
    <row r="57" spans="1:16" hidden="1" x14ac:dyDescent="0.2">
      <c r="A57" t="s">
        <v>37</v>
      </c>
      <c r="B57" s="25">
        <v>45771</v>
      </c>
      <c r="C57" s="29">
        <v>29</v>
      </c>
      <c r="D57" s="29">
        <v>110</v>
      </c>
      <c r="E57" s="29">
        <v>55</v>
      </c>
      <c r="F57" s="28">
        <v>132.40469999999999</v>
      </c>
      <c r="G57" s="28">
        <v>1.1012</v>
      </c>
      <c r="H57" s="31" t="s">
        <v>14</v>
      </c>
      <c r="I57" s="31">
        <v>7</v>
      </c>
      <c r="J57" s="28">
        <v>1</v>
      </c>
      <c r="K57" s="28">
        <v>2</v>
      </c>
      <c r="L57" s="28">
        <v>31</v>
      </c>
      <c r="M57" s="28" t="s">
        <v>45</v>
      </c>
      <c r="N57" s="28" t="s">
        <v>47</v>
      </c>
      <c r="O57" s="33">
        <v>364</v>
      </c>
      <c r="P57" t="s">
        <v>18</v>
      </c>
    </row>
    <row r="58" spans="1:16" hidden="1" x14ac:dyDescent="0.2">
      <c r="A58" t="s">
        <v>37</v>
      </c>
      <c r="B58" s="25">
        <v>45771</v>
      </c>
      <c r="C58" s="29">
        <v>29</v>
      </c>
      <c r="D58" s="29">
        <v>113</v>
      </c>
      <c r="E58" s="29">
        <v>57</v>
      </c>
      <c r="F58" s="28">
        <v>0</v>
      </c>
      <c r="G58" s="28">
        <v>2.5999999999999999E-3</v>
      </c>
      <c r="H58" s="31" t="s">
        <v>15</v>
      </c>
      <c r="I58" s="31">
        <v>1</v>
      </c>
      <c r="J58" s="28">
        <v>1</v>
      </c>
      <c r="K58" s="28">
        <v>1</v>
      </c>
      <c r="L58" s="28">
        <v>32</v>
      </c>
      <c r="M58" s="28" t="s">
        <v>44</v>
      </c>
      <c r="N58" s="28" t="s">
        <v>47</v>
      </c>
      <c r="O58" s="33">
        <v>411.4</v>
      </c>
      <c r="P58" t="s">
        <v>18</v>
      </c>
    </row>
    <row r="59" spans="1:16" hidden="1" x14ac:dyDescent="0.2">
      <c r="A59" t="s">
        <v>37</v>
      </c>
      <c r="B59" s="25">
        <v>45771</v>
      </c>
      <c r="C59" s="29">
        <v>29</v>
      </c>
      <c r="D59" s="29">
        <v>114</v>
      </c>
      <c r="E59" s="29">
        <v>57</v>
      </c>
      <c r="F59" s="28">
        <v>0</v>
      </c>
      <c r="G59" s="28">
        <v>2.5999999999999999E-3</v>
      </c>
      <c r="H59" s="31" t="s">
        <v>15</v>
      </c>
      <c r="I59" s="31">
        <v>1</v>
      </c>
      <c r="J59" s="28">
        <v>1</v>
      </c>
      <c r="K59" s="28">
        <v>2</v>
      </c>
      <c r="L59" s="28">
        <v>61</v>
      </c>
      <c r="M59" s="28" t="s">
        <v>45</v>
      </c>
      <c r="N59" s="28" t="s">
        <v>25</v>
      </c>
      <c r="O59" s="33">
        <v>492</v>
      </c>
      <c r="P59" t="s">
        <v>18</v>
      </c>
    </row>
    <row r="60" spans="1:16" hidden="1" x14ac:dyDescent="0.2">
      <c r="A60" t="s">
        <v>37</v>
      </c>
      <c r="B60" s="25">
        <v>45771</v>
      </c>
      <c r="C60" s="29">
        <v>29</v>
      </c>
      <c r="D60" s="29">
        <v>61</v>
      </c>
      <c r="E60" s="29">
        <v>31</v>
      </c>
      <c r="F60" s="28">
        <v>4.7089999999999996</v>
      </c>
      <c r="G60" s="28">
        <v>1.3100000000000001E-2</v>
      </c>
      <c r="H60" s="31" t="s">
        <v>13</v>
      </c>
      <c r="I60" s="31">
        <v>2</v>
      </c>
      <c r="J60" s="28">
        <v>1</v>
      </c>
      <c r="K60" s="28">
        <v>1</v>
      </c>
      <c r="L60" s="28">
        <v>10</v>
      </c>
      <c r="M60" s="28" t="s">
        <v>43</v>
      </c>
      <c r="N60" s="28" t="s">
        <v>19</v>
      </c>
      <c r="O60" s="33">
        <v>549.6</v>
      </c>
      <c r="P60" t="s">
        <v>18</v>
      </c>
    </row>
    <row r="61" spans="1:16" hidden="1" x14ac:dyDescent="0.2">
      <c r="A61" t="s">
        <v>37</v>
      </c>
      <c r="B61" s="25">
        <v>45771</v>
      </c>
      <c r="C61" s="29">
        <v>29</v>
      </c>
      <c r="D61" s="29">
        <v>62</v>
      </c>
      <c r="E61" s="29">
        <v>31</v>
      </c>
      <c r="F61" s="28">
        <v>4.7089999999999996</v>
      </c>
      <c r="G61" s="28">
        <v>1.3100000000000001E-2</v>
      </c>
      <c r="H61" s="31" t="s">
        <v>13</v>
      </c>
      <c r="I61" s="31">
        <v>2</v>
      </c>
      <c r="J61" s="28">
        <v>1</v>
      </c>
      <c r="K61" s="28">
        <v>2</v>
      </c>
      <c r="L61" s="28">
        <v>55</v>
      </c>
      <c r="M61" s="28" t="s">
        <v>46</v>
      </c>
      <c r="N61" s="28" t="s">
        <v>20</v>
      </c>
      <c r="O61" s="33">
        <v>592.20000000000005</v>
      </c>
      <c r="P61" t="s">
        <v>18</v>
      </c>
    </row>
    <row r="62" spans="1:16" hidden="1" x14ac:dyDescent="0.2">
      <c r="A62" t="s">
        <v>37</v>
      </c>
      <c r="B62" s="25">
        <v>45771</v>
      </c>
      <c r="C62" s="29">
        <v>29</v>
      </c>
      <c r="D62" s="29">
        <v>121</v>
      </c>
      <c r="E62" s="29">
        <v>61</v>
      </c>
      <c r="F62" s="28">
        <v>0</v>
      </c>
      <c r="G62" s="28">
        <v>0.14680000000000001</v>
      </c>
      <c r="H62" s="31" t="s">
        <v>15</v>
      </c>
      <c r="I62" s="31">
        <v>3</v>
      </c>
      <c r="J62" s="28">
        <v>1</v>
      </c>
      <c r="K62" s="28">
        <v>1</v>
      </c>
      <c r="L62" s="28">
        <v>65</v>
      </c>
      <c r="M62" s="28" t="s">
        <v>43</v>
      </c>
      <c r="N62" s="28" t="s">
        <v>23</v>
      </c>
      <c r="O62" s="33">
        <v>467.4</v>
      </c>
      <c r="P62" t="s">
        <v>18</v>
      </c>
    </row>
    <row r="63" spans="1:16" hidden="1" x14ac:dyDescent="0.2">
      <c r="A63" t="s">
        <v>37</v>
      </c>
      <c r="B63" s="25">
        <v>45771</v>
      </c>
      <c r="C63" s="29">
        <v>29</v>
      </c>
      <c r="D63" s="29">
        <v>122</v>
      </c>
      <c r="E63" s="29">
        <v>61</v>
      </c>
      <c r="F63" s="28">
        <v>0</v>
      </c>
      <c r="G63" s="28">
        <v>0.14680000000000001</v>
      </c>
      <c r="H63" s="31" t="s">
        <v>15</v>
      </c>
      <c r="I63" s="31">
        <v>3</v>
      </c>
      <c r="J63" s="28">
        <v>1</v>
      </c>
      <c r="K63" s="28">
        <v>2</v>
      </c>
      <c r="L63" s="28">
        <v>78</v>
      </c>
      <c r="M63" s="28" t="s">
        <v>46</v>
      </c>
      <c r="N63" s="28" t="s">
        <v>25</v>
      </c>
      <c r="O63" s="33">
        <v>520.4</v>
      </c>
      <c r="P63" t="s">
        <v>18</v>
      </c>
    </row>
    <row r="64" spans="1:16" hidden="1" x14ac:dyDescent="0.2">
      <c r="A64" t="s">
        <v>37</v>
      </c>
      <c r="B64" s="25">
        <v>45771</v>
      </c>
      <c r="C64" s="29">
        <v>29</v>
      </c>
      <c r="D64" s="29">
        <v>125</v>
      </c>
      <c r="E64" s="29">
        <v>63</v>
      </c>
      <c r="F64" s="28">
        <v>0</v>
      </c>
      <c r="G64" s="28">
        <v>0.2611</v>
      </c>
      <c r="H64" s="31" t="s">
        <v>15</v>
      </c>
      <c r="I64" s="31">
        <v>4</v>
      </c>
      <c r="J64" s="28">
        <v>1</v>
      </c>
      <c r="K64" s="28">
        <v>1</v>
      </c>
      <c r="L64" s="28">
        <v>46</v>
      </c>
      <c r="M64" s="28" t="s">
        <v>43</v>
      </c>
      <c r="N64" s="28" t="s">
        <v>48</v>
      </c>
      <c r="O64" s="33">
        <v>689.4</v>
      </c>
      <c r="P64" t="s">
        <v>18</v>
      </c>
    </row>
    <row r="65" spans="1:16" hidden="1" x14ac:dyDescent="0.2">
      <c r="A65" t="s">
        <v>37</v>
      </c>
      <c r="B65" s="25">
        <v>45771</v>
      </c>
      <c r="C65" s="29">
        <v>29</v>
      </c>
      <c r="D65" s="29">
        <v>126</v>
      </c>
      <c r="E65" s="29">
        <v>63</v>
      </c>
      <c r="F65" s="28">
        <v>0</v>
      </c>
      <c r="G65" s="28">
        <v>0.2611</v>
      </c>
      <c r="H65" s="31" t="s">
        <v>15</v>
      </c>
      <c r="I65" s="31">
        <v>4</v>
      </c>
      <c r="J65" s="28">
        <v>1</v>
      </c>
      <c r="K65" s="28">
        <v>2</v>
      </c>
      <c r="L65" s="28">
        <v>80</v>
      </c>
      <c r="M65" s="28" t="s">
        <v>46</v>
      </c>
      <c r="N65" s="28" t="s">
        <v>50</v>
      </c>
      <c r="O65" s="33">
        <v>380.7</v>
      </c>
      <c r="P65" t="s">
        <v>18</v>
      </c>
    </row>
    <row r="66" spans="1:16" hidden="1" x14ac:dyDescent="0.2">
      <c r="A66" t="s">
        <v>37</v>
      </c>
      <c r="B66" s="25">
        <v>45771</v>
      </c>
      <c r="C66" s="29">
        <v>29</v>
      </c>
      <c r="D66" s="29">
        <v>129</v>
      </c>
      <c r="E66" s="29">
        <v>65</v>
      </c>
      <c r="F66" s="28">
        <v>0</v>
      </c>
      <c r="G66" s="28">
        <v>0.46429999999999999</v>
      </c>
      <c r="H66" s="31" t="s">
        <v>15</v>
      </c>
      <c r="I66" s="31">
        <v>5</v>
      </c>
      <c r="J66" s="28">
        <v>1</v>
      </c>
      <c r="K66" s="28">
        <v>1</v>
      </c>
      <c r="L66" s="28">
        <v>77</v>
      </c>
      <c r="M66" s="28" t="s">
        <v>44</v>
      </c>
      <c r="N66" s="28" t="s">
        <v>25</v>
      </c>
      <c r="O66" s="33">
        <v>320.5</v>
      </c>
      <c r="P66" t="s">
        <v>18</v>
      </c>
    </row>
    <row r="67" spans="1:16" x14ac:dyDescent="0.2">
      <c r="A67" t="s">
        <v>37</v>
      </c>
      <c r="B67" s="25">
        <v>45771</v>
      </c>
      <c r="C67" s="29">
        <v>29</v>
      </c>
      <c r="D67" s="29">
        <v>130</v>
      </c>
      <c r="E67" s="29">
        <v>65</v>
      </c>
      <c r="F67" s="28">
        <v>0</v>
      </c>
      <c r="G67" s="28">
        <v>0.46429999999999999</v>
      </c>
      <c r="H67" s="31" t="s">
        <v>15</v>
      </c>
      <c r="I67" s="31">
        <v>5</v>
      </c>
      <c r="J67" s="28">
        <v>1</v>
      </c>
      <c r="K67" s="28">
        <v>2</v>
      </c>
      <c r="L67" s="28">
        <v>67</v>
      </c>
      <c r="M67" s="28" t="s">
        <v>45</v>
      </c>
      <c r="N67" s="28" t="s">
        <v>23</v>
      </c>
      <c r="O67" s="33">
        <v>453.2</v>
      </c>
      <c r="P67" t="s">
        <v>18</v>
      </c>
    </row>
    <row r="68" spans="1:16" hidden="1" x14ac:dyDescent="0.2">
      <c r="A68" t="s">
        <v>37</v>
      </c>
      <c r="B68" s="25">
        <v>45771</v>
      </c>
      <c r="C68" s="29">
        <v>29</v>
      </c>
      <c r="D68" s="29">
        <v>133</v>
      </c>
      <c r="E68" s="29">
        <v>67</v>
      </c>
      <c r="F68" s="28">
        <v>0</v>
      </c>
      <c r="G68" s="28">
        <v>0.8256</v>
      </c>
      <c r="H68" s="31" t="s">
        <v>15</v>
      </c>
      <c r="I68" s="31">
        <v>6</v>
      </c>
      <c r="J68" s="28">
        <v>1</v>
      </c>
      <c r="K68" s="28">
        <v>1</v>
      </c>
      <c r="L68" s="28">
        <v>1</v>
      </c>
      <c r="M68" s="28" t="s">
        <v>43</v>
      </c>
      <c r="N68" s="28" t="s">
        <v>19</v>
      </c>
      <c r="O68" s="33">
        <v>351.1</v>
      </c>
      <c r="P68" t="s">
        <v>18</v>
      </c>
    </row>
    <row r="69" spans="1:16" hidden="1" x14ac:dyDescent="0.2">
      <c r="A69" t="s">
        <v>37</v>
      </c>
      <c r="B69" s="25">
        <v>45771</v>
      </c>
      <c r="C69" s="29">
        <v>29</v>
      </c>
      <c r="D69" s="29">
        <v>134</v>
      </c>
      <c r="E69" s="29">
        <v>67</v>
      </c>
      <c r="F69" s="28">
        <v>0</v>
      </c>
      <c r="G69" s="28">
        <v>0.8256</v>
      </c>
      <c r="H69" s="31" t="s">
        <v>15</v>
      </c>
      <c r="I69" s="31">
        <v>6</v>
      </c>
      <c r="J69" s="28">
        <v>1</v>
      </c>
      <c r="K69" s="28">
        <v>2</v>
      </c>
      <c r="L69" s="28">
        <v>21</v>
      </c>
      <c r="M69" s="28" t="s">
        <v>46</v>
      </c>
      <c r="N69" s="28" t="s">
        <v>32</v>
      </c>
      <c r="O69" s="33">
        <v>217.9</v>
      </c>
      <c r="P69" t="s">
        <v>18</v>
      </c>
    </row>
    <row r="70" spans="1:16" hidden="1" x14ac:dyDescent="0.2">
      <c r="A70" t="s">
        <v>37</v>
      </c>
      <c r="B70" s="25">
        <v>45771</v>
      </c>
      <c r="C70" s="29">
        <v>29</v>
      </c>
      <c r="D70" s="29">
        <v>137</v>
      </c>
      <c r="E70" s="29">
        <v>69</v>
      </c>
      <c r="F70" s="28">
        <v>0</v>
      </c>
      <c r="G70" s="28">
        <v>1.4681999999999999</v>
      </c>
      <c r="H70" s="31" t="s">
        <v>15</v>
      </c>
      <c r="I70" s="31">
        <v>7</v>
      </c>
      <c r="J70" s="28">
        <v>1</v>
      </c>
      <c r="K70" s="28">
        <v>1</v>
      </c>
      <c r="L70" s="28">
        <v>44</v>
      </c>
      <c r="M70" s="28" t="s">
        <v>44</v>
      </c>
      <c r="N70" s="28" t="s">
        <v>24</v>
      </c>
      <c r="O70" s="33">
        <v>245.2</v>
      </c>
      <c r="P70" t="s">
        <v>18</v>
      </c>
    </row>
    <row r="71" spans="1:16" hidden="1" x14ac:dyDescent="0.2">
      <c r="A71" t="s">
        <v>37</v>
      </c>
      <c r="B71" s="25">
        <v>45771</v>
      </c>
      <c r="C71" s="29">
        <v>29</v>
      </c>
      <c r="D71" s="29">
        <v>138</v>
      </c>
      <c r="E71" s="29">
        <v>69</v>
      </c>
      <c r="F71" s="28">
        <v>0</v>
      </c>
      <c r="G71" s="28">
        <v>1.4681999999999999</v>
      </c>
      <c r="H71" s="31" t="s">
        <v>15</v>
      </c>
      <c r="I71" s="31">
        <v>7</v>
      </c>
      <c r="J71" s="28">
        <v>1</v>
      </c>
      <c r="K71" s="28">
        <v>2</v>
      </c>
      <c r="L71" s="28">
        <v>32</v>
      </c>
      <c r="M71" s="28" t="s">
        <v>45</v>
      </c>
      <c r="N71" s="28" t="s">
        <v>47</v>
      </c>
      <c r="O71" s="33">
        <v>297.8</v>
      </c>
      <c r="P71" t="s">
        <v>18</v>
      </c>
    </row>
    <row r="72" spans="1:16" hidden="1" x14ac:dyDescent="0.2">
      <c r="A72" t="s">
        <v>11</v>
      </c>
      <c r="B72" s="25">
        <v>45777</v>
      </c>
      <c r="C72" s="29">
        <v>29</v>
      </c>
      <c r="D72" s="29">
        <v>205</v>
      </c>
      <c r="E72" s="29">
        <v>103</v>
      </c>
      <c r="F72" s="28">
        <v>4.7089999999999996</v>
      </c>
      <c r="G72" s="28">
        <v>1.3100000000000001E-2</v>
      </c>
      <c r="H72" s="31" t="s">
        <v>13</v>
      </c>
      <c r="I72" s="31">
        <v>2</v>
      </c>
      <c r="J72" s="28">
        <v>3</v>
      </c>
      <c r="K72" s="28">
        <v>1</v>
      </c>
      <c r="L72" s="28">
        <v>33</v>
      </c>
      <c r="M72" s="28" t="s">
        <v>44</v>
      </c>
      <c r="N72" s="28" t="s">
        <v>47</v>
      </c>
      <c r="O72" s="33">
        <v>567.20000000000005</v>
      </c>
      <c r="P72" t="s">
        <v>18</v>
      </c>
    </row>
    <row r="73" spans="1:16" hidden="1" x14ac:dyDescent="0.2">
      <c r="A73" t="s">
        <v>11</v>
      </c>
      <c r="B73" s="25">
        <v>45777</v>
      </c>
      <c r="C73" s="29">
        <v>29</v>
      </c>
      <c r="D73" s="29">
        <v>208</v>
      </c>
      <c r="E73" s="29">
        <v>103</v>
      </c>
      <c r="F73" s="28">
        <v>4.7089999999999996</v>
      </c>
      <c r="G73" s="28">
        <v>1.3100000000000001E-2</v>
      </c>
      <c r="H73" s="31" t="s">
        <v>13</v>
      </c>
      <c r="I73" s="31">
        <v>2</v>
      </c>
      <c r="J73" s="28">
        <v>3</v>
      </c>
      <c r="K73" s="28">
        <v>2</v>
      </c>
      <c r="L73" s="28">
        <v>68</v>
      </c>
      <c r="M73" s="28" t="s">
        <v>45</v>
      </c>
      <c r="N73" s="28" t="s">
        <v>19</v>
      </c>
      <c r="O73" s="33">
        <v>437</v>
      </c>
      <c r="P73" t="s">
        <v>18</v>
      </c>
    </row>
    <row r="74" spans="1:16" hidden="1" x14ac:dyDescent="0.2">
      <c r="A74" t="s">
        <v>11</v>
      </c>
      <c r="B74" s="25">
        <v>45777</v>
      </c>
      <c r="C74" s="29">
        <v>29</v>
      </c>
      <c r="D74" s="29">
        <v>145</v>
      </c>
      <c r="E74" s="29">
        <v>73</v>
      </c>
      <c r="F74" s="28">
        <v>0.94179999999999997</v>
      </c>
      <c r="G74" s="28">
        <v>0</v>
      </c>
      <c r="H74" s="31" t="s">
        <v>11</v>
      </c>
      <c r="I74" s="31">
        <v>1</v>
      </c>
      <c r="J74" s="28">
        <v>3</v>
      </c>
      <c r="K74" s="28">
        <v>1</v>
      </c>
      <c r="L74" s="28">
        <v>54</v>
      </c>
      <c r="M74" s="28" t="s">
        <v>43</v>
      </c>
      <c r="N74" s="28" t="s">
        <v>22</v>
      </c>
      <c r="O74" s="33">
        <v>573.1</v>
      </c>
      <c r="P74" t="s">
        <v>18</v>
      </c>
    </row>
    <row r="75" spans="1:16" hidden="1" x14ac:dyDescent="0.2">
      <c r="A75" t="s">
        <v>11</v>
      </c>
      <c r="B75" s="25">
        <v>45777</v>
      </c>
      <c r="C75" s="29">
        <v>29</v>
      </c>
      <c r="D75" s="29">
        <v>148</v>
      </c>
      <c r="E75" s="29">
        <v>73</v>
      </c>
      <c r="F75" s="28">
        <v>0.94179999999999997</v>
      </c>
      <c r="G75" s="28">
        <v>0</v>
      </c>
      <c r="H75" s="31" t="s">
        <v>11</v>
      </c>
      <c r="I75" s="31">
        <v>1</v>
      </c>
      <c r="J75" s="28">
        <v>3</v>
      </c>
      <c r="K75" s="28">
        <v>2</v>
      </c>
      <c r="L75" s="28">
        <v>71</v>
      </c>
      <c r="M75" s="28" t="s">
        <v>46</v>
      </c>
      <c r="N75" s="28" t="s">
        <v>24</v>
      </c>
      <c r="O75" s="33">
        <v>721.3</v>
      </c>
      <c r="P75" t="s">
        <v>18</v>
      </c>
    </row>
    <row r="76" spans="1:16" hidden="1" x14ac:dyDescent="0.2">
      <c r="A76" t="s">
        <v>37</v>
      </c>
      <c r="B76" s="25">
        <v>45771</v>
      </c>
      <c r="C76" s="29">
        <v>29</v>
      </c>
      <c r="D76" s="29">
        <v>89</v>
      </c>
      <c r="E76" s="29">
        <v>45</v>
      </c>
      <c r="F76" s="28">
        <v>2.3544999999999998</v>
      </c>
      <c r="G76" s="28">
        <v>1.9599999999999999E-2</v>
      </c>
      <c r="H76" s="31" t="s">
        <v>14</v>
      </c>
      <c r="I76" s="31">
        <v>2</v>
      </c>
      <c r="J76" s="28">
        <v>1</v>
      </c>
      <c r="K76" s="28">
        <v>1</v>
      </c>
      <c r="L76" s="28">
        <v>61</v>
      </c>
      <c r="M76" s="28" t="s">
        <v>44</v>
      </c>
      <c r="N76" s="28" t="s">
        <v>25</v>
      </c>
      <c r="O76" s="33">
        <v>497.9</v>
      </c>
      <c r="P76" t="s">
        <v>18</v>
      </c>
    </row>
    <row r="77" spans="1:16" hidden="1" x14ac:dyDescent="0.2">
      <c r="A77" t="s">
        <v>37</v>
      </c>
      <c r="B77" s="25">
        <v>45771</v>
      </c>
      <c r="C77" s="29">
        <v>29</v>
      </c>
      <c r="D77" s="29">
        <v>90</v>
      </c>
      <c r="E77" s="29">
        <v>45</v>
      </c>
      <c r="F77" s="28">
        <v>2.3544999999999998</v>
      </c>
      <c r="G77" s="28">
        <v>1.9599999999999999E-2</v>
      </c>
      <c r="H77" s="31" t="s">
        <v>14</v>
      </c>
      <c r="I77" s="31">
        <v>2</v>
      </c>
      <c r="J77" s="28">
        <v>1</v>
      </c>
      <c r="K77" s="28">
        <v>2</v>
      </c>
      <c r="L77" s="28">
        <v>14</v>
      </c>
      <c r="M77" s="28" t="s">
        <v>45</v>
      </c>
      <c r="N77" s="28" t="s">
        <v>21</v>
      </c>
      <c r="O77" s="33">
        <v>504.9</v>
      </c>
      <c r="P77" t="s">
        <v>18</v>
      </c>
    </row>
    <row r="78" spans="1:16" hidden="1" x14ac:dyDescent="0.2">
      <c r="A78" t="s">
        <v>11</v>
      </c>
      <c r="B78" s="25">
        <v>45777</v>
      </c>
      <c r="C78" s="29">
        <v>29</v>
      </c>
      <c r="D78" s="29">
        <v>155</v>
      </c>
      <c r="E78" s="29">
        <v>77</v>
      </c>
      <c r="F78" s="28">
        <v>52.9619</v>
      </c>
      <c r="G78" s="28">
        <v>0</v>
      </c>
      <c r="H78" s="31" t="s">
        <v>11</v>
      </c>
      <c r="I78" s="31">
        <v>3</v>
      </c>
      <c r="J78" s="28">
        <v>3</v>
      </c>
      <c r="K78" s="28">
        <v>1</v>
      </c>
      <c r="L78" s="28">
        <v>48</v>
      </c>
      <c r="M78" s="28" t="s">
        <v>43</v>
      </c>
      <c r="N78" s="28" t="s">
        <v>48</v>
      </c>
      <c r="O78" s="33">
        <v>577.6</v>
      </c>
      <c r="P78" t="s">
        <v>18</v>
      </c>
    </row>
    <row r="79" spans="1:16" hidden="1" x14ac:dyDescent="0.2">
      <c r="A79" t="s">
        <v>11</v>
      </c>
      <c r="B79" s="25">
        <v>45777</v>
      </c>
      <c r="C79" s="29">
        <v>29</v>
      </c>
      <c r="D79" s="29">
        <v>156</v>
      </c>
      <c r="E79" s="29">
        <v>77</v>
      </c>
      <c r="F79" s="28">
        <v>52.9619</v>
      </c>
      <c r="G79" s="28">
        <v>0</v>
      </c>
      <c r="H79" s="31" t="s">
        <v>11</v>
      </c>
      <c r="I79" s="31">
        <v>3</v>
      </c>
      <c r="J79" s="28">
        <v>3</v>
      </c>
      <c r="K79" s="28">
        <v>2</v>
      </c>
      <c r="L79" s="28">
        <v>70</v>
      </c>
      <c r="M79" s="28" t="s">
        <v>46</v>
      </c>
      <c r="N79" s="28" t="s">
        <v>19</v>
      </c>
      <c r="O79" s="33">
        <v>414.5</v>
      </c>
      <c r="P79" t="s">
        <v>18</v>
      </c>
    </row>
    <row r="80" spans="1:16" hidden="1" x14ac:dyDescent="0.2">
      <c r="A80" t="s">
        <v>11</v>
      </c>
      <c r="B80" s="25">
        <v>45777</v>
      </c>
      <c r="C80" s="29">
        <v>29</v>
      </c>
      <c r="D80" s="29">
        <v>159</v>
      </c>
      <c r="E80" s="29">
        <v>79</v>
      </c>
      <c r="F80" s="28">
        <v>94.180999999999997</v>
      </c>
      <c r="G80" s="28">
        <v>0</v>
      </c>
      <c r="H80" s="31" t="s">
        <v>11</v>
      </c>
      <c r="I80" s="31">
        <v>4</v>
      </c>
      <c r="J80" s="28">
        <v>3</v>
      </c>
      <c r="K80" s="28">
        <v>1</v>
      </c>
      <c r="L80" s="28">
        <v>57</v>
      </c>
      <c r="M80" s="28" t="s">
        <v>44</v>
      </c>
      <c r="N80" s="28" t="s">
        <v>20</v>
      </c>
      <c r="O80" s="33">
        <v>571.9</v>
      </c>
      <c r="P80" t="s">
        <v>18</v>
      </c>
    </row>
    <row r="81" spans="1:16" hidden="1" x14ac:dyDescent="0.2">
      <c r="A81" t="s">
        <v>11</v>
      </c>
      <c r="B81" s="25">
        <v>45777</v>
      </c>
      <c r="C81" s="29">
        <v>29</v>
      </c>
      <c r="D81" s="29">
        <v>160</v>
      </c>
      <c r="E81" s="29">
        <v>79</v>
      </c>
      <c r="F81" s="28">
        <v>94.180999999999997</v>
      </c>
      <c r="G81" s="28">
        <v>0</v>
      </c>
      <c r="H81" s="31" t="s">
        <v>11</v>
      </c>
      <c r="I81" s="31">
        <v>4</v>
      </c>
      <c r="J81" s="28">
        <v>3</v>
      </c>
      <c r="K81" s="28">
        <v>2</v>
      </c>
      <c r="L81" s="28">
        <v>76</v>
      </c>
      <c r="M81" s="28" t="s">
        <v>45</v>
      </c>
      <c r="N81" s="28" t="s">
        <v>25</v>
      </c>
      <c r="O81" s="33">
        <v>568.6</v>
      </c>
      <c r="P81" t="s">
        <v>18</v>
      </c>
    </row>
    <row r="82" spans="1:16" hidden="1" x14ac:dyDescent="0.2">
      <c r="A82" t="s">
        <v>11</v>
      </c>
      <c r="B82" s="25">
        <v>45777</v>
      </c>
      <c r="C82" s="29">
        <v>29</v>
      </c>
      <c r="D82" s="29">
        <v>163</v>
      </c>
      <c r="E82" s="29">
        <v>81</v>
      </c>
      <c r="F82" s="28">
        <v>167.48009999999999</v>
      </c>
      <c r="G82" s="28">
        <v>0</v>
      </c>
      <c r="H82" s="31" t="s">
        <v>11</v>
      </c>
      <c r="I82" s="31">
        <v>5</v>
      </c>
      <c r="J82" s="28">
        <v>3</v>
      </c>
      <c r="K82" s="28">
        <v>1</v>
      </c>
      <c r="L82" s="28">
        <v>49</v>
      </c>
      <c r="M82" s="28" t="s">
        <v>43</v>
      </c>
      <c r="N82" s="28" t="s">
        <v>48</v>
      </c>
      <c r="O82" s="33">
        <v>463.5</v>
      </c>
      <c r="P82" t="s">
        <v>18</v>
      </c>
    </row>
    <row r="83" spans="1:16" x14ac:dyDescent="0.2">
      <c r="A83" t="s">
        <v>11</v>
      </c>
      <c r="B83" s="25">
        <v>45777</v>
      </c>
      <c r="C83" s="29">
        <v>29</v>
      </c>
      <c r="D83" s="29">
        <v>162</v>
      </c>
      <c r="E83" s="29">
        <v>81</v>
      </c>
      <c r="F83" s="28">
        <v>167.48009999999999</v>
      </c>
      <c r="G83" s="28">
        <v>0</v>
      </c>
      <c r="H83" s="31" t="s">
        <v>11</v>
      </c>
      <c r="I83" s="31">
        <v>5</v>
      </c>
      <c r="J83" s="28">
        <v>3</v>
      </c>
      <c r="K83" s="28">
        <v>2</v>
      </c>
      <c r="L83" s="28">
        <v>22</v>
      </c>
      <c r="M83" s="28" t="s">
        <v>46</v>
      </c>
      <c r="N83" s="28" t="s">
        <v>32</v>
      </c>
      <c r="O83" s="33">
        <v>556.1</v>
      </c>
      <c r="P83" t="s">
        <v>18</v>
      </c>
    </row>
    <row r="84" spans="1:16" hidden="1" x14ac:dyDescent="0.2">
      <c r="A84" t="s">
        <v>11</v>
      </c>
      <c r="B84" s="25">
        <v>45777</v>
      </c>
      <c r="C84" s="29">
        <v>29</v>
      </c>
      <c r="D84" s="29">
        <v>168</v>
      </c>
      <c r="E84" s="29">
        <v>83</v>
      </c>
      <c r="F84" s="28">
        <v>297.82639999999998</v>
      </c>
      <c r="G84" s="28">
        <v>0</v>
      </c>
      <c r="H84" s="31" t="s">
        <v>11</v>
      </c>
      <c r="I84" s="31">
        <v>6</v>
      </c>
      <c r="J84" s="28">
        <v>3</v>
      </c>
      <c r="K84" s="28">
        <v>1</v>
      </c>
      <c r="L84" s="28">
        <v>70</v>
      </c>
      <c r="M84" s="28" t="s">
        <v>43</v>
      </c>
      <c r="N84" s="28" t="s">
        <v>19</v>
      </c>
      <c r="O84" s="33">
        <v>568</v>
      </c>
      <c r="P84" t="s">
        <v>18</v>
      </c>
    </row>
    <row r="85" spans="1:16" hidden="1" x14ac:dyDescent="0.2">
      <c r="A85" t="s">
        <v>11</v>
      </c>
      <c r="B85" s="25">
        <v>45777</v>
      </c>
      <c r="C85" s="29">
        <v>29</v>
      </c>
      <c r="D85" s="29">
        <v>167</v>
      </c>
      <c r="E85" s="29">
        <v>83</v>
      </c>
      <c r="F85" s="28">
        <v>297.82639999999998</v>
      </c>
      <c r="G85" s="28">
        <v>0</v>
      </c>
      <c r="H85" s="31" t="s">
        <v>11</v>
      </c>
      <c r="I85" s="31">
        <v>6</v>
      </c>
      <c r="J85" s="28">
        <v>3</v>
      </c>
      <c r="K85" s="28">
        <v>2</v>
      </c>
      <c r="L85" s="28">
        <v>59</v>
      </c>
      <c r="M85" s="28" t="s">
        <v>46</v>
      </c>
      <c r="N85" s="28" t="s">
        <v>25</v>
      </c>
      <c r="O85" s="33">
        <v>481.3</v>
      </c>
      <c r="P85" t="s">
        <v>18</v>
      </c>
    </row>
    <row r="86" spans="1:16" hidden="1" x14ac:dyDescent="0.2">
      <c r="A86" t="s">
        <v>11</v>
      </c>
      <c r="B86" s="25">
        <v>45777</v>
      </c>
      <c r="C86" s="29">
        <v>29</v>
      </c>
      <c r="D86" s="29">
        <v>172</v>
      </c>
      <c r="E86" s="29">
        <v>85</v>
      </c>
      <c r="F86" s="28">
        <v>529.61860000000001</v>
      </c>
      <c r="G86" s="28">
        <v>0</v>
      </c>
      <c r="H86" s="31" t="s">
        <v>11</v>
      </c>
      <c r="I86" s="31">
        <v>7</v>
      </c>
      <c r="J86" s="28">
        <v>3</v>
      </c>
      <c r="K86" s="28">
        <v>1</v>
      </c>
      <c r="L86" s="28">
        <v>53</v>
      </c>
      <c r="M86" s="28" t="s">
        <v>44</v>
      </c>
      <c r="N86" s="28" t="s">
        <v>22</v>
      </c>
      <c r="O86" s="33">
        <v>445.7</v>
      </c>
      <c r="P86" t="s">
        <v>18</v>
      </c>
    </row>
    <row r="87" spans="1:16" hidden="1" x14ac:dyDescent="0.2">
      <c r="A87" t="s">
        <v>11</v>
      </c>
      <c r="B87" s="25">
        <v>45777</v>
      </c>
      <c r="C87" s="29">
        <v>29</v>
      </c>
      <c r="D87" s="29">
        <v>169</v>
      </c>
      <c r="E87" s="29">
        <v>85</v>
      </c>
      <c r="F87" s="28">
        <v>529.61860000000001</v>
      </c>
      <c r="G87" s="28">
        <v>0</v>
      </c>
      <c r="H87" s="31" t="s">
        <v>11</v>
      </c>
      <c r="I87" s="31">
        <v>7</v>
      </c>
      <c r="J87" s="28">
        <v>3</v>
      </c>
      <c r="K87" s="28">
        <v>2</v>
      </c>
      <c r="L87" s="28">
        <v>8</v>
      </c>
      <c r="M87" s="28" t="s">
        <v>45</v>
      </c>
      <c r="N87" s="28" t="s">
        <v>21</v>
      </c>
      <c r="O87" s="33">
        <v>514.70000000000005</v>
      </c>
      <c r="P87" t="s">
        <v>18</v>
      </c>
    </row>
    <row r="88" spans="1:16" hidden="1" x14ac:dyDescent="0.2">
      <c r="A88" t="s">
        <v>11</v>
      </c>
      <c r="B88" s="25">
        <v>45777</v>
      </c>
      <c r="C88" s="29">
        <v>29</v>
      </c>
      <c r="D88" s="29">
        <v>173</v>
      </c>
      <c r="E88" s="29">
        <v>87</v>
      </c>
      <c r="F88" s="28">
        <v>0.70640000000000003</v>
      </c>
      <c r="G88" s="28">
        <v>6.9999999999999999E-4</v>
      </c>
      <c r="H88" s="31" t="s">
        <v>12</v>
      </c>
      <c r="I88" s="31">
        <v>1</v>
      </c>
      <c r="J88" s="28">
        <v>3</v>
      </c>
      <c r="K88" s="28">
        <v>1</v>
      </c>
      <c r="L88" s="28">
        <v>8</v>
      </c>
      <c r="M88" s="28" t="s">
        <v>43</v>
      </c>
      <c r="N88" s="28" t="s">
        <v>21</v>
      </c>
      <c r="O88" s="33">
        <v>427</v>
      </c>
      <c r="P88" t="s">
        <v>18</v>
      </c>
    </row>
    <row r="89" spans="1:16" hidden="1" x14ac:dyDescent="0.2">
      <c r="A89" t="s">
        <v>11</v>
      </c>
      <c r="B89" s="25">
        <v>45777</v>
      </c>
      <c r="C89" s="29">
        <v>29</v>
      </c>
      <c r="D89" s="29">
        <v>174</v>
      </c>
      <c r="E89" s="29">
        <v>87</v>
      </c>
      <c r="F89" s="28">
        <v>0.70640000000000003</v>
      </c>
      <c r="G89" s="28">
        <v>6.9999999999999999E-4</v>
      </c>
      <c r="H89" s="31" t="s">
        <v>12</v>
      </c>
      <c r="I89" s="31">
        <v>1</v>
      </c>
      <c r="J89" s="28">
        <v>3</v>
      </c>
      <c r="K89" s="28">
        <v>2</v>
      </c>
      <c r="L89" s="28">
        <v>40</v>
      </c>
      <c r="M89" s="28" t="s">
        <v>46</v>
      </c>
      <c r="N89" s="28" t="s">
        <v>47</v>
      </c>
      <c r="O89" s="33">
        <v>534.5</v>
      </c>
      <c r="P89" t="s">
        <v>18</v>
      </c>
    </row>
    <row r="90" spans="1:16" hidden="1" x14ac:dyDescent="0.2">
      <c r="A90" t="s">
        <v>11</v>
      </c>
      <c r="B90" s="25">
        <v>45777</v>
      </c>
      <c r="C90" s="29">
        <v>29</v>
      </c>
      <c r="D90" s="29">
        <v>236</v>
      </c>
      <c r="E90" s="29">
        <v>117</v>
      </c>
      <c r="F90" s="28">
        <v>2.3544999999999998</v>
      </c>
      <c r="G90" s="28">
        <v>1.9599999999999999E-2</v>
      </c>
      <c r="H90" s="31" t="s">
        <v>14</v>
      </c>
      <c r="I90" s="31">
        <v>2</v>
      </c>
      <c r="J90" s="28">
        <v>3</v>
      </c>
      <c r="K90" s="28">
        <v>1</v>
      </c>
      <c r="L90" s="28">
        <v>56</v>
      </c>
      <c r="M90" s="28" t="s">
        <v>43</v>
      </c>
      <c r="N90" s="28" t="s">
        <v>20</v>
      </c>
      <c r="O90" s="33">
        <v>546.29999999999995</v>
      </c>
      <c r="P90" t="s">
        <v>18</v>
      </c>
    </row>
    <row r="91" spans="1:16" hidden="1" x14ac:dyDescent="0.2">
      <c r="A91" t="s">
        <v>11</v>
      </c>
      <c r="B91" s="25">
        <v>45777</v>
      </c>
      <c r="C91" s="29">
        <v>29</v>
      </c>
      <c r="D91" s="29">
        <v>233</v>
      </c>
      <c r="E91" s="29">
        <v>117</v>
      </c>
      <c r="F91" s="28">
        <v>2.3544999999999998</v>
      </c>
      <c r="G91" s="28">
        <v>1.9599999999999999E-2</v>
      </c>
      <c r="H91" s="31" t="s">
        <v>14</v>
      </c>
      <c r="I91" s="31">
        <v>2</v>
      </c>
      <c r="J91" s="28">
        <v>3</v>
      </c>
      <c r="K91" s="28">
        <v>2</v>
      </c>
      <c r="L91" s="28">
        <v>2</v>
      </c>
      <c r="M91" s="28" t="s">
        <v>46</v>
      </c>
      <c r="N91" s="28" t="s">
        <v>19</v>
      </c>
      <c r="O91" s="33">
        <v>471.6</v>
      </c>
      <c r="P91" t="s">
        <v>18</v>
      </c>
    </row>
    <row r="92" spans="1:16" hidden="1" x14ac:dyDescent="0.2">
      <c r="A92" t="s">
        <v>11</v>
      </c>
      <c r="B92" s="25">
        <v>45777</v>
      </c>
      <c r="C92" s="29">
        <v>29</v>
      </c>
      <c r="D92" s="29">
        <v>183</v>
      </c>
      <c r="E92" s="29">
        <v>91</v>
      </c>
      <c r="F92" s="28">
        <v>39.721400000000003</v>
      </c>
      <c r="G92" s="28">
        <v>3.6700000000000003E-2</v>
      </c>
      <c r="H92" s="31" t="s">
        <v>12</v>
      </c>
      <c r="I92" s="31">
        <v>3</v>
      </c>
      <c r="J92" s="28">
        <v>3</v>
      </c>
      <c r="K92" s="28">
        <v>1</v>
      </c>
      <c r="L92" s="28">
        <v>71</v>
      </c>
      <c r="M92" s="28" t="s">
        <v>44</v>
      </c>
      <c r="N92" s="28" t="s">
        <v>24</v>
      </c>
      <c r="O92" s="33">
        <v>989.6</v>
      </c>
      <c r="P92" t="s">
        <v>18</v>
      </c>
    </row>
    <row r="93" spans="1:16" hidden="1" x14ac:dyDescent="0.2">
      <c r="A93" t="s">
        <v>11</v>
      </c>
      <c r="B93" s="25">
        <v>45777</v>
      </c>
      <c r="C93" s="29">
        <v>29</v>
      </c>
      <c r="D93" s="29">
        <v>184</v>
      </c>
      <c r="E93" s="29">
        <v>91</v>
      </c>
      <c r="F93" s="28">
        <v>39.721400000000003</v>
      </c>
      <c r="G93" s="28">
        <v>3.6700000000000003E-2</v>
      </c>
      <c r="H93" s="31" t="s">
        <v>12</v>
      </c>
      <c r="I93" s="31">
        <v>3</v>
      </c>
      <c r="J93" s="28">
        <v>3</v>
      </c>
      <c r="K93" s="28">
        <v>2</v>
      </c>
      <c r="L93" s="28">
        <v>72</v>
      </c>
      <c r="M93" s="28" t="s">
        <v>45</v>
      </c>
      <c r="N93" s="28" t="s">
        <v>24</v>
      </c>
      <c r="O93" s="33">
        <v>561.79999999999995</v>
      </c>
      <c r="P93" t="s">
        <v>18</v>
      </c>
    </row>
    <row r="94" spans="1:16" hidden="1" x14ac:dyDescent="0.2">
      <c r="A94" t="s">
        <v>11</v>
      </c>
      <c r="B94" s="25">
        <v>45777</v>
      </c>
      <c r="C94" s="29">
        <v>29</v>
      </c>
      <c r="D94" s="29">
        <v>186</v>
      </c>
      <c r="E94" s="29">
        <v>93</v>
      </c>
      <c r="F94" s="28">
        <v>70.6357</v>
      </c>
      <c r="G94" s="28">
        <v>6.5299999999999997E-2</v>
      </c>
      <c r="H94" s="31" t="s">
        <v>12</v>
      </c>
      <c r="I94" s="31">
        <v>4</v>
      </c>
      <c r="J94" s="28">
        <v>3</v>
      </c>
      <c r="K94" s="28">
        <v>1</v>
      </c>
      <c r="L94" s="28">
        <v>41</v>
      </c>
      <c r="M94" s="28" t="s">
        <v>43</v>
      </c>
      <c r="N94" s="28" t="s">
        <v>24</v>
      </c>
      <c r="O94" s="33">
        <v>682.6</v>
      </c>
      <c r="P94" t="s">
        <v>18</v>
      </c>
    </row>
    <row r="95" spans="1:16" hidden="1" x14ac:dyDescent="0.2">
      <c r="A95" t="s">
        <v>11</v>
      </c>
      <c r="B95" s="25">
        <v>45777</v>
      </c>
      <c r="C95" s="29">
        <v>29</v>
      </c>
      <c r="D95" s="29">
        <v>187</v>
      </c>
      <c r="E95" s="29">
        <v>93</v>
      </c>
      <c r="F95" s="28">
        <v>70.6357</v>
      </c>
      <c r="G95" s="28">
        <v>6.5299999999999997E-2</v>
      </c>
      <c r="H95" s="31" t="s">
        <v>12</v>
      </c>
      <c r="I95" s="31">
        <v>4</v>
      </c>
      <c r="J95" s="28">
        <v>3</v>
      </c>
      <c r="K95" s="28">
        <v>2</v>
      </c>
      <c r="L95" s="28">
        <v>56</v>
      </c>
      <c r="M95" s="28" t="s">
        <v>46</v>
      </c>
      <c r="N95" s="28" t="s">
        <v>20</v>
      </c>
      <c r="O95" s="33">
        <v>590.79999999999995</v>
      </c>
      <c r="P95" t="s">
        <v>18</v>
      </c>
    </row>
    <row r="96" spans="1:16" hidden="1" x14ac:dyDescent="0.2">
      <c r="A96" t="s">
        <v>11</v>
      </c>
      <c r="B96" s="25">
        <v>45777</v>
      </c>
      <c r="C96" s="29">
        <v>29</v>
      </c>
      <c r="D96" s="29">
        <v>189</v>
      </c>
      <c r="E96" s="29">
        <v>95</v>
      </c>
      <c r="F96" s="28">
        <v>125.6101</v>
      </c>
      <c r="G96" s="28">
        <v>0.11609999999999999</v>
      </c>
      <c r="H96" s="31" t="s">
        <v>12</v>
      </c>
      <c r="I96" s="31">
        <v>5</v>
      </c>
      <c r="J96" s="28">
        <v>3</v>
      </c>
      <c r="K96" s="28">
        <v>1</v>
      </c>
      <c r="L96" s="28">
        <v>19</v>
      </c>
      <c r="M96" s="28" t="s">
        <v>43</v>
      </c>
      <c r="N96" s="28" t="s">
        <v>21</v>
      </c>
      <c r="O96" s="33">
        <v>821.3</v>
      </c>
      <c r="P96" t="s">
        <v>18</v>
      </c>
    </row>
    <row r="97" spans="1:16" x14ac:dyDescent="0.2">
      <c r="A97" t="s">
        <v>11</v>
      </c>
      <c r="B97" s="25">
        <v>45777</v>
      </c>
      <c r="C97" s="29">
        <v>29</v>
      </c>
      <c r="D97" s="29">
        <v>190</v>
      </c>
      <c r="E97" s="29">
        <v>95</v>
      </c>
      <c r="F97" s="28">
        <v>125.6101</v>
      </c>
      <c r="G97" s="28">
        <v>0.11609999999999999</v>
      </c>
      <c r="H97" s="31" t="s">
        <v>12</v>
      </c>
      <c r="I97" s="31">
        <v>5</v>
      </c>
      <c r="J97" s="28">
        <v>3</v>
      </c>
      <c r="K97" s="28">
        <v>2</v>
      </c>
      <c r="L97" s="28">
        <v>24</v>
      </c>
      <c r="M97" s="28" t="s">
        <v>46</v>
      </c>
      <c r="N97" s="28" t="s">
        <v>32</v>
      </c>
      <c r="O97" s="33">
        <v>524.6</v>
      </c>
      <c r="P97" t="s">
        <v>18</v>
      </c>
    </row>
    <row r="98" spans="1:16" hidden="1" x14ac:dyDescent="0.2">
      <c r="A98" t="s">
        <v>11</v>
      </c>
      <c r="B98" s="25">
        <v>45777</v>
      </c>
      <c r="C98" s="29">
        <v>29</v>
      </c>
      <c r="D98" s="29">
        <v>193</v>
      </c>
      <c r="E98" s="29">
        <v>97</v>
      </c>
      <c r="F98" s="28">
        <v>223.3698</v>
      </c>
      <c r="G98" s="28">
        <v>0.2064</v>
      </c>
      <c r="H98" s="31" t="s">
        <v>12</v>
      </c>
      <c r="I98" s="31">
        <v>6</v>
      </c>
      <c r="J98" s="28">
        <v>3</v>
      </c>
      <c r="K98" s="28">
        <v>1</v>
      </c>
      <c r="L98" s="28">
        <v>24</v>
      </c>
      <c r="M98" s="28" t="s">
        <v>44</v>
      </c>
      <c r="N98" s="28" t="s">
        <v>32</v>
      </c>
      <c r="O98" s="33">
        <v>393.3</v>
      </c>
      <c r="P98" t="s">
        <v>18</v>
      </c>
    </row>
    <row r="99" spans="1:16" hidden="1" x14ac:dyDescent="0.2">
      <c r="A99" t="s">
        <v>11</v>
      </c>
      <c r="B99" s="25">
        <v>45777</v>
      </c>
      <c r="C99" s="29">
        <v>29</v>
      </c>
      <c r="D99" s="29">
        <v>195</v>
      </c>
      <c r="E99" s="29">
        <v>97</v>
      </c>
      <c r="F99" s="28">
        <v>223.3698</v>
      </c>
      <c r="G99" s="28">
        <v>0.2064</v>
      </c>
      <c r="H99" s="31" t="s">
        <v>12</v>
      </c>
      <c r="I99" s="31">
        <v>6</v>
      </c>
      <c r="J99" s="28">
        <v>3</v>
      </c>
      <c r="K99" s="28">
        <v>2</v>
      </c>
      <c r="L99" s="28">
        <v>58</v>
      </c>
      <c r="M99" s="28" t="s">
        <v>45</v>
      </c>
      <c r="N99" s="28" t="s">
        <v>20</v>
      </c>
      <c r="O99" s="33">
        <v>406.1</v>
      </c>
      <c r="P99" t="s">
        <v>18</v>
      </c>
    </row>
    <row r="100" spans="1:16" hidden="1" x14ac:dyDescent="0.2">
      <c r="A100" t="s">
        <v>11</v>
      </c>
      <c r="B100" s="25">
        <v>45777</v>
      </c>
      <c r="C100" s="29">
        <v>29</v>
      </c>
      <c r="D100" s="29">
        <v>196</v>
      </c>
      <c r="E100" s="29">
        <v>98</v>
      </c>
      <c r="F100" s="28">
        <v>397.214</v>
      </c>
      <c r="G100" s="28">
        <v>0.36709999999999998</v>
      </c>
      <c r="H100" s="31" t="s">
        <v>12</v>
      </c>
      <c r="I100" s="31">
        <v>7</v>
      </c>
      <c r="J100" s="28">
        <v>3</v>
      </c>
      <c r="K100" s="28">
        <v>1</v>
      </c>
      <c r="L100" s="28">
        <v>22</v>
      </c>
      <c r="M100" s="28" t="s">
        <v>43</v>
      </c>
      <c r="N100" s="28" t="s">
        <v>32</v>
      </c>
      <c r="O100" s="33">
        <v>267.7</v>
      </c>
      <c r="P100" t="s">
        <v>18</v>
      </c>
    </row>
    <row r="101" spans="1:16" hidden="1" x14ac:dyDescent="0.2">
      <c r="A101" t="s">
        <v>11</v>
      </c>
      <c r="B101" s="25">
        <v>45777</v>
      </c>
      <c r="C101" s="29">
        <v>29</v>
      </c>
      <c r="D101" s="29">
        <v>197</v>
      </c>
      <c r="E101" s="29">
        <v>99</v>
      </c>
      <c r="F101" s="28">
        <v>397.214</v>
      </c>
      <c r="G101" s="28">
        <v>0.36709999999999998</v>
      </c>
      <c r="H101" s="31" t="s">
        <v>12</v>
      </c>
      <c r="I101" s="31">
        <v>7</v>
      </c>
      <c r="J101" s="28">
        <v>3</v>
      </c>
      <c r="K101" s="28">
        <v>2</v>
      </c>
      <c r="L101" s="28">
        <v>25</v>
      </c>
      <c r="M101" s="28" t="s">
        <v>46</v>
      </c>
      <c r="N101" s="28" t="s">
        <v>32</v>
      </c>
      <c r="O101" s="33">
        <v>484.3</v>
      </c>
      <c r="P101" t="s">
        <v>18</v>
      </c>
    </row>
    <row r="102" spans="1:16" hidden="1" x14ac:dyDescent="0.2">
      <c r="A102" t="s">
        <v>11</v>
      </c>
      <c r="B102" s="25">
        <v>45777</v>
      </c>
      <c r="C102" s="29">
        <v>29</v>
      </c>
      <c r="D102" s="29">
        <v>203</v>
      </c>
      <c r="E102" s="29">
        <v>101</v>
      </c>
      <c r="F102" s="28">
        <v>0.47089999999999999</v>
      </c>
      <c r="G102" s="28">
        <v>1.2999999999999999E-3</v>
      </c>
      <c r="H102" s="31" t="s">
        <v>13</v>
      </c>
      <c r="I102" s="31">
        <v>1</v>
      </c>
      <c r="J102" s="28">
        <v>3</v>
      </c>
      <c r="K102" s="28">
        <v>1</v>
      </c>
      <c r="L102" s="28">
        <v>49</v>
      </c>
      <c r="M102" s="28" t="s">
        <v>44</v>
      </c>
      <c r="N102" s="28" t="s">
        <v>48</v>
      </c>
      <c r="O102" s="33">
        <v>441.9</v>
      </c>
      <c r="P102" t="s">
        <v>18</v>
      </c>
    </row>
    <row r="103" spans="1:16" hidden="1" x14ac:dyDescent="0.2">
      <c r="A103" t="s">
        <v>11</v>
      </c>
      <c r="B103" s="25">
        <v>45777</v>
      </c>
      <c r="C103" s="29">
        <v>29</v>
      </c>
      <c r="D103" s="29">
        <v>202</v>
      </c>
      <c r="E103" s="29">
        <v>101</v>
      </c>
      <c r="F103" s="28">
        <v>0.47089999999999999</v>
      </c>
      <c r="G103" s="28">
        <v>1.2999999999999999E-3</v>
      </c>
      <c r="H103" s="31" t="s">
        <v>13</v>
      </c>
      <c r="I103" s="31">
        <v>1</v>
      </c>
      <c r="J103" s="28">
        <v>3</v>
      </c>
      <c r="K103" s="28">
        <v>2</v>
      </c>
      <c r="L103" s="28">
        <v>22</v>
      </c>
      <c r="M103" s="28" t="s">
        <v>45</v>
      </c>
      <c r="N103" s="28" t="s">
        <v>32</v>
      </c>
      <c r="O103" s="33">
        <v>729</v>
      </c>
      <c r="P103" t="s">
        <v>18</v>
      </c>
    </row>
    <row r="104" spans="1:16" hidden="1" x14ac:dyDescent="0.2">
      <c r="A104" t="s">
        <v>37</v>
      </c>
      <c r="B104" s="25">
        <v>45771</v>
      </c>
      <c r="C104" s="29">
        <v>29</v>
      </c>
      <c r="D104" s="29">
        <v>117</v>
      </c>
      <c r="E104" s="29">
        <v>59</v>
      </c>
      <c r="F104" s="28">
        <v>0</v>
      </c>
      <c r="G104" s="28">
        <v>2.6100000000000002E-2</v>
      </c>
      <c r="H104" s="31" t="s">
        <v>15</v>
      </c>
      <c r="I104" s="31">
        <v>2</v>
      </c>
      <c r="J104" s="28">
        <v>1</v>
      </c>
      <c r="K104" s="28">
        <v>1</v>
      </c>
      <c r="L104" s="28">
        <v>3</v>
      </c>
      <c r="M104" s="28" t="s">
        <v>43</v>
      </c>
      <c r="N104" s="28" t="s">
        <v>19</v>
      </c>
      <c r="O104" s="33">
        <v>626.1</v>
      </c>
      <c r="P104" t="s">
        <v>18</v>
      </c>
    </row>
    <row r="105" spans="1:16" hidden="1" x14ac:dyDescent="0.2">
      <c r="A105" t="s">
        <v>37</v>
      </c>
      <c r="B105" s="25">
        <v>45771</v>
      </c>
      <c r="C105" s="29">
        <v>29</v>
      </c>
      <c r="D105" s="29">
        <v>118</v>
      </c>
      <c r="E105" s="29">
        <v>59</v>
      </c>
      <c r="F105" s="28">
        <v>0</v>
      </c>
      <c r="G105" s="28">
        <v>2.6100000000000002E-2</v>
      </c>
      <c r="H105" s="31" t="s">
        <v>15</v>
      </c>
      <c r="I105" s="31">
        <v>2</v>
      </c>
      <c r="J105" s="28">
        <v>1</v>
      </c>
      <c r="K105" s="28">
        <v>2</v>
      </c>
      <c r="L105" s="28">
        <v>79</v>
      </c>
      <c r="M105" s="28" t="s">
        <v>46</v>
      </c>
      <c r="N105" s="28" t="s">
        <v>49</v>
      </c>
      <c r="O105" s="33">
        <v>890.1</v>
      </c>
      <c r="P105" t="s">
        <v>18</v>
      </c>
    </row>
    <row r="106" spans="1:16" hidden="1" x14ac:dyDescent="0.2">
      <c r="A106" t="s">
        <v>11</v>
      </c>
      <c r="B106" s="25">
        <v>45777</v>
      </c>
      <c r="C106" s="29">
        <v>29</v>
      </c>
      <c r="D106" s="29">
        <v>209</v>
      </c>
      <c r="E106" s="29">
        <v>105</v>
      </c>
      <c r="F106" s="28">
        <v>26.480899999999998</v>
      </c>
      <c r="G106" s="28">
        <v>7.3400000000000007E-2</v>
      </c>
      <c r="H106" s="31" t="s">
        <v>13</v>
      </c>
      <c r="I106" s="31">
        <v>3</v>
      </c>
      <c r="J106" s="28">
        <v>3</v>
      </c>
      <c r="K106" s="28">
        <v>1</v>
      </c>
      <c r="L106" s="28">
        <v>7</v>
      </c>
      <c r="M106" s="28" t="s">
        <v>44</v>
      </c>
      <c r="N106" s="28" t="s">
        <v>19</v>
      </c>
      <c r="O106" s="33">
        <v>414.2</v>
      </c>
      <c r="P106" t="s">
        <v>18</v>
      </c>
    </row>
    <row r="107" spans="1:16" hidden="1" x14ac:dyDescent="0.2">
      <c r="A107" t="s">
        <v>11</v>
      </c>
      <c r="B107" s="25">
        <v>45777</v>
      </c>
      <c r="C107" s="29">
        <v>29</v>
      </c>
      <c r="D107" s="29">
        <v>210</v>
      </c>
      <c r="E107" s="29">
        <v>105</v>
      </c>
      <c r="F107" s="28">
        <v>26.480899999999998</v>
      </c>
      <c r="G107" s="28">
        <v>7.3400000000000007E-2</v>
      </c>
      <c r="H107" s="31" t="s">
        <v>13</v>
      </c>
      <c r="I107" s="31">
        <v>3</v>
      </c>
      <c r="J107" s="28">
        <v>3</v>
      </c>
      <c r="K107" s="28">
        <v>2</v>
      </c>
      <c r="L107" s="28">
        <v>27</v>
      </c>
      <c r="M107" s="28" t="s">
        <v>45</v>
      </c>
      <c r="N107" s="28" t="s">
        <v>32</v>
      </c>
      <c r="O107" s="33">
        <v>588.79999999999995</v>
      </c>
      <c r="P107" t="s">
        <v>18</v>
      </c>
    </row>
    <row r="108" spans="1:16" hidden="1" x14ac:dyDescent="0.2">
      <c r="A108" t="s">
        <v>11</v>
      </c>
      <c r="B108" s="25">
        <v>45777</v>
      </c>
      <c r="C108" s="29">
        <v>29</v>
      </c>
      <c r="D108" s="29">
        <v>215</v>
      </c>
      <c r="E108" s="29">
        <v>107</v>
      </c>
      <c r="F108" s="28">
        <v>47.090499999999999</v>
      </c>
      <c r="G108" s="28">
        <v>0.1305</v>
      </c>
      <c r="H108" s="31" t="s">
        <v>13</v>
      </c>
      <c r="I108" s="31">
        <v>4</v>
      </c>
      <c r="J108" s="28">
        <v>3</v>
      </c>
      <c r="K108" s="28">
        <v>1</v>
      </c>
      <c r="L108" s="28">
        <v>68</v>
      </c>
      <c r="M108" s="28" t="s">
        <v>43</v>
      </c>
      <c r="N108" s="28" t="s">
        <v>19</v>
      </c>
      <c r="O108" s="33">
        <v>468.9</v>
      </c>
      <c r="P108" t="s">
        <v>18</v>
      </c>
    </row>
    <row r="109" spans="1:16" hidden="1" x14ac:dyDescent="0.2">
      <c r="A109" t="s">
        <v>11</v>
      </c>
      <c r="B109" s="25">
        <v>45777</v>
      </c>
      <c r="C109" s="29">
        <v>29</v>
      </c>
      <c r="D109" s="29">
        <v>216</v>
      </c>
      <c r="E109" s="29">
        <v>107</v>
      </c>
      <c r="F109" s="28">
        <v>47.090499999999999</v>
      </c>
      <c r="G109" s="28">
        <v>0.1305</v>
      </c>
      <c r="H109" s="31" t="s">
        <v>13</v>
      </c>
      <c r="I109" s="31">
        <v>4</v>
      </c>
      <c r="J109" s="28">
        <v>3</v>
      </c>
      <c r="K109" s="28">
        <v>2</v>
      </c>
      <c r="L109" s="28">
        <v>75</v>
      </c>
      <c r="M109" s="28" t="s">
        <v>46</v>
      </c>
      <c r="N109" s="28" t="s">
        <v>24</v>
      </c>
      <c r="O109" s="33">
        <v>630.79999999999995</v>
      </c>
      <c r="P109" t="s">
        <v>18</v>
      </c>
    </row>
    <row r="110" spans="1:16" hidden="1" x14ac:dyDescent="0.2">
      <c r="A110" t="s">
        <v>11</v>
      </c>
      <c r="B110" s="25">
        <v>45777</v>
      </c>
      <c r="C110" s="29">
        <v>29</v>
      </c>
      <c r="D110" s="29">
        <v>217</v>
      </c>
      <c r="E110" s="29">
        <v>109</v>
      </c>
      <c r="F110" s="28">
        <v>83.740099999999998</v>
      </c>
      <c r="G110" s="28">
        <v>0.2321</v>
      </c>
      <c r="H110" s="31" t="s">
        <v>13</v>
      </c>
      <c r="I110" s="31">
        <v>5</v>
      </c>
      <c r="J110" s="28">
        <v>3</v>
      </c>
      <c r="K110" s="28">
        <v>1</v>
      </c>
      <c r="L110" s="28">
        <v>7</v>
      </c>
      <c r="M110" s="28" t="s">
        <v>43</v>
      </c>
      <c r="N110" s="28" t="s">
        <v>19</v>
      </c>
      <c r="O110" s="33">
        <v>525.29999999999995</v>
      </c>
      <c r="P110" t="s">
        <v>18</v>
      </c>
    </row>
    <row r="111" spans="1:16" x14ac:dyDescent="0.2">
      <c r="A111" t="s">
        <v>11</v>
      </c>
      <c r="B111" s="25">
        <v>45777</v>
      </c>
      <c r="C111" s="29">
        <v>29</v>
      </c>
      <c r="D111" s="29">
        <v>218</v>
      </c>
      <c r="E111" s="29">
        <v>109</v>
      </c>
      <c r="F111" s="28">
        <v>83.740099999999998</v>
      </c>
      <c r="G111" s="28">
        <v>0.2321</v>
      </c>
      <c r="H111" s="31" t="s">
        <v>13</v>
      </c>
      <c r="I111" s="31">
        <v>5</v>
      </c>
      <c r="J111" s="28">
        <v>3</v>
      </c>
      <c r="K111" s="28">
        <v>2</v>
      </c>
      <c r="L111" s="28">
        <v>27</v>
      </c>
      <c r="M111" s="28" t="s">
        <v>46</v>
      </c>
      <c r="N111" s="28" t="s">
        <v>32</v>
      </c>
      <c r="O111" s="33">
        <v>472.1</v>
      </c>
      <c r="P111" t="s">
        <v>18</v>
      </c>
    </row>
    <row r="112" spans="1:16" hidden="1" x14ac:dyDescent="0.2">
      <c r="A112" t="s">
        <v>11</v>
      </c>
      <c r="B112" s="25">
        <v>45777</v>
      </c>
      <c r="C112" s="29">
        <v>29</v>
      </c>
      <c r="D112" s="29">
        <v>222</v>
      </c>
      <c r="E112" s="29">
        <v>111</v>
      </c>
      <c r="F112" s="28">
        <v>148.91319999999999</v>
      </c>
      <c r="G112" s="28">
        <v>0.4128</v>
      </c>
      <c r="H112" s="31" t="s">
        <v>13</v>
      </c>
      <c r="I112" s="31">
        <v>6</v>
      </c>
      <c r="J112" s="28">
        <v>3</v>
      </c>
      <c r="K112" s="28">
        <v>1</v>
      </c>
      <c r="L112" s="28">
        <v>16</v>
      </c>
      <c r="M112" s="28" t="s">
        <v>43</v>
      </c>
      <c r="N112" s="28" t="s">
        <v>21</v>
      </c>
      <c r="O112" s="33">
        <v>279.89999999999998</v>
      </c>
      <c r="P112" t="s">
        <v>18</v>
      </c>
    </row>
    <row r="113" spans="1:16" hidden="1" x14ac:dyDescent="0.2">
      <c r="A113" t="s">
        <v>11</v>
      </c>
      <c r="B113" s="25">
        <v>45777</v>
      </c>
      <c r="C113" s="29">
        <v>29</v>
      </c>
      <c r="D113" s="29">
        <v>223</v>
      </c>
      <c r="E113" s="29">
        <v>111</v>
      </c>
      <c r="F113" s="28">
        <v>148.91319999999999</v>
      </c>
      <c r="G113" s="28">
        <v>0.4128</v>
      </c>
      <c r="H113" s="31" t="s">
        <v>13</v>
      </c>
      <c r="I113" s="31">
        <v>6</v>
      </c>
      <c r="J113" s="28">
        <v>3</v>
      </c>
      <c r="K113" s="28">
        <v>2</v>
      </c>
      <c r="L113" s="28">
        <v>30</v>
      </c>
      <c r="M113" s="28" t="s">
        <v>46</v>
      </c>
      <c r="N113" s="28" t="s">
        <v>32</v>
      </c>
      <c r="O113" s="33">
        <v>466.7</v>
      </c>
      <c r="P113" t="s">
        <v>18</v>
      </c>
    </row>
    <row r="114" spans="1:16" hidden="1" x14ac:dyDescent="0.2">
      <c r="A114" t="s">
        <v>11</v>
      </c>
      <c r="B114" s="25">
        <v>45777</v>
      </c>
      <c r="C114" s="29">
        <v>29</v>
      </c>
      <c r="D114" s="29">
        <v>228</v>
      </c>
      <c r="E114" s="29">
        <v>113</v>
      </c>
      <c r="F114" s="28">
        <v>264.80930000000001</v>
      </c>
      <c r="G114" s="28">
        <v>0.73409999999999997</v>
      </c>
      <c r="H114" s="31" t="s">
        <v>13</v>
      </c>
      <c r="I114" s="31">
        <v>7</v>
      </c>
      <c r="J114" s="28">
        <v>3</v>
      </c>
      <c r="K114" s="28">
        <v>1</v>
      </c>
      <c r="L114" s="28">
        <v>56</v>
      </c>
      <c r="M114" s="28" t="s">
        <v>44</v>
      </c>
      <c r="N114" s="28" t="s">
        <v>20</v>
      </c>
      <c r="O114" s="33">
        <v>330.7</v>
      </c>
      <c r="P114" t="s">
        <v>18</v>
      </c>
    </row>
    <row r="115" spans="1:16" hidden="1" x14ac:dyDescent="0.2">
      <c r="A115" t="s">
        <v>11</v>
      </c>
      <c r="B115" s="25">
        <v>45777</v>
      </c>
      <c r="C115" s="29">
        <v>29</v>
      </c>
      <c r="D115" s="29">
        <v>225</v>
      </c>
      <c r="E115" s="29">
        <v>113</v>
      </c>
      <c r="F115" s="28">
        <v>264.80930000000001</v>
      </c>
      <c r="G115" s="28">
        <v>0.73409999999999997</v>
      </c>
      <c r="H115" s="31" t="s">
        <v>13</v>
      </c>
      <c r="I115" s="31">
        <v>7</v>
      </c>
      <c r="J115" s="28">
        <v>3</v>
      </c>
      <c r="K115" s="28">
        <v>2</v>
      </c>
      <c r="L115" s="28">
        <v>2</v>
      </c>
      <c r="M115" s="28" t="s">
        <v>45</v>
      </c>
      <c r="N115" s="28" t="s">
        <v>19</v>
      </c>
      <c r="O115" s="33">
        <v>301.89999999999998</v>
      </c>
      <c r="P115" t="s">
        <v>18</v>
      </c>
    </row>
    <row r="116" spans="1:16" hidden="1" x14ac:dyDescent="0.2">
      <c r="A116" t="s">
        <v>11</v>
      </c>
      <c r="B116" s="25">
        <v>45777</v>
      </c>
      <c r="C116" s="29">
        <v>29</v>
      </c>
      <c r="D116" s="29">
        <v>229</v>
      </c>
      <c r="E116" s="29">
        <v>115</v>
      </c>
      <c r="F116" s="28">
        <v>0.23549999999999999</v>
      </c>
      <c r="G116" s="28">
        <v>2E-3</v>
      </c>
      <c r="H116" s="31" t="s">
        <v>14</v>
      </c>
      <c r="I116" s="31">
        <v>1</v>
      </c>
      <c r="J116" s="28">
        <v>3</v>
      </c>
      <c r="K116" s="28">
        <v>1</v>
      </c>
      <c r="L116" s="28">
        <v>17</v>
      </c>
      <c r="M116" s="28" t="s">
        <v>43</v>
      </c>
      <c r="N116" s="28" t="s">
        <v>21</v>
      </c>
      <c r="O116" s="33">
        <v>477.7</v>
      </c>
      <c r="P116" t="s">
        <v>18</v>
      </c>
    </row>
    <row r="117" spans="1:16" hidden="1" x14ac:dyDescent="0.2">
      <c r="A117" t="s">
        <v>11</v>
      </c>
      <c r="B117" s="25">
        <v>45777</v>
      </c>
      <c r="C117" s="29">
        <v>29</v>
      </c>
      <c r="D117" s="29">
        <v>231</v>
      </c>
      <c r="E117" s="29">
        <v>115</v>
      </c>
      <c r="F117" s="28">
        <v>0.23549999999999999</v>
      </c>
      <c r="G117" s="28">
        <v>2E-3</v>
      </c>
      <c r="H117" s="31" t="s">
        <v>14</v>
      </c>
      <c r="I117" s="31">
        <v>1</v>
      </c>
      <c r="J117" s="28">
        <v>3</v>
      </c>
      <c r="K117" s="28">
        <v>2</v>
      </c>
      <c r="L117" s="28">
        <v>52</v>
      </c>
      <c r="M117" s="28" t="s">
        <v>46</v>
      </c>
      <c r="N117" s="28" t="s">
        <v>22</v>
      </c>
      <c r="O117" s="33">
        <v>705.9</v>
      </c>
      <c r="P117" t="s">
        <v>18</v>
      </c>
    </row>
    <row r="118" spans="1:16" hidden="1" x14ac:dyDescent="0.2">
      <c r="A118" t="s">
        <v>11</v>
      </c>
      <c r="B118" s="25">
        <v>45777</v>
      </c>
      <c r="C118" s="29">
        <v>29</v>
      </c>
      <c r="D118" s="29">
        <v>263</v>
      </c>
      <c r="E118" s="29">
        <v>131</v>
      </c>
      <c r="F118" s="28">
        <v>0</v>
      </c>
      <c r="G118" s="28">
        <v>2.6100000000000002E-2</v>
      </c>
      <c r="H118" s="31" t="s">
        <v>15</v>
      </c>
      <c r="I118" s="31">
        <v>2</v>
      </c>
      <c r="J118" s="28">
        <v>3</v>
      </c>
      <c r="K118" s="28">
        <v>1</v>
      </c>
      <c r="L118" s="28">
        <v>58</v>
      </c>
      <c r="M118" s="28" t="s">
        <v>43</v>
      </c>
      <c r="N118" s="28" t="s">
        <v>20</v>
      </c>
      <c r="O118" s="33">
        <v>638.9</v>
      </c>
      <c r="P118" t="s">
        <v>18</v>
      </c>
    </row>
    <row r="119" spans="1:16" hidden="1" x14ac:dyDescent="0.2">
      <c r="A119" t="s">
        <v>11</v>
      </c>
      <c r="B119" s="25">
        <v>45777</v>
      </c>
      <c r="C119" s="29">
        <v>29</v>
      </c>
      <c r="D119" s="29">
        <v>262</v>
      </c>
      <c r="E119" s="29">
        <v>131</v>
      </c>
      <c r="F119" s="28">
        <v>0</v>
      </c>
      <c r="G119" s="28">
        <v>2.6100000000000002E-2</v>
      </c>
      <c r="H119" s="31" t="s">
        <v>15</v>
      </c>
      <c r="I119" s="31">
        <v>2</v>
      </c>
      <c r="J119" s="28">
        <v>3</v>
      </c>
      <c r="K119" s="28">
        <v>2</v>
      </c>
      <c r="L119" s="28">
        <v>35</v>
      </c>
      <c r="M119" s="28" t="s">
        <v>46</v>
      </c>
      <c r="N119" s="28" t="s">
        <v>47</v>
      </c>
      <c r="O119" s="33">
        <v>492.2</v>
      </c>
      <c r="P119" t="s">
        <v>18</v>
      </c>
    </row>
    <row r="120" spans="1:16" hidden="1" x14ac:dyDescent="0.2">
      <c r="A120" t="s">
        <v>11</v>
      </c>
      <c r="B120" s="25">
        <v>45777</v>
      </c>
      <c r="C120" s="29">
        <v>29</v>
      </c>
      <c r="D120" s="29">
        <v>240</v>
      </c>
      <c r="E120" s="29">
        <v>119</v>
      </c>
      <c r="F120" s="28">
        <v>13.240500000000001</v>
      </c>
      <c r="G120" s="28">
        <v>0.1101</v>
      </c>
      <c r="H120" s="31" t="s">
        <v>14</v>
      </c>
      <c r="I120" s="31">
        <v>3</v>
      </c>
      <c r="J120" s="28">
        <v>3</v>
      </c>
      <c r="K120" s="28">
        <v>1</v>
      </c>
      <c r="L120" s="28">
        <v>70</v>
      </c>
      <c r="M120" s="28" t="s">
        <v>44</v>
      </c>
      <c r="N120" s="28" t="s">
        <v>19</v>
      </c>
      <c r="O120" s="33">
        <v>749.7</v>
      </c>
      <c r="P120" t="s">
        <v>18</v>
      </c>
    </row>
    <row r="121" spans="1:16" hidden="1" x14ac:dyDescent="0.2">
      <c r="A121" t="s">
        <v>11</v>
      </c>
      <c r="B121" s="25">
        <v>45777</v>
      </c>
      <c r="C121" s="29">
        <v>29</v>
      </c>
      <c r="D121" s="29">
        <v>237</v>
      </c>
      <c r="E121" s="29">
        <v>119</v>
      </c>
      <c r="F121" s="28">
        <v>13.240500000000001</v>
      </c>
      <c r="G121" s="28">
        <v>0.1101</v>
      </c>
      <c r="H121" s="31" t="s">
        <v>14</v>
      </c>
      <c r="I121" s="31">
        <v>3</v>
      </c>
      <c r="J121" s="28">
        <v>3</v>
      </c>
      <c r="K121" s="28">
        <v>2</v>
      </c>
      <c r="L121" s="28">
        <v>59</v>
      </c>
      <c r="M121" s="28" t="s">
        <v>45</v>
      </c>
      <c r="N121" s="28" t="s">
        <v>25</v>
      </c>
      <c r="O121" s="33">
        <v>660.2</v>
      </c>
      <c r="P121" t="s">
        <v>18</v>
      </c>
    </row>
    <row r="122" spans="1:16" hidden="1" x14ac:dyDescent="0.2">
      <c r="A122" t="s">
        <v>11</v>
      </c>
      <c r="B122" s="25">
        <v>45777</v>
      </c>
      <c r="C122" s="29">
        <v>29</v>
      </c>
      <c r="D122" s="29">
        <v>241</v>
      </c>
      <c r="E122" s="29">
        <v>121</v>
      </c>
      <c r="F122" s="28">
        <v>23.545200000000001</v>
      </c>
      <c r="G122" s="28">
        <v>0.1958</v>
      </c>
      <c r="H122" s="31" t="s">
        <v>14</v>
      </c>
      <c r="I122" s="31">
        <v>4</v>
      </c>
      <c r="J122" s="28">
        <v>3</v>
      </c>
      <c r="K122" s="28">
        <v>1</v>
      </c>
      <c r="L122" s="28">
        <v>8</v>
      </c>
      <c r="M122" s="28" t="s">
        <v>44</v>
      </c>
      <c r="N122" s="28" t="s">
        <v>21</v>
      </c>
      <c r="O122" s="33">
        <v>398.6</v>
      </c>
      <c r="P122" t="s">
        <v>18</v>
      </c>
    </row>
    <row r="123" spans="1:16" hidden="1" x14ac:dyDescent="0.2">
      <c r="A123" t="s">
        <v>11</v>
      </c>
      <c r="B123" s="25">
        <v>45777</v>
      </c>
      <c r="C123" s="29">
        <v>29</v>
      </c>
      <c r="D123" s="29">
        <v>242</v>
      </c>
      <c r="E123" s="29">
        <v>121</v>
      </c>
      <c r="F123" s="28">
        <v>23.545200000000001</v>
      </c>
      <c r="G123" s="28">
        <v>0.1958</v>
      </c>
      <c r="H123" s="31" t="s">
        <v>14</v>
      </c>
      <c r="I123" s="31">
        <v>4</v>
      </c>
      <c r="J123" s="28">
        <v>3</v>
      </c>
      <c r="K123" s="28">
        <v>2</v>
      </c>
      <c r="L123" s="28">
        <v>40</v>
      </c>
      <c r="M123" s="28" t="s">
        <v>45</v>
      </c>
      <c r="N123" s="28" t="s">
        <v>47</v>
      </c>
      <c r="O123" s="33">
        <v>498.2</v>
      </c>
      <c r="P123" t="s">
        <v>18</v>
      </c>
    </row>
    <row r="124" spans="1:16" hidden="1" x14ac:dyDescent="0.2">
      <c r="A124" t="s">
        <v>11</v>
      </c>
      <c r="B124" s="25">
        <v>45777</v>
      </c>
      <c r="C124" s="29">
        <v>29</v>
      </c>
      <c r="D124" s="29">
        <v>247</v>
      </c>
      <c r="E124" s="29">
        <v>123</v>
      </c>
      <c r="F124" s="28">
        <v>41.87</v>
      </c>
      <c r="G124" s="28">
        <v>0.34820000000000001</v>
      </c>
      <c r="H124" s="31" t="s">
        <v>14</v>
      </c>
      <c r="I124" s="31">
        <v>5</v>
      </c>
      <c r="J124" s="28">
        <v>3</v>
      </c>
      <c r="K124" s="28">
        <v>1</v>
      </c>
      <c r="L124" s="28">
        <v>68</v>
      </c>
      <c r="M124" s="28" t="s">
        <v>44</v>
      </c>
      <c r="N124" s="28" t="s">
        <v>19</v>
      </c>
      <c r="O124" s="33">
        <v>436.4</v>
      </c>
      <c r="P124" t="s">
        <v>18</v>
      </c>
    </row>
    <row r="125" spans="1:16" x14ac:dyDescent="0.2">
      <c r="A125" t="s">
        <v>11</v>
      </c>
      <c r="B125" s="25">
        <v>45777</v>
      </c>
      <c r="C125" s="29">
        <v>29</v>
      </c>
      <c r="D125" s="29">
        <v>248</v>
      </c>
      <c r="E125" s="29">
        <v>123</v>
      </c>
      <c r="F125" s="28">
        <v>41.87</v>
      </c>
      <c r="G125" s="28">
        <v>0.34820000000000001</v>
      </c>
      <c r="H125" s="31" t="s">
        <v>14</v>
      </c>
      <c r="I125" s="31">
        <v>5</v>
      </c>
      <c r="J125" s="28">
        <v>3</v>
      </c>
      <c r="K125" s="28">
        <v>2</v>
      </c>
      <c r="L125" s="28">
        <v>75</v>
      </c>
      <c r="M125" s="28" t="s">
        <v>45</v>
      </c>
      <c r="N125" s="28" t="s">
        <v>24</v>
      </c>
      <c r="O125" s="33">
        <v>560.70000000000005</v>
      </c>
      <c r="P125" t="s">
        <v>18</v>
      </c>
    </row>
    <row r="126" spans="1:16" hidden="1" x14ac:dyDescent="0.2">
      <c r="A126" t="s">
        <v>11</v>
      </c>
      <c r="B126" s="25">
        <v>45777</v>
      </c>
      <c r="C126" s="29">
        <v>29</v>
      </c>
      <c r="D126" s="29">
        <v>251</v>
      </c>
      <c r="E126" s="29">
        <v>125</v>
      </c>
      <c r="F126" s="28">
        <v>74.456599999999995</v>
      </c>
      <c r="G126" s="28">
        <v>0.61919999999999997</v>
      </c>
      <c r="H126" s="31" t="s">
        <v>14</v>
      </c>
      <c r="I126" s="31">
        <v>6</v>
      </c>
      <c r="J126" s="28">
        <v>3</v>
      </c>
      <c r="K126" s="28">
        <v>1</v>
      </c>
      <c r="L126" s="28">
        <v>62</v>
      </c>
      <c r="M126" s="28" t="s">
        <v>43</v>
      </c>
      <c r="N126" s="28" t="s">
        <v>25</v>
      </c>
      <c r="O126" s="33">
        <v>588.6</v>
      </c>
      <c r="P126" t="s">
        <v>18</v>
      </c>
    </row>
    <row r="127" spans="1:16" hidden="1" x14ac:dyDescent="0.2">
      <c r="A127" t="s">
        <v>11</v>
      </c>
      <c r="B127" s="25">
        <v>45777</v>
      </c>
      <c r="C127" s="29">
        <v>29</v>
      </c>
      <c r="D127" s="29">
        <v>252</v>
      </c>
      <c r="E127" s="29">
        <v>125</v>
      </c>
      <c r="F127" s="28">
        <v>74.456599999999995</v>
      </c>
      <c r="G127" s="28">
        <v>0.61919999999999997</v>
      </c>
      <c r="H127" s="31" t="s">
        <v>14</v>
      </c>
      <c r="I127" s="31">
        <v>6</v>
      </c>
      <c r="J127" s="28">
        <v>3</v>
      </c>
      <c r="K127" s="28">
        <v>2</v>
      </c>
      <c r="L127" s="28">
        <v>62</v>
      </c>
      <c r="M127" s="28" t="s">
        <v>46</v>
      </c>
      <c r="N127" s="28" t="s">
        <v>25</v>
      </c>
      <c r="O127" s="33">
        <v>360.8</v>
      </c>
      <c r="P127" t="s">
        <v>18</v>
      </c>
    </row>
    <row r="128" spans="1:16" hidden="1" x14ac:dyDescent="0.2">
      <c r="A128" t="s">
        <v>11</v>
      </c>
      <c r="B128" s="25">
        <v>45777</v>
      </c>
      <c r="C128" s="29">
        <v>29</v>
      </c>
      <c r="D128" s="29">
        <v>256</v>
      </c>
      <c r="E128" s="29">
        <v>127</v>
      </c>
      <c r="F128" s="28">
        <v>132.40469999999999</v>
      </c>
      <c r="G128" s="28">
        <v>1.1012</v>
      </c>
      <c r="H128" s="31" t="s">
        <v>14</v>
      </c>
      <c r="I128" s="31">
        <v>7</v>
      </c>
      <c r="J128" s="28">
        <v>3</v>
      </c>
      <c r="K128" s="28">
        <v>1</v>
      </c>
      <c r="L128" s="28">
        <v>76</v>
      </c>
      <c r="M128" s="28" t="s">
        <v>43</v>
      </c>
      <c r="N128" s="28" t="s">
        <v>25</v>
      </c>
      <c r="O128" s="33">
        <v>195.9</v>
      </c>
      <c r="P128" t="s">
        <v>18</v>
      </c>
    </row>
    <row r="129" spans="1:16" hidden="1" x14ac:dyDescent="0.2">
      <c r="A129" t="s">
        <v>11</v>
      </c>
      <c r="B129" s="25">
        <v>45777</v>
      </c>
      <c r="C129" s="29">
        <v>29</v>
      </c>
      <c r="D129" s="29">
        <v>253</v>
      </c>
      <c r="E129" s="29">
        <v>127</v>
      </c>
      <c r="F129" s="28">
        <v>132.40469999999999</v>
      </c>
      <c r="G129" s="28">
        <v>1.1012</v>
      </c>
      <c r="H129" s="31" t="s">
        <v>14</v>
      </c>
      <c r="I129" s="31">
        <v>7</v>
      </c>
      <c r="J129" s="28">
        <v>3</v>
      </c>
      <c r="K129" s="28">
        <v>2</v>
      </c>
      <c r="L129" s="28">
        <v>11</v>
      </c>
      <c r="M129" s="28" t="s">
        <v>46</v>
      </c>
      <c r="N129" s="28" t="s">
        <v>21</v>
      </c>
      <c r="O129" s="33">
        <v>539.20000000000005</v>
      </c>
      <c r="P129" t="s">
        <v>18</v>
      </c>
    </row>
    <row r="130" spans="1:16" hidden="1" x14ac:dyDescent="0.2">
      <c r="A130" t="s">
        <v>11</v>
      </c>
      <c r="B130" s="25">
        <v>45777</v>
      </c>
      <c r="C130" s="29">
        <v>29</v>
      </c>
      <c r="D130" s="29">
        <v>260</v>
      </c>
      <c r="E130" s="29">
        <v>129</v>
      </c>
      <c r="F130" s="28">
        <v>0</v>
      </c>
      <c r="G130" s="28">
        <v>2.5999999999999999E-3</v>
      </c>
      <c r="H130" s="31" t="s">
        <v>15</v>
      </c>
      <c r="I130" s="31">
        <v>1</v>
      </c>
      <c r="J130" s="28">
        <v>3</v>
      </c>
      <c r="K130" s="28">
        <v>1</v>
      </c>
      <c r="L130" s="28">
        <v>75</v>
      </c>
      <c r="M130" s="28" t="s">
        <v>43</v>
      </c>
      <c r="N130" s="28" t="s">
        <v>24</v>
      </c>
      <c r="O130" s="33">
        <v>532.20000000000005</v>
      </c>
      <c r="P130" t="s">
        <v>18</v>
      </c>
    </row>
    <row r="131" spans="1:16" hidden="1" x14ac:dyDescent="0.2">
      <c r="A131" t="s">
        <v>11</v>
      </c>
      <c r="B131" s="25">
        <v>45777</v>
      </c>
      <c r="C131" s="29">
        <v>29</v>
      </c>
      <c r="D131" s="29">
        <v>257</v>
      </c>
      <c r="E131" s="29">
        <v>129</v>
      </c>
      <c r="F131" s="28">
        <v>0</v>
      </c>
      <c r="G131" s="28">
        <v>2.5999999999999999E-3</v>
      </c>
      <c r="H131" s="31" t="s">
        <v>15</v>
      </c>
      <c r="I131" s="31">
        <v>1</v>
      </c>
      <c r="J131" s="28">
        <v>3</v>
      </c>
      <c r="K131" s="28">
        <v>2</v>
      </c>
      <c r="L131" s="28">
        <v>7</v>
      </c>
      <c r="M131" s="28" t="s">
        <v>46</v>
      </c>
      <c r="N131" s="28" t="s">
        <v>19</v>
      </c>
      <c r="O131" s="33">
        <v>564.79999999999995</v>
      </c>
      <c r="P131" t="s">
        <v>18</v>
      </c>
    </row>
    <row r="132" spans="1:16" hidden="1" x14ac:dyDescent="0.2">
      <c r="A132" t="s">
        <v>37</v>
      </c>
      <c r="B132" s="25">
        <v>45771</v>
      </c>
      <c r="C132" s="29">
        <v>29</v>
      </c>
      <c r="D132" s="29">
        <v>141</v>
      </c>
      <c r="E132" s="29">
        <v>71</v>
      </c>
      <c r="F132" s="28">
        <v>0</v>
      </c>
      <c r="G132" s="28">
        <v>0</v>
      </c>
      <c r="H132" s="31" t="s">
        <v>16</v>
      </c>
      <c r="I132" s="31">
        <v>0</v>
      </c>
      <c r="J132" s="28">
        <v>1</v>
      </c>
      <c r="K132" s="28">
        <v>1</v>
      </c>
      <c r="L132" s="28">
        <v>23</v>
      </c>
      <c r="M132" s="28" t="s">
        <v>44</v>
      </c>
      <c r="N132" s="28" t="s">
        <v>32</v>
      </c>
      <c r="O132" s="33">
        <v>620.70000000000005</v>
      </c>
      <c r="P132" t="s">
        <v>18</v>
      </c>
    </row>
    <row r="133" spans="1:16" hidden="1" x14ac:dyDescent="0.2">
      <c r="A133" t="s">
        <v>37</v>
      </c>
      <c r="B133" s="25">
        <v>45771</v>
      </c>
      <c r="C133" s="29">
        <v>29</v>
      </c>
      <c r="D133" s="29">
        <v>142</v>
      </c>
      <c r="E133" s="29">
        <v>71</v>
      </c>
      <c r="F133" s="28">
        <v>0</v>
      </c>
      <c r="G133" s="28">
        <v>0</v>
      </c>
      <c r="H133" s="31" t="s">
        <v>16</v>
      </c>
      <c r="I133" s="31">
        <v>0</v>
      </c>
      <c r="J133" s="28">
        <v>1</v>
      </c>
      <c r="K133" s="28">
        <v>2</v>
      </c>
      <c r="L133" s="28">
        <v>4</v>
      </c>
      <c r="M133" s="28" t="s">
        <v>45</v>
      </c>
      <c r="N133" s="28" t="s">
        <v>19</v>
      </c>
      <c r="O133" s="33">
        <v>553.6</v>
      </c>
      <c r="P133" t="s">
        <v>18</v>
      </c>
    </row>
    <row r="134" spans="1:16" hidden="1" x14ac:dyDescent="0.2">
      <c r="A134" t="s">
        <v>11</v>
      </c>
      <c r="B134" s="25">
        <v>45777</v>
      </c>
      <c r="C134" s="29">
        <v>29</v>
      </c>
      <c r="D134" s="29">
        <v>267</v>
      </c>
      <c r="E134" s="29">
        <v>133</v>
      </c>
      <c r="F134" s="28">
        <v>0</v>
      </c>
      <c r="G134" s="28">
        <v>0.14680000000000001</v>
      </c>
      <c r="H134" s="31" t="s">
        <v>15</v>
      </c>
      <c r="I134" s="31">
        <v>3</v>
      </c>
      <c r="J134" s="28">
        <v>3</v>
      </c>
      <c r="K134" s="28">
        <v>1</v>
      </c>
      <c r="L134" s="28">
        <v>57</v>
      </c>
      <c r="M134" s="28" t="s">
        <v>43</v>
      </c>
      <c r="N134" s="28" t="s">
        <v>20</v>
      </c>
      <c r="O134" s="33">
        <v>607.70000000000005</v>
      </c>
      <c r="P134" t="s">
        <v>18</v>
      </c>
    </row>
    <row r="135" spans="1:16" hidden="1" x14ac:dyDescent="0.2">
      <c r="A135" t="s">
        <v>11</v>
      </c>
      <c r="B135" s="25">
        <v>45777</v>
      </c>
      <c r="C135" s="29">
        <v>29</v>
      </c>
      <c r="D135" s="29">
        <v>268</v>
      </c>
      <c r="E135" s="29">
        <v>133</v>
      </c>
      <c r="F135" s="28">
        <v>0</v>
      </c>
      <c r="G135" s="28">
        <v>0.14680000000000001</v>
      </c>
      <c r="H135" s="31" t="s">
        <v>15</v>
      </c>
      <c r="I135" s="31">
        <v>3</v>
      </c>
      <c r="J135" s="28">
        <v>3</v>
      </c>
      <c r="K135" s="28">
        <v>2</v>
      </c>
      <c r="L135" s="28">
        <v>76</v>
      </c>
      <c r="M135" s="28" t="s">
        <v>46</v>
      </c>
      <c r="N135" s="28" t="s">
        <v>25</v>
      </c>
      <c r="O135" s="33">
        <v>665.3</v>
      </c>
      <c r="P135" t="s">
        <v>18</v>
      </c>
    </row>
    <row r="136" spans="1:16" hidden="1" x14ac:dyDescent="0.2">
      <c r="A136" t="s">
        <v>11</v>
      </c>
      <c r="B136" s="25">
        <v>45777</v>
      </c>
      <c r="C136" s="29">
        <v>29</v>
      </c>
      <c r="D136" s="29">
        <v>269</v>
      </c>
      <c r="E136" s="29">
        <v>135</v>
      </c>
      <c r="F136" s="28">
        <v>0</v>
      </c>
      <c r="G136" s="28">
        <v>0.2611</v>
      </c>
      <c r="H136" s="31" t="s">
        <v>15</v>
      </c>
      <c r="I136" s="31">
        <v>4</v>
      </c>
      <c r="J136" s="28">
        <v>3</v>
      </c>
      <c r="K136" s="28">
        <v>1</v>
      </c>
      <c r="L136" s="28">
        <v>27</v>
      </c>
      <c r="M136" s="28" t="s">
        <v>44</v>
      </c>
      <c r="N136" s="28" t="s">
        <v>32</v>
      </c>
      <c r="O136" s="33">
        <v>352.3</v>
      </c>
      <c r="P136" t="s">
        <v>18</v>
      </c>
    </row>
    <row r="137" spans="1:16" hidden="1" x14ac:dyDescent="0.2">
      <c r="A137" t="s">
        <v>11</v>
      </c>
      <c r="B137" s="25">
        <v>45777</v>
      </c>
      <c r="C137" s="29">
        <v>29</v>
      </c>
      <c r="D137" s="29">
        <v>271</v>
      </c>
      <c r="E137" s="29">
        <v>135</v>
      </c>
      <c r="F137" s="28">
        <v>0</v>
      </c>
      <c r="G137" s="28">
        <v>0.2611</v>
      </c>
      <c r="H137" s="31" t="s">
        <v>15</v>
      </c>
      <c r="I137" s="31">
        <v>4</v>
      </c>
      <c r="J137" s="28">
        <v>3</v>
      </c>
      <c r="K137" s="28">
        <v>2</v>
      </c>
      <c r="L137" s="28">
        <v>51</v>
      </c>
      <c r="M137" s="28" t="s">
        <v>45</v>
      </c>
      <c r="N137" s="28" t="s">
        <v>22</v>
      </c>
      <c r="O137" s="33">
        <v>619.20000000000005</v>
      </c>
      <c r="P137" t="s">
        <v>18</v>
      </c>
    </row>
    <row r="138" spans="1:16" hidden="1" x14ac:dyDescent="0.2">
      <c r="A138" t="s">
        <v>11</v>
      </c>
      <c r="B138" s="25">
        <v>45777</v>
      </c>
      <c r="C138" s="29">
        <v>29</v>
      </c>
      <c r="D138" s="29">
        <v>273</v>
      </c>
      <c r="E138" s="29">
        <v>137</v>
      </c>
      <c r="F138" s="28">
        <v>0</v>
      </c>
      <c r="G138" s="28">
        <v>0.46429999999999999</v>
      </c>
      <c r="H138" s="31" t="s">
        <v>15</v>
      </c>
      <c r="I138" s="31">
        <v>5</v>
      </c>
      <c r="J138" s="28">
        <v>3</v>
      </c>
      <c r="K138" s="28">
        <v>1</v>
      </c>
      <c r="L138" s="28">
        <v>15</v>
      </c>
      <c r="M138" s="28" t="s">
        <v>43</v>
      </c>
      <c r="N138" s="28" t="s">
        <v>21</v>
      </c>
      <c r="O138" s="33">
        <v>372.2</v>
      </c>
      <c r="P138" t="s">
        <v>18</v>
      </c>
    </row>
    <row r="139" spans="1:16" x14ac:dyDescent="0.2">
      <c r="A139" t="s">
        <v>11</v>
      </c>
      <c r="B139" s="25">
        <v>45777</v>
      </c>
      <c r="C139" s="29">
        <v>29</v>
      </c>
      <c r="D139" s="29">
        <v>274</v>
      </c>
      <c r="E139" s="29">
        <v>137</v>
      </c>
      <c r="F139" s="28">
        <v>0</v>
      </c>
      <c r="G139" s="28">
        <v>0.46429999999999999</v>
      </c>
      <c r="H139" s="31" t="s">
        <v>15</v>
      </c>
      <c r="I139" s="31">
        <v>5</v>
      </c>
      <c r="J139" s="28">
        <v>3</v>
      </c>
      <c r="K139" s="28">
        <v>2</v>
      </c>
      <c r="L139" s="28">
        <v>15</v>
      </c>
      <c r="M139" s="28" t="s">
        <v>46</v>
      </c>
      <c r="N139" s="28" t="s">
        <v>21</v>
      </c>
      <c r="O139" s="33">
        <v>361.2</v>
      </c>
      <c r="P139" t="s">
        <v>18</v>
      </c>
    </row>
    <row r="140" spans="1:16" hidden="1" x14ac:dyDescent="0.2">
      <c r="A140" t="s">
        <v>11</v>
      </c>
      <c r="B140" s="25">
        <v>45777</v>
      </c>
      <c r="C140" s="29">
        <v>29</v>
      </c>
      <c r="D140" s="29">
        <v>278</v>
      </c>
      <c r="E140" s="29">
        <v>139</v>
      </c>
      <c r="F140" s="28">
        <v>0</v>
      </c>
      <c r="G140" s="28">
        <v>0.8256</v>
      </c>
      <c r="H140" s="31" t="s">
        <v>15</v>
      </c>
      <c r="I140" s="31">
        <v>6</v>
      </c>
      <c r="J140" s="28">
        <v>3</v>
      </c>
      <c r="K140" s="28">
        <v>1</v>
      </c>
      <c r="L140" s="28">
        <v>52</v>
      </c>
      <c r="M140" s="28" t="s">
        <v>44</v>
      </c>
      <c r="N140" s="28" t="s">
        <v>22</v>
      </c>
      <c r="O140" s="33">
        <v>224.7</v>
      </c>
      <c r="P140" t="s">
        <v>18</v>
      </c>
    </row>
    <row r="141" spans="1:16" hidden="1" x14ac:dyDescent="0.2">
      <c r="A141" t="s">
        <v>11</v>
      </c>
      <c r="B141" s="25">
        <v>45777</v>
      </c>
      <c r="C141" s="29">
        <v>29</v>
      </c>
      <c r="D141" s="29">
        <v>277</v>
      </c>
      <c r="E141" s="29">
        <v>139</v>
      </c>
      <c r="F141" s="28">
        <v>0</v>
      </c>
      <c r="G141" s="28">
        <v>0.8256</v>
      </c>
      <c r="H141" s="31" t="s">
        <v>15</v>
      </c>
      <c r="I141" s="31">
        <v>6</v>
      </c>
      <c r="J141" s="28">
        <v>3</v>
      </c>
      <c r="K141" s="28">
        <v>2</v>
      </c>
      <c r="L141" s="28">
        <v>12</v>
      </c>
      <c r="M141" s="28" t="s">
        <v>45</v>
      </c>
      <c r="N141" s="28" t="s">
        <v>21</v>
      </c>
      <c r="O141" s="33">
        <v>278.8</v>
      </c>
      <c r="P141" t="s">
        <v>18</v>
      </c>
    </row>
    <row r="142" spans="1:16" hidden="1" x14ac:dyDescent="0.2">
      <c r="A142" t="s">
        <v>11</v>
      </c>
      <c r="B142" s="25">
        <v>45777</v>
      </c>
      <c r="C142" s="29">
        <v>29</v>
      </c>
      <c r="D142" s="29">
        <v>282</v>
      </c>
      <c r="E142" s="29">
        <v>141</v>
      </c>
      <c r="F142" s="28">
        <v>0</v>
      </c>
      <c r="G142" s="28">
        <v>1.4681999999999999</v>
      </c>
      <c r="H142" s="31" t="s">
        <v>15</v>
      </c>
      <c r="I142" s="31">
        <v>7</v>
      </c>
      <c r="J142" s="28">
        <v>3</v>
      </c>
      <c r="K142" s="28">
        <v>1</v>
      </c>
      <c r="L142" s="28">
        <v>27</v>
      </c>
      <c r="M142" s="28" t="s">
        <v>43</v>
      </c>
      <c r="N142" s="28" t="s">
        <v>32</v>
      </c>
      <c r="O142" s="33">
        <v>354.6</v>
      </c>
      <c r="P142" t="s">
        <v>18</v>
      </c>
    </row>
    <row r="143" spans="1:16" hidden="1" x14ac:dyDescent="0.2">
      <c r="A143" t="s">
        <v>11</v>
      </c>
      <c r="B143" s="25">
        <v>45777</v>
      </c>
      <c r="C143" s="29">
        <v>29</v>
      </c>
      <c r="D143" s="29">
        <v>283</v>
      </c>
      <c r="E143" s="29">
        <v>141</v>
      </c>
      <c r="F143" s="28">
        <v>0</v>
      </c>
      <c r="G143" s="28">
        <v>1.4681999999999999</v>
      </c>
      <c r="H143" s="31" t="s">
        <v>15</v>
      </c>
      <c r="I143" s="31">
        <v>7</v>
      </c>
      <c r="J143" s="28">
        <v>3</v>
      </c>
      <c r="K143" s="28">
        <v>2</v>
      </c>
      <c r="L143" s="28">
        <v>51</v>
      </c>
      <c r="M143" s="28" t="s">
        <v>46</v>
      </c>
      <c r="N143" s="28" t="s">
        <v>22</v>
      </c>
      <c r="O143" s="33">
        <v>280.39999999999998</v>
      </c>
      <c r="P143" t="s">
        <v>18</v>
      </c>
    </row>
    <row r="144" spans="1:16" hidden="1" x14ac:dyDescent="0.2">
      <c r="A144" t="s">
        <v>11</v>
      </c>
      <c r="B144" s="25">
        <v>45777</v>
      </c>
      <c r="C144" s="29">
        <v>29</v>
      </c>
      <c r="D144" s="29">
        <v>288</v>
      </c>
      <c r="E144" s="29">
        <v>143</v>
      </c>
      <c r="F144" s="28">
        <v>0</v>
      </c>
      <c r="G144" s="28">
        <v>0</v>
      </c>
      <c r="H144" s="31" t="s">
        <v>16</v>
      </c>
      <c r="I144" s="31">
        <v>0</v>
      </c>
      <c r="J144" s="28">
        <v>3</v>
      </c>
      <c r="K144" s="28">
        <v>1</v>
      </c>
      <c r="L144" s="28">
        <v>35</v>
      </c>
      <c r="M144" s="28" t="s">
        <v>44</v>
      </c>
      <c r="N144" s="28" t="s">
        <v>47</v>
      </c>
      <c r="O144" s="33">
        <v>846.8</v>
      </c>
      <c r="P144" t="s">
        <v>18</v>
      </c>
    </row>
    <row r="145" spans="1:16" hidden="1" x14ac:dyDescent="0.2">
      <c r="A145" t="s">
        <v>11</v>
      </c>
      <c r="B145" s="25">
        <v>45777</v>
      </c>
      <c r="C145" s="29">
        <v>29</v>
      </c>
      <c r="D145" s="29">
        <v>286</v>
      </c>
      <c r="E145" s="29">
        <v>143</v>
      </c>
      <c r="F145" s="28">
        <v>0</v>
      </c>
      <c r="G145" s="28">
        <v>0</v>
      </c>
      <c r="H145" s="31" t="s">
        <v>16</v>
      </c>
      <c r="I145" s="31">
        <v>0</v>
      </c>
      <c r="J145" s="28">
        <v>3</v>
      </c>
      <c r="K145" s="28">
        <v>2</v>
      </c>
      <c r="L145" s="28">
        <v>17</v>
      </c>
      <c r="M145" s="28" t="s">
        <v>45</v>
      </c>
      <c r="N145" s="28" t="s">
        <v>21</v>
      </c>
      <c r="O145" s="33">
        <v>631.20000000000005</v>
      </c>
      <c r="P145" t="s">
        <v>18</v>
      </c>
    </row>
  </sheetData>
  <autoFilter ref="A1:P145" xr:uid="{39E4C65D-F359-AD49-BC7D-8ABA3238360F}">
    <filterColumn colId="8">
      <filters>
        <filter val="5"/>
      </filters>
    </filterColumn>
    <filterColumn colId="10">
      <filters>
        <filter val="2"/>
      </filters>
    </filterColumn>
    <sortState xmlns:xlrd2="http://schemas.microsoft.com/office/spreadsheetml/2017/richdata2" ref="A5:P145">
      <sortCondition ref="H1:H145"/>
    </sortState>
  </autoFilter>
  <conditionalFormatting sqref="M2:M145">
    <cfRule type="containsText" dxfId="12" priority="5" operator="containsText" text="Green">
      <formula>NOT(ISERROR(SEARCH("Green",M2)))</formula>
    </cfRule>
    <cfRule type="containsText" dxfId="11" priority="6" operator="containsText" text="Orange">
      <formula>NOT(ISERROR(SEARCH("Orange",M2)))</formula>
    </cfRule>
    <cfRule type="containsText" dxfId="10" priority="7" operator="containsText" text="Yellow">
      <formula>NOT(ISERROR(SEARCH("Yellow",M2)))</formula>
    </cfRule>
    <cfRule type="containsText" dxfId="9" priority="8" operator="containsText" text="Pink">
      <formula>NOT(ISERROR(SEARCH("Pink",M2)))</formula>
    </cfRule>
  </conditionalFormatting>
  <conditionalFormatting sqref="M1">
    <cfRule type="containsText" dxfId="8" priority="1" operator="containsText" text="Green">
      <formula>NOT(ISERROR(SEARCH("Green",M1)))</formula>
    </cfRule>
    <cfRule type="containsText" dxfId="7" priority="2" operator="containsText" text="Orange">
      <formula>NOT(ISERROR(SEARCH("Orange",M1)))</formula>
    </cfRule>
    <cfRule type="containsText" dxfId="6" priority="3" operator="containsText" text="Yellow">
      <formula>NOT(ISERROR(SEARCH("Yellow",M1)))</formula>
    </cfRule>
    <cfRule type="containsText" dxfId="5" priority="4" operator="containsText" text="Pink">
      <formula>NOT(ISERROR(SEARCH("Pink",M1)))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5003-AF80-E741-8DDF-BC6E623CDF36}">
  <dimension ref="A1:AK74"/>
  <sheetViews>
    <sheetView topLeftCell="O1" zoomScaleNormal="100" workbookViewId="0">
      <selection activeCell="M1" sqref="M1"/>
    </sheetView>
  </sheetViews>
  <sheetFormatPr baseColWidth="10" defaultRowHeight="16" x14ac:dyDescent="0.2"/>
  <sheetData>
    <row r="1" spans="1:37" ht="17" thickBot="1" x14ac:dyDescent="0.25">
      <c r="A1" t="s">
        <v>17</v>
      </c>
      <c r="B1" s="51" t="s">
        <v>5</v>
      </c>
      <c r="C1" s="52" t="s">
        <v>4</v>
      </c>
      <c r="D1" s="51" t="s">
        <v>6</v>
      </c>
      <c r="E1" s="53" t="s">
        <v>85</v>
      </c>
      <c r="F1" s="78" t="s">
        <v>116</v>
      </c>
      <c r="G1" s="77" t="s">
        <v>115</v>
      </c>
      <c r="H1" s="77" t="s">
        <v>87</v>
      </c>
      <c r="I1" s="77" t="s">
        <v>88</v>
      </c>
      <c r="J1" s="77" t="s">
        <v>86</v>
      </c>
      <c r="K1" s="77" t="s">
        <v>89</v>
      </c>
      <c r="L1" s="77" t="s">
        <v>90</v>
      </c>
      <c r="M1" s="77" t="s">
        <v>91</v>
      </c>
      <c r="N1" s="77" t="s">
        <v>92</v>
      </c>
      <c r="O1" s="77" t="s">
        <v>93</v>
      </c>
      <c r="P1" s="77" t="s">
        <v>94</v>
      </c>
      <c r="Q1" s="77" t="s">
        <v>95</v>
      </c>
      <c r="R1" s="77" t="s">
        <v>96</v>
      </c>
      <c r="S1" s="77" t="s">
        <v>97</v>
      </c>
      <c r="T1" s="77" t="s">
        <v>98</v>
      </c>
      <c r="U1" s="77" t="s">
        <v>99</v>
      </c>
      <c r="V1" s="77" t="s">
        <v>100</v>
      </c>
      <c r="W1" s="77" t="s">
        <v>101</v>
      </c>
      <c r="X1" s="77" t="s">
        <v>102</v>
      </c>
      <c r="Y1" s="77" t="s">
        <v>103</v>
      </c>
      <c r="Z1" s="77" t="s">
        <v>104</v>
      </c>
      <c r="AA1" s="77" t="s">
        <v>105</v>
      </c>
      <c r="AB1" s="77" t="s">
        <v>106</v>
      </c>
      <c r="AC1" s="77" t="s">
        <v>107</v>
      </c>
      <c r="AD1" s="77" t="s">
        <v>108</v>
      </c>
      <c r="AE1" s="77" t="s">
        <v>109</v>
      </c>
      <c r="AF1" s="77" t="s">
        <v>110</v>
      </c>
      <c r="AG1" s="77" t="s">
        <v>111</v>
      </c>
      <c r="AH1" s="77" t="s">
        <v>112</v>
      </c>
      <c r="AI1" s="77" t="s">
        <v>113</v>
      </c>
      <c r="AJ1" s="77" t="s">
        <v>114</v>
      </c>
      <c r="AK1" s="77" t="s">
        <v>84</v>
      </c>
    </row>
    <row r="2" spans="1:37" x14ac:dyDescent="0.2">
      <c r="A2" t="s">
        <v>37</v>
      </c>
      <c r="B2" s="54" t="s">
        <v>16</v>
      </c>
      <c r="C2" s="54">
        <v>0</v>
      </c>
      <c r="D2" s="54">
        <v>1</v>
      </c>
      <c r="E2" s="55">
        <v>9</v>
      </c>
      <c r="F2" s="89"/>
      <c r="G2" s="81"/>
      <c r="H2" s="81"/>
      <c r="I2" s="81"/>
      <c r="J2" s="81"/>
      <c r="K2" s="81">
        <v>2</v>
      </c>
      <c r="L2" s="81">
        <v>1</v>
      </c>
      <c r="M2" s="81"/>
      <c r="N2" s="81"/>
      <c r="O2" s="81">
        <v>1</v>
      </c>
      <c r="P2" s="81">
        <v>1</v>
      </c>
      <c r="Q2" s="81"/>
      <c r="R2" s="81"/>
      <c r="S2" s="81"/>
      <c r="T2" s="81">
        <v>1</v>
      </c>
      <c r="U2" s="81">
        <v>1</v>
      </c>
      <c r="V2" s="81"/>
      <c r="W2" s="81">
        <v>2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2"/>
      <c r="AK2" s="56">
        <f t="shared" ref="AK2:AK65" si="0">E2-SUM(G2:AJ2)</f>
        <v>0</v>
      </c>
    </row>
    <row r="3" spans="1:37" x14ac:dyDescent="0.2">
      <c r="A3" t="s">
        <v>37</v>
      </c>
      <c r="B3" s="57" t="s">
        <v>16</v>
      </c>
      <c r="C3" s="57">
        <v>0</v>
      </c>
      <c r="D3" s="57">
        <v>2</v>
      </c>
      <c r="E3" s="58">
        <v>3</v>
      </c>
      <c r="F3" s="90"/>
      <c r="G3" s="84"/>
      <c r="H3" s="84"/>
      <c r="I3" s="84"/>
      <c r="J3" s="84"/>
      <c r="K3" s="84"/>
      <c r="L3" s="84"/>
      <c r="M3" s="84"/>
      <c r="N3" s="84"/>
      <c r="O3" s="84"/>
      <c r="P3" s="84"/>
      <c r="Q3" s="84">
        <v>1</v>
      </c>
      <c r="R3" s="84"/>
      <c r="S3" s="84"/>
      <c r="T3" s="84"/>
      <c r="U3" s="84"/>
      <c r="V3" s="84"/>
      <c r="W3" s="84">
        <v>1</v>
      </c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2">
        <f t="shared" si="0"/>
        <v>1</v>
      </c>
    </row>
    <row r="4" spans="1:37" x14ac:dyDescent="0.2">
      <c r="A4" t="s">
        <v>37</v>
      </c>
      <c r="B4" s="57" t="s">
        <v>11</v>
      </c>
      <c r="C4" s="57">
        <v>1</v>
      </c>
      <c r="D4" s="57">
        <v>1</v>
      </c>
      <c r="E4" s="58">
        <v>19</v>
      </c>
      <c r="F4" s="90"/>
      <c r="G4" s="84"/>
      <c r="H4" s="84"/>
      <c r="I4" s="84"/>
      <c r="J4" s="84"/>
      <c r="K4" s="84">
        <v>3</v>
      </c>
      <c r="L4" s="84">
        <v>2</v>
      </c>
      <c r="M4" s="84">
        <v>1</v>
      </c>
      <c r="N4" s="84"/>
      <c r="O4" s="84">
        <v>2</v>
      </c>
      <c r="P4" s="84"/>
      <c r="Q4" s="84">
        <v>1</v>
      </c>
      <c r="R4" s="84">
        <v>1</v>
      </c>
      <c r="S4" s="84"/>
      <c r="T4" s="84"/>
      <c r="U4" s="84">
        <v>3</v>
      </c>
      <c r="V4" s="84">
        <v>1</v>
      </c>
      <c r="W4" s="84">
        <v>3</v>
      </c>
      <c r="X4" s="84"/>
      <c r="Y4" s="84"/>
      <c r="Z4" s="84">
        <v>1</v>
      </c>
      <c r="AA4" s="84"/>
      <c r="AB4" s="84"/>
      <c r="AC4" s="84"/>
      <c r="AD4" s="84"/>
      <c r="AE4" s="84"/>
      <c r="AF4" s="84"/>
      <c r="AG4" s="84"/>
      <c r="AH4" s="84"/>
      <c r="AI4" s="84"/>
      <c r="AJ4" s="85"/>
      <c r="AK4" s="2">
        <f t="shared" si="0"/>
        <v>1</v>
      </c>
    </row>
    <row r="5" spans="1:37" x14ac:dyDescent="0.2">
      <c r="A5" t="s">
        <v>37</v>
      </c>
      <c r="B5" s="57" t="s">
        <v>11</v>
      </c>
      <c r="C5" s="57">
        <v>1</v>
      </c>
      <c r="D5" s="57">
        <v>2</v>
      </c>
      <c r="E5" s="58">
        <v>10</v>
      </c>
      <c r="F5" s="90"/>
      <c r="G5" s="84"/>
      <c r="H5" s="84"/>
      <c r="I5" s="84"/>
      <c r="J5" s="84"/>
      <c r="K5" s="84">
        <v>1</v>
      </c>
      <c r="L5" s="84">
        <v>1</v>
      </c>
      <c r="M5" s="84"/>
      <c r="N5" s="84">
        <v>1</v>
      </c>
      <c r="O5" s="84">
        <v>1</v>
      </c>
      <c r="P5" s="84">
        <v>1</v>
      </c>
      <c r="Q5" s="84"/>
      <c r="R5" s="84"/>
      <c r="S5" s="84"/>
      <c r="T5" s="84"/>
      <c r="U5" s="84"/>
      <c r="V5" s="84"/>
      <c r="W5" s="84">
        <v>2</v>
      </c>
      <c r="X5" s="84"/>
      <c r="Y5" s="84"/>
      <c r="Z5" s="84"/>
      <c r="AA5" s="84"/>
      <c r="AB5" s="84">
        <v>1</v>
      </c>
      <c r="AC5" s="84"/>
      <c r="AD5" s="84"/>
      <c r="AE5" s="84"/>
      <c r="AF5" s="84"/>
      <c r="AG5" s="84"/>
      <c r="AH5" s="84"/>
      <c r="AI5" s="84"/>
      <c r="AJ5" s="85"/>
      <c r="AK5" s="2">
        <f t="shared" si="0"/>
        <v>2</v>
      </c>
    </row>
    <row r="6" spans="1:37" x14ac:dyDescent="0.2">
      <c r="A6" t="s">
        <v>37</v>
      </c>
      <c r="B6" s="57" t="s">
        <v>11</v>
      </c>
      <c r="C6" s="57">
        <v>2</v>
      </c>
      <c r="D6" s="57">
        <v>1</v>
      </c>
      <c r="E6" s="58">
        <v>18</v>
      </c>
      <c r="F6" s="90"/>
      <c r="G6" s="84"/>
      <c r="H6" s="84"/>
      <c r="I6" s="84"/>
      <c r="J6" s="84">
        <v>1</v>
      </c>
      <c r="K6" s="84">
        <v>4</v>
      </c>
      <c r="L6" s="84">
        <v>1</v>
      </c>
      <c r="M6" s="84">
        <v>1</v>
      </c>
      <c r="N6" s="84">
        <v>1</v>
      </c>
      <c r="O6" s="84"/>
      <c r="P6" s="84"/>
      <c r="Q6" s="84">
        <v>1</v>
      </c>
      <c r="R6" s="84">
        <v>1</v>
      </c>
      <c r="S6" s="84">
        <v>1</v>
      </c>
      <c r="T6" s="84">
        <v>3</v>
      </c>
      <c r="U6" s="84"/>
      <c r="V6" s="84"/>
      <c r="W6" s="84"/>
      <c r="X6" s="84">
        <v>4</v>
      </c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5"/>
      <c r="AK6" s="2">
        <f t="shared" si="0"/>
        <v>0</v>
      </c>
    </row>
    <row r="7" spans="1:37" x14ac:dyDescent="0.2">
      <c r="A7" t="s">
        <v>37</v>
      </c>
      <c r="B7" s="57" t="s">
        <v>11</v>
      </c>
      <c r="C7" s="57">
        <v>2</v>
      </c>
      <c r="D7" s="57">
        <v>2</v>
      </c>
      <c r="E7" s="58">
        <v>19</v>
      </c>
      <c r="F7" s="90"/>
      <c r="G7" s="84"/>
      <c r="H7" s="84"/>
      <c r="I7" s="84"/>
      <c r="J7" s="84">
        <v>2</v>
      </c>
      <c r="K7" s="84">
        <v>4</v>
      </c>
      <c r="L7" s="84"/>
      <c r="M7" s="84"/>
      <c r="N7" s="84">
        <v>1</v>
      </c>
      <c r="O7" s="84">
        <v>1</v>
      </c>
      <c r="P7" s="84"/>
      <c r="Q7" s="84">
        <v>1</v>
      </c>
      <c r="R7" s="84"/>
      <c r="S7" s="84"/>
      <c r="T7" s="84"/>
      <c r="U7" s="84">
        <v>1</v>
      </c>
      <c r="V7" s="84"/>
      <c r="W7" s="84">
        <v>5</v>
      </c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5"/>
      <c r="AK7" s="2">
        <f t="shared" si="0"/>
        <v>4</v>
      </c>
    </row>
    <row r="8" spans="1:37" x14ac:dyDescent="0.2">
      <c r="A8" t="s">
        <v>37</v>
      </c>
      <c r="B8" s="57" t="s">
        <v>11</v>
      </c>
      <c r="C8" s="57">
        <v>3</v>
      </c>
      <c r="D8" s="57">
        <v>1</v>
      </c>
      <c r="E8" s="58">
        <v>9</v>
      </c>
      <c r="F8" s="90"/>
      <c r="G8" s="84"/>
      <c r="H8" s="84"/>
      <c r="I8" s="84"/>
      <c r="J8" s="84"/>
      <c r="K8" s="84">
        <v>2</v>
      </c>
      <c r="L8" s="84">
        <v>1</v>
      </c>
      <c r="M8" s="84"/>
      <c r="N8" s="84">
        <v>1</v>
      </c>
      <c r="O8" s="84">
        <v>1</v>
      </c>
      <c r="P8" s="84">
        <v>1</v>
      </c>
      <c r="Q8" s="84"/>
      <c r="R8" s="84"/>
      <c r="S8" s="84"/>
      <c r="T8" s="84"/>
      <c r="U8" s="84"/>
      <c r="V8" s="84"/>
      <c r="W8" s="84">
        <v>1</v>
      </c>
      <c r="X8" s="84">
        <v>2</v>
      </c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5"/>
      <c r="AK8" s="2">
        <f t="shared" si="0"/>
        <v>0</v>
      </c>
    </row>
    <row r="9" spans="1:37" x14ac:dyDescent="0.2">
      <c r="A9" t="s">
        <v>37</v>
      </c>
      <c r="B9" s="57" t="s">
        <v>11</v>
      </c>
      <c r="C9" s="57">
        <v>3</v>
      </c>
      <c r="D9" s="57">
        <v>2</v>
      </c>
      <c r="E9" s="58">
        <v>11</v>
      </c>
      <c r="F9" s="90"/>
      <c r="G9" s="84"/>
      <c r="H9" s="84"/>
      <c r="I9" s="84"/>
      <c r="J9" s="84"/>
      <c r="K9" s="84"/>
      <c r="L9" s="84">
        <v>1</v>
      </c>
      <c r="M9" s="84"/>
      <c r="N9" s="84"/>
      <c r="O9" s="84">
        <v>3</v>
      </c>
      <c r="P9" s="84"/>
      <c r="Q9" s="84"/>
      <c r="R9" s="84"/>
      <c r="S9" s="84"/>
      <c r="T9" s="84">
        <v>2</v>
      </c>
      <c r="U9" s="84"/>
      <c r="V9" s="84"/>
      <c r="W9" s="84">
        <v>3</v>
      </c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5"/>
      <c r="AK9" s="2">
        <f t="shared" si="0"/>
        <v>2</v>
      </c>
    </row>
    <row r="10" spans="1:37" x14ac:dyDescent="0.2">
      <c r="A10" t="s">
        <v>37</v>
      </c>
      <c r="B10" s="57" t="s">
        <v>11</v>
      </c>
      <c r="C10" s="57">
        <v>4</v>
      </c>
      <c r="D10" s="57">
        <v>1</v>
      </c>
      <c r="E10" s="58">
        <v>14</v>
      </c>
      <c r="F10" s="90"/>
      <c r="G10" s="84"/>
      <c r="H10" s="84"/>
      <c r="I10" s="84"/>
      <c r="J10" s="84"/>
      <c r="K10" s="84"/>
      <c r="L10" s="84"/>
      <c r="M10" s="84">
        <v>1</v>
      </c>
      <c r="N10" s="84"/>
      <c r="O10" s="84">
        <v>1</v>
      </c>
      <c r="P10" s="84">
        <v>1</v>
      </c>
      <c r="Q10" s="84"/>
      <c r="R10" s="84"/>
      <c r="S10" s="84"/>
      <c r="T10" s="84">
        <v>1</v>
      </c>
      <c r="U10" s="84"/>
      <c r="V10" s="84">
        <v>1</v>
      </c>
      <c r="W10" s="84">
        <v>1</v>
      </c>
      <c r="X10" s="84"/>
      <c r="Y10" s="84"/>
      <c r="Z10" s="84">
        <v>1</v>
      </c>
      <c r="AA10" s="84"/>
      <c r="AB10" s="84">
        <v>1</v>
      </c>
      <c r="AC10" s="84"/>
      <c r="AD10" s="84"/>
      <c r="AE10" s="84"/>
      <c r="AF10" s="84"/>
      <c r="AG10" s="84"/>
      <c r="AH10" s="84"/>
      <c r="AI10" s="84"/>
      <c r="AJ10" s="85"/>
      <c r="AK10" s="2">
        <f t="shared" si="0"/>
        <v>6</v>
      </c>
    </row>
    <row r="11" spans="1:37" x14ac:dyDescent="0.2">
      <c r="A11" t="s">
        <v>37</v>
      </c>
      <c r="B11" s="57" t="s">
        <v>11</v>
      </c>
      <c r="C11" s="57">
        <v>4</v>
      </c>
      <c r="D11" s="57">
        <v>2</v>
      </c>
      <c r="E11" s="58">
        <v>4</v>
      </c>
      <c r="F11" s="90"/>
      <c r="G11" s="84"/>
      <c r="H11" s="84"/>
      <c r="I11" s="84"/>
      <c r="J11" s="84"/>
      <c r="K11" s="84">
        <v>1</v>
      </c>
      <c r="L11" s="84"/>
      <c r="M11" s="84"/>
      <c r="N11" s="84"/>
      <c r="O11" s="84">
        <v>1</v>
      </c>
      <c r="P11" s="84"/>
      <c r="Q11" s="84"/>
      <c r="R11" s="84"/>
      <c r="S11" s="84"/>
      <c r="T11" s="84"/>
      <c r="U11" s="84"/>
      <c r="V11" s="84">
        <v>1</v>
      </c>
      <c r="W11" s="84">
        <v>1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5"/>
      <c r="AK11" s="2">
        <f t="shared" si="0"/>
        <v>0</v>
      </c>
    </row>
    <row r="12" spans="1:37" x14ac:dyDescent="0.2">
      <c r="A12" t="s">
        <v>37</v>
      </c>
      <c r="B12" s="57" t="s">
        <v>11</v>
      </c>
      <c r="C12" s="57">
        <v>5</v>
      </c>
      <c r="D12" s="57">
        <v>1</v>
      </c>
      <c r="E12" s="58">
        <v>12</v>
      </c>
      <c r="F12" s="90"/>
      <c r="G12" s="84"/>
      <c r="H12" s="84"/>
      <c r="I12" s="84"/>
      <c r="J12" s="84"/>
      <c r="K12" s="84"/>
      <c r="L12" s="84"/>
      <c r="M12" s="84"/>
      <c r="N12" s="84">
        <v>1</v>
      </c>
      <c r="O12" s="84">
        <v>2</v>
      </c>
      <c r="P12" s="84"/>
      <c r="Q12" s="84"/>
      <c r="R12" s="84"/>
      <c r="S12" s="84"/>
      <c r="T12" s="84">
        <v>1</v>
      </c>
      <c r="U12" s="84"/>
      <c r="V12" s="84"/>
      <c r="W12" s="84">
        <v>3</v>
      </c>
      <c r="X12" s="84">
        <v>1</v>
      </c>
      <c r="Y12" s="84"/>
      <c r="Z12" s="84">
        <v>1</v>
      </c>
      <c r="AA12" s="84">
        <v>1</v>
      </c>
      <c r="AB12" s="84">
        <v>2</v>
      </c>
      <c r="AC12" s="84"/>
      <c r="AD12" s="84"/>
      <c r="AE12" s="84"/>
      <c r="AF12" s="84"/>
      <c r="AG12" s="84"/>
      <c r="AH12" s="84"/>
      <c r="AI12" s="84"/>
      <c r="AJ12" s="85"/>
      <c r="AK12" s="2">
        <f t="shared" si="0"/>
        <v>0</v>
      </c>
    </row>
    <row r="13" spans="1:37" x14ac:dyDescent="0.2">
      <c r="A13" t="s">
        <v>37</v>
      </c>
      <c r="B13" s="57" t="s">
        <v>11</v>
      </c>
      <c r="C13" s="57">
        <v>5</v>
      </c>
      <c r="D13" s="57">
        <v>2</v>
      </c>
      <c r="E13" s="58">
        <v>15</v>
      </c>
      <c r="F13" s="90"/>
      <c r="G13" s="84"/>
      <c r="H13" s="84"/>
      <c r="I13" s="84"/>
      <c r="J13" s="84"/>
      <c r="K13" s="84"/>
      <c r="L13" s="84"/>
      <c r="M13" s="84"/>
      <c r="N13" s="84">
        <v>1</v>
      </c>
      <c r="O13" s="84">
        <v>2</v>
      </c>
      <c r="P13" s="84"/>
      <c r="Q13" s="84"/>
      <c r="R13" s="84"/>
      <c r="S13" s="84"/>
      <c r="T13" s="84">
        <v>3</v>
      </c>
      <c r="U13" s="84"/>
      <c r="V13" s="84"/>
      <c r="W13" s="84">
        <v>2</v>
      </c>
      <c r="X13" s="84"/>
      <c r="Y13" s="84"/>
      <c r="Z13" s="84">
        <v>3</v>
      </c>
      <c r="AA13" s="84"/>
      <c r="AB13" s="84">
        <v>2</v>
      </c>
      <c r="AC13" s="84">
        <v>1</v>
      </c>
      <c r="AD13" s="84"/>
      <c r="AE13" s="84"/>
      <c r="AF13" s="84">
        <v>2</v>
      </c>
      <c r="AG13" s="84"/>
      <c r="AH13" s="84"/>
      <c r="AI13" s="84"/>
      <c r="AJ13" s="85"/>
      <c r="AK13" s="2">
        <f t="shared" si="0"/>
        <v>-1</v>
      </c>
    </row>
    <row r="14" spans="1:37" x14ac:dyDescent="0.2">
      <c r="A14" t="s">
        <v>37</v>
      </c>
      <c r="B14" s="57" t="s">
        <v>11</v>
      </c>
      <c r="C14" s="57">
        <v>6</v>
      </c>
      <c r="D14" s="57">
        <v>1</v>
      </c>
      <c r="E14" s="58">
        <v>6</v>
      </c>
      <c r="F14" s="90"/>
      <c r="G14" s="84"/>
      <c r="H14" s="84"/>
      <c r="I14" s="84"/>
      <c r="J14" s="84"/>
      <c r="K14" s="84"/>
      <c r="L14" s="84"/>
      <c r="M14" s="84"/>
      <c r="N14" s="84"/>
      <c r="O14" s="84"/>
      <c r="P14" s="84">
        <v>1</v>
      </c>
      <c r="Q14" s="84">
        <v>1</v>
      </c>
      <c r="R14" s="84"/>
      <c r="S14" s="84"/>
      <c r="T14" s="84">
        <v>1</v>
      </c>
      <c r="U14" s="84"/>
      <c r="V14" s="84"/>
      <c r="W14" s="84"/>
      <c r="X14" s="84"/>
      <c r="Y14" s="84"/>
      <c r="Z14" s="84"/>
      <c r="AA14" s="84"/>
      <c r="AB14" s="84">
        <v>1</v>
      </c>
      <c r="AC14" s="84"/>
      <c r="AD14" s="84"/>
      <c r="AE14" s="84"/>
      <c r="AF14" s="84"/>
      <c r="AG14" s="84"/>
      <c r="AH14" s="84"/>
      <c r="AI14" s="84"/>
      <c r="AJ14" s="85"/>
      <c r="AK14" s="2">
        <f t="shared" si="0"/>
        <v>2</v>
      </c>
    </row>
    <row r="15" spans="1:37" x14ac:dyDescent="0.2">
      <c r="A15" t="s">
        <v>37</v>
      </c>
      <c r="B15" s="57" t="s">
        <v>11</v>
      </c>
      <c r="C15" s="57">
        <v>6</v>
      </c>
      <c r="D15" s="57">
        <v>2</v>
      </c>
      <c r="E15" s="58">
        <v>0</v>
      </c>
      <c r="F15" s="90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5"/>
      <c r="AK15" s="2">
        <f t="shared" si="0"/>
        <v>0</v>
      </c>
    </row>
    <row r="16" spans="1:37" x14ac:dyDescent="0.2">
      <c r="A16" t="s">
        <v>37</v>
      </c>
      <c r="B16" s="57" t="s">
        <v>11</v>
      </c>
      <c r="C16" s="57">
        <v>7</v>
      </c>
      <c r="D16" s="57">
        <v>1</v>
      </c>
      <c r="E16" s="58">
        <v>1</v>
      </c>
      <c r="F16" s="90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>
        <v>1</v>
      </c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5"/>
      <c r="AK16" s="2">
        <f t="shared" si="0"/>
        <v>0</v>
      </c>
    </row>
    <row r="17" spans="1:37" x14ac:dyDescent="0.2">
      <c r="A17" t="s">
        <v>37</v>
      </c>
      <c r="B17" s="57" t="s">
        <v>11</v>
      </c>
      <c r="C17" s="57">
        <v>7</v>
      </c>
      <c r="D17" s="57">
        <v>2</v>
      </c>
      <c r="E17" s="58">
        <v>2</v>
      </c>
      <c r="F17" s="90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>
        <v>1</v>
      </c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5"/>
      <c r="AK17" s="2">
        <f t="shared" si="0"/>
        <v>1</v>
      </c>
    </row>
    <row r="18" spans="1:37" x14ac:dyDescent="0.2">
      <c r="A18" t="s">
        <v>37</v>
      </c>
      <c r="B18" s="57" t="s">
        <v>12</v>
      </c>
      <c r="C18" s="57">
        <v>1</v>
      </c>
      <c r="D18" s="57">
        <v>1</v>
      </c>
      <c r="E18" s="58">
        <v>15</v>
      </c>
      <c r="F18" s="90"/>
      <c r="G18" s="84">
        <v>1</v>
      </c>
      <c r="H18" s="84"/>
      <c r="I18" s="84">
        <v>1</v>
      </c>
      <c r="J18" s="84">
        <v>3</v>
      </c>
      <c r="K18" s="84">
        <v>3</v>
      </c>
      <c r="L18" s="84"/>
      <c r="M18" s="84">
        <v>1</v>
      </c>
      <c r="N18" s="84"/>
      <c r="O18" s="84">
        <v>2</v>
      </c>
      <c r="P18" s="84">
        <v>1</v>
      </c>
      <c r="Q18" s="84"/>
      <c r="R18" s="84">
        <v>1</v>
      </c>
      <c r="S18" s="84">
        <v>1</v>
      </c>
      <c r="T18" s="84">
        <v>2</v>
      </c>
      <c r="U18" s="84">
        <v>1</v>
      </c>
      <c r="V18" s="84"/>
      <c r="W18" s="84">
        <v>2</v>
      </c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5"/>
      <c r="AK18" s="2">
        <f t="shared" si="0"/>
        <v>-4</v>
      </c>
    </row>
    <row r="19" spans="1:37" x14ac:dyDescent="0.2">
      <c r="A19" t="s">
        <v>37</v>
      </c>
      <c r="B19" s="57" t="s">
        <v>12</v>
      </c>
      <c r="C19" s="57">
        <v>1</v>
      </c>
      <c r="D19" s="57">
        <v>2</v>
      </c>
      <c r="E19" s="58">
        <v>8</v>
      </c>
      <c r="F19" s="90"/>
      <c r="G19" s="84"/>
      <c r="H19" s="84"/>
      <c r="I19" s="84"/>
      <c r="J19" s="84">
        <v>1</v>
      </c>
      <c r="K19" s="84">
        <v>1</v>
      </c>
      <c r="L19" s="84"/>
      <c r="M19" s="84"/>
      <c r="N19" s="84"/>
      <c r="O19" s="84">
        <v>3</v>
      </c>
      <c r="P19" s="84"/>
      <c r="Q19" s="84"/>
      <c r="R19" s="84"/>
      <c r="S19" s="84"/>
      <c r="T19" s="84">
        <v>4</v>
      </c>
      <c r="U19" s="84"/>
      <c r="V19" s="84"/>
      <c r="W19" s="84">
        <v>1</v>
      </c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5"/>
      <c r="AK19" s="2">
        <f t="shared" si="0"/>
        <v>-2</v>
      </c>
    </row>
    <row r="20" spans="1:37" x14ac:dyDescent="0.2">
      <c r="A20" t="s">
        <v>37</v>
      </c>
      <c r="B20" s="57" t="s">
        <v>12</v>
      </c>
      <c r="C20" s="57">
        <v>2</v>
      </c>
      <c r="D20" s="57">
        <v>1</v>
      </c>
      <c r="E20" s="58">
        <v>16</v>
      </c>
      <c r="F20" s="90"/>
      <c r="G20" s="84"/>
      <c r="H20" s="84"/>
      <c r="I20" s="84"/>
      <c r="J20" s="84">
        <v>3</v>
      </c>
      <c r="K20" s="84">
        <v>3</v>
      </c>
      <c r="L20" s="84"/>
      <c r="M20" s="84">
        <v>1</v>
      </c>
      <c r="N20" s="84">
        <v>3</v>
      </c>
      <c r="O20" s="84"/>
      <c r="P20" s="84"/>
      <c r="Q20" s="84"/>
      <c r="R20" s="84"/>
      <c r="S20" s="84"/>
      <c r="T20" s="84">
        <v>4</v>
      </c>
      <c r="U20" s="84"/>
      <c r="V20" s="84"/>
      <c r="W20" s="84">
        <v>2</v>
      </c>
      <c r="X20" s="84"/>
      <c r="Y20" s="84">
        <v>1</v>
      </c>
      <c r="Z20" s="84"/>
      <c r="AA20" s="84"/>
      <c r="AB20" s="84"/>
      <c r="AC20" s="84"/>
      <c r="AD20" s="84"/>
      <c r="AE20" s="84"/>
      <c r="AF20" s="84">
        <v>1</v>
      </c>
      <c r="AG20" s="84"/>
      <c r="AH20" s="84"/>
      <c r="AI20" s="84"/>
      <c r="AJ20" s="85"/>
      <c r="AK20" s="2">
        <f t="shared" si="0"/>
        <v>-2</v>
      </c>
    </row>
    <row r="21" spans="1:37" x14ac:dyDescent="0.2">
      <c r="A21" t="s">
        <v>37</v>
      </c>
      <c r="B21" s="57" t="s">
        <v>12</v>
      </c>
      <c r="C21" s="57">
        <v>2</v>
      </c>
      <c r="D21" s="57">
        <v>2</v>
      </c>
      <c r="E21" s="58">
        <v>1</v>
      </c>
      <c r="F21" s="90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>
        <v>1</v>
      </c>
      <c r="AA21" s="84"/>
      <c r="AB21" s="84"/>
      <c r="AC21" s="84"/>
      <c r="AD21" s="84"/>
      <c r="AE21" s="84"/>
      <c r="AF21" s="84"/>
      <c r="AG21" s="84"/>
      <c r="AH21" s="84"/>
      <c r="AI21" s="84"/>
      <c r="AJ21" s="85"/>
      <c r="AK21" s="2">
        <f t="shared" si="0"/>
        <v>0</v>
      </c>
    </row>
    <row r="22" spans="1:37" x14ac:dyDescent="0.2">
      <c r="A22" t="s">
        <v>37</v>
      </c>
      <c r="B22" s="57" t="s">
        <v>12</v>
      </c>
      <c r="C22" s="57">
        <v>3</v>
      </c>
      <c r="D22" s="57">
        <v>1</v>
      </c>
      <c r="E22" s="58">
        <v>13</v>
      </c>
      <c r="F22" s="90"/>
      <c r="G22" s="84"/>
      <c r="H22" s="84"/>
      <c r="I22" s="84"/>
      <c r="J22" s="84">
        <v>1</v>
      </c>
      <c r="K22" s="84">
        <v>1</v>
      </c>
      <c r="L22" s="84"/>
      <c r="M22" s="84">
        <v>1</v>
      </c>
      <c r="N22" s="84"/>
      <c r="O22" s="84">
        <v>2</v>
      </c>
      <c r="P22" s="84"/>
      <c r="Q22" s="84"/>
      <c r="R22" s="84"/>
      <c r="S22" s="84"/>
      <c r="T22" s="84">
        <v>2</v>
      </c>
      <c r="U22" s="84"/>
      <c r="V22" s="84">
        <v>1</v>
      </c>
      <c r="W22" s="84">
        <v>4</v>
      </c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5"/>
      <c r="AK22" s="2">
        <f t="shared" si="0"/>
        <v>1</v>
      </c>
    </row>
    <row r="23" spans="1:37" x14ac:dyDescent="0.2">
      <c r="A23" t="s">
        <v>37</v>
      </c>
      <c r="B23" s="57" t="s">
        <v>12</v>
      </c>
      <c r="C23" s="57">
        <v>3</v>
      </c>
      <c r="D23" s="57">
        <v>2</v>
      </c>
      <c r="E23" s="58">
        <v>8</v>
      </c>
      <c r="F23" s="90"/>
      <c r="G23" s="84"/>
      <c r="H23" s="84"/>
      <c r="I23" s="84"/>
      <c r="J23" s="84"/>
      <c r="K23" s="84"/>
      <c r="L23" s="84"/>
      <c r="M23" s="84">
        <v>2</v>
      </c>
      <c r="N23" s="84"/>
      <c r="O23" s="84">
        <v>1</v>
      </c>
      <c r="P23" s="84"/>
      <c r="Q23" s="84"/>
      <c r="R23" s="84"/>
      <c r="S23" s="84"/>
      <c r="T23" s="84"/>
      <c r="U23" s="84"/>
      <c r="V23" s="84">
        <v>1</v>
      </c>
      <c r="W23" s="84">
        <v>1</v>
      </c>
      <c r="X23" s="84">
        <v>1</v>
      </c>
      <c r="Y23" s="84"/>
      <c r="Z23" s="84"/>
      <c r="AA23" s="84"/>
      <c r="AB23" s="84">
        <v>1</v>
      </c>
      <c r="AC23" s="84"/>
      <c r="AD23" s="84"/>
      <c r="AE23" s="84"/>
      <c r="AF23" s="84"/>
      <c r="AG23" s="84"/>
      <c r="AH23" s="84"/>
      <c r="AI23" s="84"/>
      <c r="AJ23" s="85"/>
      <c r="AK23" s="2">
        <f t="shared" si="0"/>
        <v>1</v>
      </c>
    </row>
    <row r="24" spans="1:37" x14ac:dyDescent="0.2">
      <c r="A24" t="s">
        <v>37</v>
      </c>
      <c r="B24" s="57" t="s">
        <v>12</v>
      </c>
      <c r="C24" s="57">
        <v>4</v>
      </c>
      <c r="D24" s="57">
        <v>1</v>
      </c>
      <c r="E24" s="58">
        <v>10</v>
      </c>
      <c r="F24" s="90"/>
      <c r="G24" s="84"/>
      <c r="H24" s="84"/>
      <c r="I24" s="84"/>
      <c r="J24" s="84">
        <v>3</v>
      </c>
      <c r="K24" s="84">
        <v>3</v>
      </c>
      <c r="L24" s="84"/>
      <c r="M24" s="84"/>
      <c r="N24" s="84">
        <v>2</v>
      </c>
      <c r="O24" s="84"/>
      <c r="P24" s="84"/>
      <c r="Q24" s="84"/>
      <c r="R24" s="84">
        <v>1</v>
      </c>
      <c r="S24" s="84"/>
      <c r="T24" s="84"/>
      <c r="U24" s="84"/>
      <c r="V24" s="84"/>
      <c r="W24" s="84">
        <v>1</v>
      </c>
      <c r="X24" s="84"/>
      <c r="Y24" s="84"/>
      <c r="Z24" s="84">
        <v>1</v>
      </c>
      <c r="AA24" s="84"/>
      <c r="AB24" s="84">
        <v>2</v>
      </c>
      <c r="AC24" s="84"/>
      <c r="AD24" s="84"/>
      <c r="AE24" s="84"/>
      <c r="AF24" s="84"/>
      <c r="AG24" s="84"/>
      <c r="AH24" s="84"/>
      <c r="AI24" s="84"/>
      <c r="AJ24" s="85"/>
      <c r="AK24" s="2">
        <f t="shared" si="0"/>
        <v>-3</v>
      </c>
    </row>
    <row r="25" spans="1:37" x14ac:dyDescent="0.2">
      <c r="A25" t="s">
        <v>37</v>
      </c>
      <c r="B25" s="57" t="s">
        <v>12</v>
      </c>
      <c r="C25" s="57">
        <v>4</v>
      </c>
      <c r="D25" s="57">
        <v>2</v>
      </c>
      <c r="E25" s="58">
        <v>12</v>
      </c>
      <c r="F25" s="90"/>
      <c r="G25" s="84"/>
      <c r="H25" s="84"/>
      <c r="I25" s="84"/>
      <c r="J25" s="84">
        <v>1</v>
      </c>
      <c r="K25" s="84">
        <v>1</v>
      </c>
      <c r="L25" s="84">
        <v>1</v>
      </c>
      <c r="M25" s="84"/>
      <c r="N25" s="84"/>
      <c r="O25" s="84">
        <v>1</v>
      </c>
      <c r="P25" s="84"/>
      <c r="Q25" s="84"/>
      <c r="R25" s="84"/>
      <c r="S25" s="84"/>
      <c r="T25" s="84">
        <v>2</v>
      </c>
      <c r="U25" s="84">
        <v>1</v>
      </c>
      <c r="V25" s="84">
        <v>1</v>
      </c>
      <c r="W25" s="84">
        <v>2</v>
      </c>
      <c r="X25" s="84"/>
      <c r="Y25" s="84"/>
      <c r="Z25" s="84">
        <v>1</v>
      </c>
      <c r="AA25" s="84"/>
      <c r="AB25" s="84"/>
      <c r="AC25" s="84"/>
      <c r="AD25" s="84"/>
      <c r="AE25" s="84"/>
      <c r="AF25" s="84"/>
      <c r="AG25" s="84"/>
      <c r="AH25" s="84"/>
      <c r="AI25" s="84"/>
      <c r="AJ25" s="85"/>
      <c r="AK25" s="2">
        <f t="shared" si="0"/>
        <v>1</v>
      </c>
    </row>
    <row r="26" spans="1:37" x14ac:dyDescent="0.2">
      <c r="A26" t="s">
        <v>37</v>
      </c>
      <c r="B26" s="57" t="s">
        <v>12</v>
      </c>
      <c r="C26" s="57">
        <v>5</v>
      </c>
      <c r="D26" s="57">
        <v>1</v>
      </c>
      <c r="E26" s="58">
        <v>3</v>
      </c>
      <c r="F26" s="90"/>
      <c r="G26" s="84"/>
      <c r="H26" s="84"/>
      <c r="I26" s="84"/>
      <c r="J26" s="84"/>
      <c r="K26" s="84"/>
      <c r="L26" s="84"/>
      <c r="M26" s="84">
        <v>1</v>
      </c>
      <c r="N26" s="84"/>
      <c r="O26" s="84"/>
      <c r="P26" s="84"/>
      <c r="Q26" s="84"/>
      <c r="R26" s="84"/>
      <c r="S26" s="84"/>
      <c r="T26" s="84"/>
      <c r="U26" s="84"/>
      <c r="V26" s="84"/>
      <c r="W26" s="84">
        <v>1</v>
      </c>
      <c r="X26" s="84"/>
      <c r="Y26" s="84">
        <v>1</v>
      </c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5"/>
      <c r="AK26" s="2">
        <f t="shared" si="0"/>
        <v>0</v>
      </c>
    </row>
    <row r="27" spans="1:37" x14ac:dyDescent="0.2">
      <c r="A27" t="s">
        <v>37</v>
      </c>
      <c r="B27" s="57" t="s">
        <v>12</v>
      </c>
      <c r="C27" s="57">
        <v>5</v>
      </c>
      <c r="D27" s="57">
        <v>2</v>
      </c>
      <c r="E27" s="58">
        <v>13</v>
      </c>
      <c r="F27" s="90"/>
      <c r="G27" s="84"/>
      <c r="H27" s="84"/>
      <c r="I27" s="84"/>
      <c r="J27" s="84"/>
      <c r="K27" s="84"/>
      <c r="L27" s="84"/>
      <c r="M27" s="84">
        <v>1</v>
      </c>
      <c r="N27" s="84"/>
      <c r="O27" s="84">
        <v>2</v>
      </c>
      <c r="P27" s="84"/>
      <c r="Q27" s="84"/>
      <c r="R27" s="84">
        <v>1</v>
      </c>
      <c r="S27" s="84"/>
      <c r="T27" s="84">
        <v>2</v>
      </c>
      <c r="U27" s="84"/>
      <c r="V27" s="84"/>
      <c r="W27" s="84">
        <v>3</v>
      </c>
      <c r="X27" s="84"/>
      <c r="Y27" s="84"/>
      <c r="Z27" s="84">
        <v>1</v>
      </c>
      <c r="AA27" s="84"/>
      <c r="AB27" s="84"/>
      <c r="AC27" s="84"/>
      <c r="AD27" s="84"/>
      <c r="AE27" s="84"/>
      <c r="AF27" s="84"/>
      <c r="AG27" s="84"/>
      <c r="AH27" s="84"/>
      <c r="AI27" s="84"/>
      <c r="AJ27" s="85"/>
      <c r="AK27" s="2">
        <f t="shared" si="0"/>
        <v>3</v>
      </c>
    </row>
    <row r="28" spans="1:37" x14ac:dyDescent="0.2">
      <c r="A28" t="s">
        <v>37</v>
      </c>
      <c r="B28" s="57" t="s">
        <v>12</v>
      </c>
      <c r="C28" s="57">
        <v>6</v>
      </c>
      <c r="D28" s="57">
        <v>1</v>
      </c>
      <c r="E28" s="58">
        <v>0</v>
      </c>
      <c r="F28" s="90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5"/>
      <c r="AK28" s="2">
        <f t="shared" si="0"/>
        <v>0</v>
      </c>
    </row>
    <row r="29" spans="1:37" x14ac:dyDescent="0.2">
      <c r="A29" t="s">
        <v>37</v>
      </c>
      <c r="B29" s="57" t="s">
        <v>12</v>
      </c>
      <c r="C29" s="57">
        <v>6</v>
      </c>
      <c r="D29" s="57">
        <v>2</v>
      </c>
      <c r="E29" s="58">
        <v>3</v>
      </c>
      <c r="F29" s="90"/>
      <c r="G29" s="84"/>
      <c r="H29" s="84"/>
      <c r="I29" s="84"/>
      <c r="J29" s="84"/>
      <c r="K29" s="84"/>
      <c r="L29" s="84"/>
      <c r="M29" s="84"/>
      <c r="N29" s="84">
        <v>1</v>
      </c>
      <c r="O29" s="84"/>
      <c r="P29" s="84"/>
      <c r="Q29" s="84"/>
      <c r="R29" s="84"/>
      <c r="S29" s="84"/>
      <c r="T29" s="84"/>
      <c r="U29" s="84"/>
      <c r="V29" s="84">
        <v>1</v>
      </c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5"/>
      <c r="AK29" s="2">
        <f t="shared" si="0"/>
        <v>1</v>
      </c>
    </row>
    <row r="30" spans="1:37" x14ac:dyDescent="0.2">
      <c r="A30" t="s">
        <v>37</v>
      </c>
      <c r="B30" s="57" t="s">
        <v>12</v>
      </c>
      <c r="C30" s="57">
        <v>7</v>
      </c>
      <c r="D30" s="57">
        <v>1</v>
      </c>
      <c r="E30" s="58">
        <v>0</v>
      </c>
      <c r="F30" s="90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5"/>
      <c r="AK30" s="2">
        <f t="shared" si="0"/>
        <v>0</v>
      </c>
    </row>
    <row r="31" spans="1:37" x14ac:dyDescent="0.2">
      <c r="A31" t="s">
        <v>37</v>
      </c>
      <c r="B31" s="57" t="s">
        <v>12</v>
      </c>
      <c r="C31" s="57">
        <v>7</v>
      </c>
      <c r="D31" s="57">
        <v>2</v>
      </c>
      <c r="E31" s="58">
        <v>0</v>
      </c>
      <c r="F31" s="90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5"/>
      <c r="AK31" s="2">
        <f t="shared" si="0"/>
        <v>0</v>
      </c>
    </row>
    <row r="32" spans="1:37" x14ac:dyDescent="0.2">
      <c r="A32" t="s">
        <v>37</v>
      </c>
      <c r="B32" s="57" t="s">
        <v>13</v>
      </c>
      <c r="C32" s="57">
        <v>1</v>
      </c>
      <c r="D32" s="57">
        <v>1</v>
      </c>
      <c r="E32" s="58">
        <v>12</v>
      </c>
      <c r="F32" s="90"/>
      <c r="G32" s="84"/>
      <c r="H32" s="84"/>
      <c r="I32" s="84">
        <v>1</v>
      </c>
      <c r="J32" s="84">
        <v>2</v>
      </c>
      <c r="K32" s="84">
        <v>2</v>
      </c>
      <c r="L32" s="84"/>
      <c r="M32" s="84">
        <v>1</v>
      </c>
      <c r="N32" s="84"/>
      <c r="O32" s="84">
        <v>1</v>
      </c>
      <c r="P32" s="84"/>
      <c r="Q32" s="84"/>
      <c r="R32" s="84"/>
      <c r="S32" s="84"/>
      <c r="T32" s="84">
        <v>2</v>
      </c>
      <c r="U32" s="84"/>
      <c r="V32" s="84">
        <v>2</v>
      </c>
      <c r="W32" s="84">
        <v>1</v>
      </c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5"/>
      <c r="AK32" s="2">
        <f t="shared" si="0"/>
        <v>0</v>
      </c>
    </row>
    <row r="33" spans="1:37" x14ac:dyDescent="0.2">
      <c r="A33" t="s">
        <v>37</v>
      </c>
      <c r="B33" s="57" t="s">
        <v>13</v>
      </c>
      <c r="C33" s="57">
        <v>1</v>
      </c>
      <c r="D33" s="57">
        <v>2</v>
      </c>
      <c r="E33" s="58">
        <v>9</v>
      </c>
      <c r="F33" s="90"/>
      <c r="G33" s="84">
        <v>1</v>
      </c>
      <c r="H33" s="84"/>
      <c r="I33" s="84">
        <v>1</v>
      </c>
      <c r="J33" s="84"/>
      <c r="K33" s="84"/>
      <c r="L33" s="84">
        <v>1</v>
      </c>
      <c r="M33" s="84">
        <v>1</v>
      </c>
      <c r="N33" s="84">
        <v>1</v>
      </c>
      <c r="O33" s="84"/>
      <c r="P33" s="84"/>
      <c r="Q33" s="84"/>
      <c r="R33" s="84">
        <v>1</v>
      </c>
      <c r="S33" s="84"/>
      <c r="T33" s="84">
        <v>1</v>
      </c>
      <c r="U33" s="84"/>
      <c r="V33" s="84"/>
      <c r="W33" s="84">
        <v>2</v>
      </c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5"/>
      <c r="AK33" s="2">
        <f t="shared" si="0"/>
        <v>0</v>
      </c>
    </row>
    <row r="34" spans="1:37" x14ac:dyDescent="0.2">
      <c r="A34" t="s">
        <v>37</v>
      </c>
      <c r="B34" s="57" t="s">
        <v>13</v>
      </c>
      <c r="C34" s="57">
        <v>2</v>
      </c>
      <c r="D34" s="57">
        <v>1</v>
      </c>
      <c r="E34" s="58">
        <v>13</v>
      </c>
      <c r="F34" s="90"/>
      <c r="G34" s="84"/>
      <c r="H34" s="84"/>
      <c r="I34" s="84"/>
      <c r="J34" s="84">
        <v>2</v>
      </c>
      <c r="K34" s="84">
        <v>2</v>
      </c>
      <c r="L34" s="84"/>
      <c r="M34" s="84"/>
      <c r="N34" s="84">
        <v>1</v>
      </c>
      <c r="O34" s="84"/>
      <c r="P34" s="84">
        <v>3</v>
      </c>
      <c r="Q34" s="84"/>
      <c r="R34" s="84"/>
      <c r="S34" s="84"/>
      <c r="T34" s="84">
        <v>1</v>
      </c>
      <c r="U34" s="84"/>
      <c r="V34" s="84"/>
      <c r="W34" s="84">
        <v>3</v>
      </c>
      <c r="X34" s="84"/>
      <c r="Y34" s="84">
        <v>1</v>
      </c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5"/>
      <c r="AK34" s="2">
        <f t="shared" si="0"/>
        <v>0</v>
      </c>
    </row>
    <row r="35" spans="1:37" x14ac:dyDescent="0.2">
      <c r="A35" t="s">
        <v>37</v>
      </c>
      <c r="B35" s="57" t="s">
        <v>13</v>
      </c>
      <c r="C35" s="57">
        <v>2</v>
      </c>
      <c r="D35" s="57">
        <v>2</v>
      </c>
      <c r="E35" s="58">
        <v>13</v>
      </c>
      <c r="F35" s="90"/>
      <c r="G35" s="84"/>
      <c r="H35" s="84"/>
      <c r="I35" s="84"/>
      <c r="J35" s="84"/>
      <c r="K35" s="84"/>
      <c r="L35" s="84"/>
      <c r="M35" s="84"/>
      <c r="N35" s="84"/>
      <c r="O35" s="84">
        <v>2</v>
      </c>
      <c r="P35" s="84">
        <v>1</v>
      </c>
      <c r="Q35" s="84"/>
      <c r="R35" s="84"/>
      <c r="S35" s="84"/>
      <c r="T35" s="84">
        <v>1</v>
      </c>
      <c r="U35" s="84">
        <v>1</v>
      </c>
      <c r="V35" s="84">
        <v>1</v>
      </c>
      <c r="W35" s="84">
        <v>2</v>
      </c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5"/>
      <c r="AK35" s="2">
        <f t="shared" si="0"/>
        <v>5</v>
      </c>
    </row>
    <row r="36" spans="1:37" x14ac:dyDescent="0.2">
      <c r="A36" t="s">
        <v>37</v>
      </c>
      <c r="B36" s="57" t="s">
        <v>13</v>
      </c>
      <c r="C36" s="57">
        <v>3</v>
      </c>
      <c r="D36" s="57">
        <v>1</v>
      </c>
      <c r="E36" s="58">
        <v>15</v>
      </c>
      <c r="F36" s="90"/>
      <c r="G36" s="84"/>
      <c r="H36" s="84"/>
      <c r="I36" s="84"/>
      <c r="J36" s="84">
        <v>1</v>
      </c>
      <c r="K36" s="84">
        <v>1</v>
      </c>
      <c r="L36" s="84"/>
      <c r="M36" s="84">
        <v>1</v>
      </c>
      <c r="N36" s="84">
        <v>1</v>
      </c>
      <c r="O36" s="84"/>
      <c r="P36" s="84">
        <v>2</v>
      </c>
      <c r="Q36" s="84"/>
      <c r="R36" s="84">
        <v>1</v>
      </c>
      <c r="S36" s="84"/>
      <c r="T36" s="84">
        <v>1</v>
      </c>
      <c r="U36" s="84"/>
      <c r="V36" s="84">
        <v>1</v>
      </c>
      <c r="W36" s="84">
        <v>2</v>
      </c>
      <c r="X36" s="84"/>
      <c r="Y36" s="84">
        <v>1</v>
      </c>
      <c r="Z36" s="84"/>
      <c r="AA36" s="84">
        <v>1</v>
      </c>
      <c r="AB36" s="84"/>
      <c r="AC36" s="84"/>
      <c r="AD36" s="84"/>
      <c r="AE36" s="84"/>
      <c r="AF36" s="84"/>
      <c r="AG36" s="84"/>
      <c r="AH36" s="84"/>
      <c r="AI36" s="84"/>
      <c r="AJ36" s="85"/>
      <c r="AK36" s="2">
        <f t="shared" si="0"/>
        <v>2</v>
      </c>
    </row>
    <row r="37" spans="1:37" x14ac:dyDescent="0.2">
      <c r="A37" t="s">
        <v>37</v>
      </c>
      <c r="B37" s="57" t="s">
        <v>13</v>
      </c>
      <c r="C37" s="57">
        <v>3</v>
      </c>
      <c r="D37" s="57">
        <v>2</v>
      </c>
      <c r="E37" s="58">
        <v>15</v>
      </c>
      <c r="F37" s="90"/>
      <c r="G37" s="84"/>
      <c r="H37" s="84">
        <v>1</v>
      </c>
      <c r="I37" s="84">
        <v>1</v>
      </c>
      <c r="J37" s="84">
        <v>1</v>
      </c>
      <c r="K37" s="84">
        <v>1</v>
      </c>
      <c r="L37" s="84"/>
      <c r="M37" s="84"/>
      <c r="N37" s="84"/>
      <c r="O37" s="84">
        <v>4</v>
      </c>
      <c r="P37" s="84"/>
      <c r="Q37" s="84"/>
      <c r="R37" s="84"/>
      <c r="S37" s="84">
        <v>1</v>
      </c>
      <c r="T37" s="84">
        <v>1</v>
      </c>
      <c r="U37" s="84"/>
      <c r="V37" s="84"/>
      <c r="W37" s="84">
        <v>4</v>
      </c>
      <c r="X37" s="84">
        <v>1</v>
      </c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5"/>
      <c r="AK37" s="2">
        <f t="shared" si="0"/>
        <v>0</v>
      </c>
    </row>
    <row r="38" spans="1:37" x14ac:dyDescent="0.2">
      <c r="A38" t="s">
        <v>37</v>
      </c>
      <c r="B38" s="57" t="s">
        <v>13</v>
      </c>
      <c r="C38" s="57">
        <v>4</v>
      </c>
      <c r="D38" s="57">
        <v>1</v>
      </c>
      <c r="E38" s="58">
        <v>10</v>
      </c>
      <c r="F38" s="90"/>
      <c r="G38" s="84"/>
      <c r="H38" s="84"/>
      <c r="I38" s="84"/>
      <c r="J38" s="84">
        <v>1</v>
      </c>
      <c r="K38" s="84">
        <v>1</v>
      </c>
      <c r="L38" s="84"/>
      <c r="M38" s="84"/>
      <c r="N38" s="84"/>
      <c r="O38" s="84">
        <v>1</v>
      </c>
      <c r="P38" s="84"/>
      <c r="Q38" s="84">
        <v>1</v>
      </c>
      <c r="R38" s="84"/>
      <c r="S38" s="84"/>
      <c r="T38" s="84"/>
      <c r="U38" s="84"/>
      <c r="V38" s="84">
        <v>1</v>
      </c>
      <c r="W38" s="84">
        <v>2</v>
      </c>
      <c r="X38" s="84">
        <v>1</v>
      </c>
      <c r="Y38" s="84"/>
      <c r="Z38" s="84"/>
      <c r="AA38" s="84">
        <v>1</v>
      </c>
      <c r="AB38" s="84"/>
      <c r="AC38" s="84"/>
      <c r="AD38" s="84"/>
      <c r="AE38" s="84"/>
      <c r="AF38" s="84"/>
      <c r="AG38" s="84"/>
      <c r="AH38" s="84"/>
      <c r="AI38" s="84"/>
      <c r="AJ38" s="85"/>
      <c r="AK38" s="2">
        <f t="shared" si="0"/>
        <v>1</v>
      </c>
    </row>
    <row r="39" spans="1:37" x14ac:dyDescent="0.2">
      <c r="A39" t="s">
        <v>37</v>
      </c>
      <c r="B39" s="57" t="s">
        <v>13</v>
      </c>
      <c r="C39" s="57">
        <v>4</v>
      </c>
      <c r="D39" s="57">
        <v>2</v>
      </c>
      <c r="E39" s="58">
        <v>11</v>
      </c>
      <c r="F39" s="90"/>
      <c r="G39" s="84"/>
      <c r="H39" s="84"/>
      <c r="I39" s="84"/>
      <c r="J39" s="84"/>
      <c r="K39" s="84"/>
      <c r="L39" s="84">
        <v>2</v>
      </c>
      <c r="M39" s="84"/>
      <c r="N39" s="84"/>
      <c r="O39" s="84">
        <v>1</v>
      </c>
      <c r="P39" s="84"/>
      <c r="Q39" s="84"/>
      <c r="R39" s="84"/>
      <c r="S39" s="84">
        <v>1</v>
      </c>
      <c r="T39" s="84"/>
      <c r="U39" s="84"/>
      <c r="V39" s="84"/>
      <c r="W39" s="84">
        <v>3</v>
      </c>
      <c r="X39" s="84">
        <v>1</v>
      </c>
      <c r="Y39" s="84"/>
      <c r="Z39" s="84">
        <v>1</v>
      </c>
      <c r="AA39" s="84"/>
      <c r="AB39" s="84"/>
      <c r="AC39" s="84"/>
      <c r="AD39" s="84"/>
      <c r="AE39" s="84"/>
      <c r="AF39" s="84"/>
      <c r="AG39" s="84"/>
      <c r="AH39" s="84"/>
      <c r="AI39" s="84"/>
      <c r="AJ39" s="85"/>
      <c r="AK39" s="2">
        <f t="shared" si="0"/>
        <v>2</v>
      </c>
    </row>
    <row r="40" spans="1:37" x14ac:dyDescent="0.2">
      <c r="A40" t="s">
        <v>37</v>
      </c>
      <c r="B40" s="57" t="s">
        <v>13</v>
      </c>
      <c r="C40" s="57">
        <v>5</v>
      </c>
      <c r="D40" s="57">
        <v>1</v>
      </c>
      <c r="E40" s="58">
        <v>10</v>
      </c>
      <c r="F40" s="90"/>
      <c r="G40" s="84"/>
      <c r="H40" s="84"/>
      <c r="I40" s="84"/>
      <c r="J40" s="84"/>
      <c r="K40" s="84"/>
      <c r="L40" s="84"/>
      <c r="M40" s="84">
        <v>1</v>
      </c>
      <c r="N40" s="84">
        <v>1</v>
      </c>
      <c r="O40" s="84"/>
      <c r="P40" s="84">
        <v>1</v>
      </c>
      <c r="Q40" s="84"/>
      <c r="R40" s="84"/>
      <c r="S40" s="84"/>
      <c r="T40" s="84"/>
      <c r="U40" s="84"/>
      <c r="V40" s="84"/>
      <c r="W40" s="84">
        <v>2</v>
      </c>
      <c r="X40" s="84">
        <v>2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5"/>
      <c r="AK40" s="2">
        <f t="shared" si="0"/>
        <v>3</v>
      </c>
    </row>
    <row r="41" spans="1:37" x14ac:dyDescent="0.2">
      <c r="A41" t="s">
        <v>37</v>
      </c>
      <c r="B41" s="57" t="s">
        <v>13</v>
      </c>
      <c r="C41" s="57">
        <v>5</v>
      </c>
      <c r="D41" s="57">
        <v>2</v>
      </c>
      <c r="E41" s="58">
        <v>12</v>
      </c>
      <c r="F41" s="90"/>
      <c r="G41" s="84"/>
      <c r="H41" s="84"/>
      <c r="I41" s="84"/>
      <c r="J41" s="84">
        <v>1</v>
      </c>
      <c r="K41" s="84">
        <v>1</v>
      </c>
      <c r="L41" s="84"/>
      <c r="M41" s="84"/>
      <c r="N41" s="84"/>
      <c r="O41" s="84">
        <v>2</v>
      </c>
      <c r="P41" s="84">
        <v>1</v>
      </c>
      <c r="Q41" s="84"/>
      <c r="R41" s="84">
        <v>1</v>
      </c>
      <c r="S41" s="84"/>
      <c r="T41" s="84">
        <v>1</v>
      </c>
      <c r="U41" s="84"/>
      <c r="V41" s="84"/>
      <c r="W41" s="84">
        <v>4</v>
      </c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5"/>
      <c r="AK41" s="2">
        <f t="shared" si="0"/>
        <v>1</v>
      </c>
    </row>
    <row r="42" spans="1:37" x14ac:dyDescent="0.2">
      <c r="A42" t="s">
        <v>37</v>
      </c>
      <c r="B42" s="57" t="s">
        <v>13</v>
      </c>
      <c r="C42" s="57">
        <v>6</v>
      </c>
      <c r="D42" s="57">
        <v>1</v>
      </c>
      <c r="E42" s="58">
        <v>0</v>
      </c>
      <c r="F42" s="90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5"/>
      <c r="AK42" s="2">
        <f t="shared" si="0"/>
        <v>0</v>
      </c>
    </row>
    <row r="43" spans="1:37" x14ac:dyDescent="0.2">
      <c r="A43" t="s">
        <v>37</v>
      </c>
      <c r="B43" s="57" t="s">
        <v>13</v>
      </c>
      <c r="C43" s="57">
        <v>6</v>
      </c>
      <c r="D43" s="57">
        <v>2</v>
      </c>
      <c r="E43" s="58">
        <v>6</v>
      </c>
      <c r="F43" s="90"/>
      <c r="G43" s="84"/>
      <c r="H43" s="84"/>
      <c r="I43" s="84"/>
      <c r="J43" s="84"/>
      <c r="K43" s="84"/>
      <c r="L43" s="84"/>
      <c r="M43" s="84"/>
      <c r="N43" s="84"/>
      <c r="O43" s="84">
        <v>2</v>
      </c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>
        <v>1</v>
      </c>
      <c r="AB43" s="84">
        <v>1</v>
      </c>
      <c r="AC43" s="84"/>
      <c r="AD43" s="84"/>
      <c r="AE43" s="84"/>
      <c r="AF43" s="84"/>
      <c r="AG43" s="84"/>
      <c r="AH43" s="84"/>
      <c r="AI43" s="84"/>
      <c r="AJ43" s="85"/>
      <c r="AK43" s="2">
        <f t="shared" si="0"/>
        <v>2</v>
      </c>
    </row>
    <row r="44" spans="1:37" x14ac:dyDescent="0.2">
      <c r="A44" t="s">
        <v>37</v>
      </c>
      <c r="B44" s="57" t="s">
        <v>13</v>
      </c>
      <c r="C44" s="57">
        <v>7</v>
      </c>
      <c r="D44" s="57">
        <v>1</v>
      </c>
      <c r="E44" s="58">
        <v>0</v>
      </c>
      <c r="F44" s="90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5"/>
      <c r="AK44" s="2">
        <f t="shared" si="0"/>
        <v>0</v>
      </c>
    </row>
    <row r="45" spans="1:37" x14ac:dyDescent="0.2">
      <c r="A45" t="s">
        <v>37</v>
      </c>
      <c r="B45" s="57" t="s">
        <v>13</v>
      </c>
      <c r="C45" s="57">
        <v>7</v>
      </c>
      <c r="D45" s="57">
        <v>2</v>
      </c>
      <c r="E45" s="58">
        <v>1</v>
      </c>
      <c r="F45" s="90"/>
      <c r="G45" s="84"/>
      <c r="H45" s="84"/>
      <c r="I45" s="84"/>
      <c r="J45" s="84"/>
      <c r="K45" s="84"/>
      <c r="L45" s="84"/>
      <c r="M45" s="84"/>
      <c r="N45" s="84"/>
      <c r="O45" s="84"/>
      <c r="P45" s="84">
        <v>1</v>
      </c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5"/>
      <c r="AK45" s="2">
        <f t="shared" si="0"/>
        <v>0</v>
      </c>
    </row>
    <row r="46" spans="1:37" x14ac:dyDescent="0.2">
      <c r="A46" t="s">
        <v>37</v>
      </c>
      <c r="B46" s="57" t="s">
        <v>14</v>
      </c>
      <c r="C46" s="57">
        <v>1</v>
      </c>
      <c r="D46" s="57">
        <v>1</v>
      </c>
      <c r="E46" s="58">
        <v>7</v>
      </c>
      <c r="F46" s="90"/>
      <c r="G46" s="84"/>
      <c r="H46" s="84"/>
      <c r="I46" s="84"/>
      <c r="J46" s="84"/>
      <c r="K46" s="84">
        <v>1</v>
      </c>
      <c r="L46" s="84">
        <v>1</v>
      </c>
      <c r="M46" s="84"/>
      <c r="N46" s="84"/>
      <c r="O46" s="84">
        <v>1</v>
      </c>
      <c r="P46" s="84"/>
      <c r="Q46" s="84"/>
      <c r="R46" s="84">
        <v>1</v>
      </c>
      <c r="S46" s="84"/>
      <c r="T46" s="84">
        <v>1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5"/>
      <c r="AK46" s="2">
        <f t="shared" si="0"/>
        <v>2</v>
      </c>
    </row>
    <row r="47" spans="1:37" x14ac:dyDescent="0.2">
      <c r="A47" t="s">
        <v>37</v>
      </c>
      <c r="B47" s="57" t="s">
        <v>14</v>
      </c>
      <c r="C47" s="57">
        <v>1</v>
      </c>
      <c r="D47" s="57">
        <v>2</v>
      </c>
      <c r="E47" s="58">
        <v>0</v>
      </c>
      <c r="F47" s="90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5"/>
      <c r="AK47" s="2">
        <f t="shared" si="0"/>
        <v>0</v>
      </c>
    </row>
    <row r="48" spans="1:37" x14ac:dyDescent="0.2">
      <c r="A48" t="s">
        <v>37</v>
      </c>
      <c r="B48" s="57" t="s">
        <v>14</v>
      </c>
      <c r="C48" s="57">
        <v>2</v>
      </c>
      <c r="D48" s="57">
        <v>1</v>
      </c>
      <c r="E48" s="58">
        <v>17</v>
      </c>
      <c r="F48" s="90"/>
      <c r="G48" s="84"/>
      <c r="H48" s="84">
        <v>2</v>
      </c>
      <c r="I48" s="84">
        <v>1</v>
      </c>
      <c r="J48" s="84">
        <v>1</v>
      </c>
      <c r="K48" s="84"/>
      <c r="L48" s="84"/>
      <c r="M48" s="84">
        <v>4</v>
      </c>
      <c r="N48" s="84"/>
      <c r="O48" s="84">
        <v>3</v>
      </c>
      <c r="P48" s="84"/>
      <c r="Q48" s="84">
        <v>1</v>
      </c>
      <c r="R48" s="84"/>
      <c r="S48" s="84">
        <v>1</v>
      </c>
      <c r="T48" s="84">
        <v>1</v>
      </c>
      <c r="U48" s="84">
        <v>1</v>
      </c>
      <c r="V48" s="84">
        <v>2</v>
      </c>
      <c r="W48" s="84">
        <v>1</v>
      </c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5"/>
      <c r="AK48" s="2">
        <f t="shared" si="0"/>
        <v>-1</v>
      </c>
    </row>
    <row r="49" spans="1:37" x14ac:dyDescent="0.2">
      <c r="A49" t="s">
        <v>37</v>
      </c>
      <c r="B49" s="57" t="s">
        <v>14</v>
      </c>
      <c r="C49" s="57">
        <v>2</v>
      </c>
      <c r="D49" s="57">
        <v>2</v>
      </c>
      <c r="E49" s="58">
        <v>14</v>
      </c>
      <c r="F49" s="90"/>
      <c r="G49" s="84"/>
      <c r="H49" s="84"/>
      <c r="I49" s="84">
        <v>1</v>
      </c>
      <c r="J49" s="84"/>
      <c r="K49" s="84"/>
      <c r="L49" s="84">
        <v>1</v>
      </c>
      <c r="M49" s="84">
        <v>1</v>
      </c>
      <c r="N49" s="84"/>
      <c r="O49" s="84"/>
      <c r="P49" s="84">
        <v>1</v>
      </c>
      <c r="Q49" s="84">
        <v>2</v>
      </c>
      <c r="R49" s="84">
        <v>1</v>
      </c>
      <c r="S49" s="84"/>
      <c r="T49" s="84">
        <v>1</v>
      </c>
      <c r="U49" s="84">
        <v>2</v>
      </c>
      <c r="V49" s="84"/>
      <c r="W49" s="84">
        <v>3</v>
      </c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5"/>
      <c r="AK49" s="2">
        <f t="shared" si="0"/>
        <v>1</v>
      </c>
    </row>
    <row r="50" spans="1:37" x14ac:dyDescent="0.2">
      <c r="A50" t="s">
        <v>37</v>
      </c>
      <c r="B50" s="57" t="s">
        <v>14</v>
      </c>
      <c r="C50" s="57">
        <v>3</v>
      </c>
      <c r="D50" s="57">
        <v>1</v>
      </c>
      <c r="E50" s="58">
        <v>10</v>
      </c>
      <c r="F50" s="90"/>
      <c r="G50" s="84"/>
      <c r="H50" s="84"/>
      <c r="I50" s="84"/>
      <c r="J50" s="84"/>
      <c r="K50" s="84">
        <v>1</v>
      </c>
      <c r="L50" s="84"/>
      <c r="M50" s="84">
        <v>1</v>
      </c>
      <c r="N50" s="84">
        <v>1</v>
      </c>
      <c r="O50" s="84">
        <v>1</v>
      </c>
      <c r="P50" s="84"/>
      <c r="Q50" s="84">
        <v>2</v>
      </c>
      <c r="R50" s="84"/>
      <c r="S50" s="84">
        <v>1</v>
      </c>
      <c r="T50" s="84">
        <v>1</v>
      </c>
      <c r="U50" s="84"/>
      <c r="V50" s="84"/>
      <c r="W50" s="84"/>
      <c r="X50" s="84">
        <v>3</v>
      </c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5"/>
      <c r="AK50" s="2">
        <f t="shared" si="0"/>
        <v>-1</v>
      </c>
    </row>
    <row r="51" spans="1:37" x14ac:dyDescent="0.2">
      <c r="A51" t="s">
        <v>37</v>
      </c>
      <c r="B51" s="57" t="s">
        <v>14</v>
      </c>
      <c r="C51" s="57">
        <v>3</v>
      </c>
      <c r="D51" s="57">
        <v>2</v>
      </c>
      <c r="E51" s="58">
        <v>1</v>
      </c>
      <c r="F51" s="90"/>
      <c r="G51" s="84"/>
      <c r="H51" s="84"/>
      <c r="I51" s="84"/>
      <c r="J51" s="84"/>
      <c r="K51" s="84">
        <v>1</v>
      </c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5"/>
      <c r="AK51" s="2">
        <f t="shared" si="0"/>
        <v>0</v>
      </c>
    </row>
    <row r="52" spans="1:37" x14ac:dyDescent="0.2">
      <c r="A52" t="s">
        <v>37</v>
      </c>
      <c r="B52" s="57" t="s">
        <v>14</v>
      </c>
      <c r="C52" s="57">
        <v>4</v>
      </c>
      <c r="D52" s="57">
        <v>1</v>
      </c>
      <c r="E52" s="58">
        <v>6</v>
      </c>
      <c r="F52" s="90"/>
      <c r="G52" s="84"/>
      <c r="H52" s="84"/>
      <c r="I52" s="84"/>
      <c r="J52" s="84"/>
      <c r="K52" s="84"/>
      <c r="L52" s="84">
        <v>1</v>
      </c>
      <c r="M52" s="84"/>
      <c r="N52" s="84"/>
      <c r="O52" s="84">
        <v>1</v>
      </c>
      <c r="P52" s="84"/>
      <c r="Q52" s="84"/>
      <c r="R52" s="84">
        <v>1</v>
      </c>
      <c r="S52" s="84"/>
      <c r="T52" s="84">
        <v>1</v>
      </c>
      <c r="U52" s="84"/>
      <c r="V52" s="84"/>
      <c r="W52" s="84">
        <v>2</v>
      </c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5"/>
      <c r="AK52" s="2">
        <f t="shared" si="0"/>
        <v>0</v>
      </c>
    </row>
    <row r="53" spans="1:37" x14ac:dyDescent="0.2">
      <c r="A53" t="s">
        <v>37</v>
      </c>
      <c r="B53" s="57" t="s">
        <v>14</v>
      </c>
      <c r="C53" s="57">
        <v>4</v>
      </c>
      <c r="D53" s="57">
        <v>2</v>
      </c>
      <c r="E53" s="58">
        <v>4</v>
      </c>
      <c r="F53" s="90"/>
      <c r="G53" s="84"/>
      <c r="H53" s="84"/>
      <c r="I53" s="84"/>
      <c r="J53" s="84"/>
      <c r="K53" s="84"/>
      <c r="L53" s="84"/>
      <c r="M53" s="84"/>
      <c r="N53" s="84">
        <v>1</v>
      </c>
      <c r="O53" s="84">
        <v>1</v>
      </c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5"/>
      <c r="AK53" s="2">
        <f t="shared" si="0"/>
        <v>2</v>
      </c>
    </row>
    <row r="54" spans="1:37" x14ac:dyDescent="0.2">
      <c r="A54" t="s">
        <v>37</v>
      </c>
      <c r="B54" s="57" t="s">
        <v>14</v>
      </c>
      <c r="C54" s="57">
        <v>5</v>
      </c>
      <c r="D54" s="57">
        <v>1</v>
      </c>
      <c r="E54" s="58">
        <v>3</v>
      </c>
      <c r="F54" s="90"/>
      <c r="G54" s="84"/>
      <c r="H54" s="84"/>
      <c r="I54" s="84"/>
      <c r="J54" s="84"/>
      <c r="K54" s="84"/>
      <c r="L54" s="84"/>
      <c r="M54" s="84"/>
      <c r="N54" s="84"/>
      <c r="O54" s="84">
        <v>1</v>
      </c>
      <c r="P54" s="84"/>
      <c r="Q54" s="84"/>
      <c r="R54" s="84"/>
      <c r="S54" s="84"/>
      <c r="T54" s="84">
        <v>1</v>
      </c>
      <c r="U54" s="84"/>
      <c r="V54" s="84"/>
      <c r="W54" s="84">
        <v>1</v>
      </c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5"/>
      <c r="AK54" s="2">
        <f t="shared" si="0"/>
        <v>0</v>
      </c>
    </row>
    <row r="55" spans="1:37" x14ac:dyDescent="0.2">
      <c r="A55" t="s">
        <v>37</v>
      </c>
      <c r="B55" s="57" t="s">
        <v>14</v>
      </c>
      <c r="C55" s="57">
        <v>5</v>
      </c>
      <c r="D55" s="57">
        <v>2</v>
      </c>
      <c r="E55" s="58">
        <v>2</v>
      </c>
      <c r="F55" s="90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>
        <v>1</v>
      </c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5"/>
      <c r="AK55" s="2">
        <f t="shared" si="0"/>
        <v>1</v>
      </c>
    </row>
    <row r="56" spans="1:37" x14ac:dyDescent="0.2">
      <c r="A56" t="s">
        <v>37</v>
      </c>
      <c r="B56" s="57" t="s">
        <v>14</v>
      </c>
      <c r="C56" s="57">
        <v>6</v>
      </c>
      <c r="D56" s="57">
        <v>1</v>
      </c>
      <c r="E56" s="58">
        <v>0</v>
      </c>
      <c r="F56" s="90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5"/>
      <c r="AK56" s="2">
        <f t="shared" si="0"/>
        <v>0</v>
      </c>
    </row>
    <row r="57" spans="1:37" x14ac:dyDescent="0.2">
      <c r="A57" t="s">
        <v>37</v>
      </c>
      <c r="B57" s="57" t="s">
        <v>14</v>
      </c>
      <c r="C57" s="57">
        <v>6</v>
      </c>
      <c r="D57" s="57">
        <v>2</v>
      </c>
      <c r="E57" s="58">
        <v>1</v>
      </c>
      <c r="F57" s="90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5"/>
      <c r="AK57" s="2">
        <f t="shared" si="0"/>
        <v>1</v>
      </c>
    </row>
    <row r="58" spans="1:37" x14ac:dyDescent="0.2">
      <c r="A58" t="s">
        <v>37</v>
      </c>
      <c r="B58" s="57" t="s">
        <v>14</v>
      </c>
      <c r="C58" s="57">
        <v>7</v>
      </c>
      <c r="D58" s="57">
        <v>1</v>
      </c>
      <c r="E58" s="58">
        <v>1</v>
      </c>
      <c r="F58" s="90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5"/>
      <c r="AK58" s="2">
        <f t="shared" si="0"/>
        <v>1</v>
      </c>
    </row>
    <row r="59" spans="1:37" x14ac:dyDescent="0.2">
      <c r="A59" t="s">
        <v>37</v>
      </c>
      <c r="B59" s="57" t="s">
        <v>14</v>
      </c>
      <c r="C59" s="57">
        <v>7</v>
      </c>
      <c r="D59" s="57">
        <v>2</v>
      </c>
      <c r="E59" s="58">
        <v>0</v>
      </c>
      <c r="F59" s="90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5"/>
      <c r="AK59" s="2">
        <f t="shared" si="0"/>
        <v>0</v>
      </c>
    </row>
    <row r="60" spans="1:37" x14ac:dyDescent="0.2">
      <c r="A60" t="s">
        <v>37</v>
      </c>
      <c r="B60" s="59" t="s">
        <v>15</v>
      </c>
      <c r="C60" s="59">
        <v>1</v>
      </c>
      <c r="D60" s="57">
        <v>1</v>
      </c>
      <c r="E60" s="58">
        <v>19</v>
      </c>
      <c r="F60" s="90"/>
      <c r="G60" s="84">
        <v>1</v>
      </c>
      <c r="H60" s="84"/>
      <c r="I60" s="84">
        <v>1</v>
      </c>
      <c r="J60" s="84">
        <v>2</v>
      </c>
      <c r="K60" s="84">
        <v>1</v>
      </c>
      <c r="L60" s="84">
        <v>1</v>
      </c>
      <c r="M60" s="84"/>
      <c r="N60" s="84"/>
      <c r="O60" s="84">
        <v>3</v>
      </c>
      <c r="P60" s="84"/>
      <c r="Q60" s="84">
        <v>2</v>
      </c>
      <c r="R60" s="84"/>
      <c r="S60" s="84"/>
      <c r="T60" s="84">
        <v>3</v>
      </c>
      <c r="U60" s="84"/>
      <c r="V60" s="84"/>
      <c r="W60" s="84">
        <v>2</v>
      </c>
      <c r="X60" s="84"/>
      <c r="Y60" s="84"/>
      <c r="Z60" s="84">
        <v>1</v>
      </c>
      <c r="AA60" s="84"/>
      <c r="AB60" s="84"/>
      <c r="AC60" s="84"/>
      <c r="AD60" s="84"/>
      <c r="AE60" s="84"/>
      <c r="AF60" s="84"/>
      <c r="AG60" s="84"/>
      <c r="AH60" s="84"/>
      <c r="AI60" s="84"/>
      <c r="AJ60" s="85"/>
      <c r="AK60" s="2">
        <f t="shared" si="0"/>
        <v>2</v>
      </c>
    </row>
    <row r="61" spans="1:37" x14ac:dyDescent="0.2">
      <c r="A61" t="s">
        <v>37</v>
      </c>
      <c r="B61" s="59" t="s">
        <v>15</v>
      </c>
      <c r="C61" s="59">
        <v>1</v>
      </c>
      <c r="D61" s="57">
        <v>2</v>
      </c>
      <c r="E61" s="58">
        <v>19</v>
      </c>
      <c r="F61" s="90"/>
      <c r="G61" s="84"/>
      <c r="H61" s="84"/>
      <c r="I61" s="84"/>
      <c r="J61" s="84"/>
      <c r="K61" s="84">
        <v>2</v>
      </c>
      <c r="L61" s="84">
        <v>1</v>
      </c>
      <c r="M61" s="84">
        <v>2</v>
      </c>
      <c r="N61" s="84"/>
      <c r="O61" s="84">
        <v>3</v>
      </c>
      <c r="P61" s="84"/>
      <c r="Q61" s="84">
        <v>2</v>
      </c>
      <c r="R61" s="84"/>
      <c r="S61" s="84"/>
      <c r="T61" s="84">
        <v>2</v>
      </c>
      <c r="U61" s="84"/>
      <c r="V61" s="84">
        <v>1</v>
      </c>
      <c r="W61" s="84">
        <v>2</v>
      </c>
      <c r="X61" s="84"/>
      <c r="Y61" s="84"/>
      <c r="Z61" s="84">
        <v>2</v>
      </c>
      <c r="AA61" s="84"/>
      <c r="AB61" s="84"/>
      <c r="AC61" s="84"/>
      <c r="AD61" s="84"/>
      <c r="AE61" s="84"/>
      <c r="AF61" s="84"/>
      <c r="AG61" s="84"/>
      <c r="AH61" s="84"/>
      <c r="AI61" s="84"/>
      <c r="AJ61" s="85"/>
      <c r="AK61" s="2">
        <f t="shared" si="0"/>
        <v>2</v>
      </c>
    </row>
    <row r="62" spans="1:37" x14ac:dyDescent="0.2">
      <c r="A62" t="s">
        <v>37</v>
      </c>
      <c r="B62" s="59" t="s">
        <v>15</v>
      </c>
      <c r="C62" s="59">
        <v>2</v>
      </c>
      <c r="D62" s="57">
        <v>1</v>
      </c>
      <c r="E62" s="58">
        <v>3</v>
      </c>
      <c r="F62" s="90"/>
      <c r="G62" s="84"/>
      <c r="H62" s="84"/>
      <c r="I62" s="84"/>
      <c r="J62" s="84"/>
      <c r="K62" s="84"/>
      <c r="L62" s="84"/>
      <c r="M62" s="84"/>
      <c r="N62" s="84">
        <v>1</v>
      </c>
      <c r="O62" s="84"/>
      <c r="P62" s="84"/>
      <c r="Q62" s="84"/>
      <c r="R62" s="84"/>
      <c r="S62" s="84">
        <v>1</v>
      </c>
      <c r="T62" s="84"/>
      <c r="U62" s="84">
        <v>1</v>
      </c>
      <c r="V62" s="84"/>
      <c r="W62" s="84">
        <v>2</v>
      </c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5"/>
      <c r="AK62" s="2">
        <f t="shared" si="0"/>
        <v>-2</v>
      </c>
    </row>
    <row r="63" spans="1:37" x14ac:dyDescent="0.2">
      <c r="A63" t="s">
        <v>37</v>
      </c>
      <c r="B63" s="59" t="s">
        <v>15</v>
      </c>
      <c r="C63" s="59">
        <v>2</v>
      </c>
      <c r="D63" s="57">
        <v>2</v>
      </c>
      <c r="E63" s="58">
        <v>6</v>
      </c>
      <c r="F63" s="90"/>
      <c r="G63" s="84"/>
      <c r="H63" s="84"/>
      <c r="I63" s="84"/>
      <c r="J63" s="84">
        <v>1</v>
      </c>
      <c r="K63" s="84"/>
      <c r="L63" s="84"/>
      <c r="M63" s="84"/>
      <c r="N63" s="84">
        <v>1</v>
      </c>
      <c r="O63" s="84"/>
      <c r="P63" s="84"/>
      <c r="Q63" s="84"/>
      <c r="R63" s="84"/>
      <c r="S63" s="84"/>
      <c r="T63" s="84">
        <v>1</v>
      </c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5"/>
      <c r="AK63" s="2">
        <f t="shared" si="0"/>
        <v>3</v>
      </c>
    </row>
    <row r="64" spans="1:37" x14ac:dyDescent="0.2">
      <c r="A64" t="s">
        <v>37</v>
      </c>
      <c r="B64" s="59" t="s">
        <v>15</v>
      </c>
      <c r="C64" s="59">
        <v>3</v>
      </c>
      <c r="D64" s="57">
        <v>1</v>
      </c>
      <c r="E64" s="58">
        <v>10</v>
      </c>
      <c r="F64" s="90"/>
      <c r="G64" s="84"/>
      <c r="H64" s="84"/>
      <c r="I64" s="84"/>
      <c r="J64" s="84">
        <v>1</v>
      </c>
      <c r="K64" s="84">
        <v>1</v>
      </c>
      <c r="L64" s="84"/>
      <c r="M64" s="84"/>
      <c r="N64" s="84"/>
      <c r="O64" s="84">
        <v>1</v>
      </c>
      <c r="P64" s="84">
        <v>1</v>
      </c>
      <c r="Q64" s="84"/>
      <c r="R64" s="84"/>
      <c r="S64" s="84">
        <v>1</v>
      </c>
      <c r="T64" s="84"/>
      <c r="U64" s="84"/>
      <c r="V64" s="84"/>
      <c r="W64" s="84">
        <v>2</v>
      </c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5"/>
      <c r="AK64" s="2">
        <f t="shared" si="0"/>
        <v>3</v>
      </c>
    </row>
    <row r="65" spans="1:37" x14ac:dyDescent="0.2">
      <c r="A65" t="s">
        <v>37</v>
      </c>
      <c r="B65" s="59" t="s">
        <v>15</v>
      </c>
      <c r="C65" s="59">
        <v>3</v>
      </c>
      <c r="D65" s="57">
        <v>2</v>
      </c>
      <c r="E65" s="58">
        <v>11</v>
      </c>
      <c r="F65" s="90"/>
      <c r="G65" s="84"/>
      <c r="H65" s="84"/>
      <c r="I65" s="84"/>
      <c r="J65" s="84">
        <v>1</v>
      </c>
      <c r="K65" s="84"/>
      <c r="L65" s="84"/>
      <c r="M65" s="84"/>
      <c r="N65" s="84"/>
      <c r="O65" s="84">
        <v>1</v>
      </c>
      <c r="P65" s="84">
        <v>1</v>
      </c>
      <c r="Q65" s="84">
        <v>1</v>
      </c>
      <c r="R65" s="84"/>
      <c r="S65" s="84"/>
      <c r="T65" s="84">
        <v>2</v>
      </c>
      <c r="U65" s="84"/>
      <c r="V65" s="84">
        <v>2</v>
      </c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5"/>
      <c r="AK65" s="2">
        <f t="shared" si="0"/>
        <v>3</v>
      </c>
    </row>
    <row r="66" spans="1:37" x14ac:dyDescent="0.2">
      <c r="A66" t="s">
        <v>37</v>
      </c>
      <c r="B66" s="59" t="s">
        <v>15</v>
      </c>
      <c r="C66" s="59">
        <v>4</v>
      </c>
      <c r="D66" s="57">
        <v>1</v>
      </c>
      <c r="E66" s="58">
        <v>7</v>
      </c>
      <c r="F66" s="90"/>
      <c r="G66" s="84"/>
      <c r="H66" s="84"/>
      <c r="I66" s="84">
        <v>1</v>
      </c>
      <c r="J66" s="84"/>
      <c r="K66" s="84">
        <v>1</v>
      </c>
      <c r="L66" s="84"/>
      <c r="M66" s="84"/>
      <c r="N66" s="84"/>
      <c r="O66" s="84"/>
      <c r="P66" s="84"/>
      <c r="Q66" s="84"/>
      <c r="R66" s="84"/>
      <c r="S66" s="84"/>
      <c r="T66" s="84">
        <v>2</v>
      </c>
      <c r="U66" s="84">
        <v>1</v>
      </c>
      <c r="V66" s="84"/>
      <c r="W66" s="84"/>
      <c r="X66" s="84"/>
      <c r="Y66" s="84"/>
      <c r="Z66" s="84"/>
      <c r="AA66" s="84"/>
      <c r="AB66" s="84"/>
      <c r="AC66" s="84"/>
      <c r="AD66" s="84"/>
      <c r="AE66" s="84">
        <v>1</v>
      </c>
      <c r="AF66" s="84"/>
      <c r="AG66" s="84"/>
      <c r="AH66" s="84"/>
      <c r="AI66" s="84"/>
      <c r="AJ66" s="85"/>
      <c r="AK66" s="2">
        <f t="shared" ref="AK66:AK73" si="1">E66-SUM(G66:AJ66)</f>
        <v>1</v>
      </c>
    </row>
    <row r="67" spans="1:37" x14ac:dyDescent="0.2">
      <c r="A67" t="s">
        <v>37</v>
      </c>
      <c r="B67" s="59" t="s">
        <v>15</v>
      </c>
      <c r="C67" s="59">
        <v>4</v>
      </c>
      <c r="D67" s="57">
        <v>2</v>
      </c>
      <c r="E67" s="58">
        <v>1</v>
      </c>
      <c r="F67" s="90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5"/>
      <c r="AK67" s="2">
        <f t="shared" si="1"/>
        <v>1</v>
      </c>
    </row>
    <row r="68" spans="1:37" x14ac:dyDescent="0.2">
      <c r="A68" t="s">
        <v>37</v>
      </c>
      <c r="B68" s="59" t="s">
        <v>15</v>
      </c>
      <c r="C68" s="59">
        <v>5</v>
      </c>
      <c r="D68" s="57">
        <v>1</v>
      </c>
      <c r="E68" s="58">
        <v>6</v>
      </c>
      <c r="F68" s="90"/>
      <c r="G68" s="84"/>
      <c r="H68" s="84"/>
      <c r="I68" s="84">
        <v>1</v>
      </c>
      <c r="J68" s="84"/>
      <c r="K68" s="84">
        <v>2</v>
      </c>
      <c r="L68" s="84"/>
      <c r="M68" s="84"/>
      <c r="N68" s="84"/>
      <c r="O68" s="84"/>
      <c r="P68" s="84"/>
      <c r="Q68" s="84"/>
      <c r="R68" s="84"/>
      <c r="S68" s="84">
        <v>1</v>
      </c>
      <c r="T68" s="84">
        <v>1</v>
      </c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5"/>
      <c r="AK68" s="2">
        <f t="shared" si="1"/>
        <v>1</v>
      </c>
    </row>
    <row r="69" spans="1:37" x14ac:dyDescent="0.2">
      <c r="A69" t="s">
        <v>37</v>
      </c>
      <c r="B69" s="59" t="s">
        <v>15</v>
      </c>
      <c r="C69" s="59">
        <v>5</v>
      </c>
      <c r="D69" s="57">
        <v>2</v>
      </c>
      <c r="E69" s="58">
        <v>5</v>
      </c>
      <c r="F69" s="90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>
        <v>1</v>
      </c>
      <c r="R69" s="84"/>
      <c r="S69" s="84">
        <v>1</v>
      </c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5"/>
      <c r="AK69" s="2">
        <f t="shared" si="1"/>
        <v>3</v>
      </c>
    </row>
    <row r="70" spans="1:37" x14ac:dyDescent="0.2">
      <c r="A70" t="s">
        <v>37</v>
      </c>
      <c r="B70" s="59" t="s">
        <v>15</v>
      </c>
      <c r="C70" s="59">
        <v>6</v>
      </c>
      <c r="D70" s="57">
        <v>1</v>
      </c>
      <c r="E70" s="58">
        <v>0</v>
      </c>
      <c r="F70" s="90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5"/>
      <c r="AK70" s="2">
        <f t="shared" si="1"/>
        <v>0</v>
      </c>
    </row>
    <row r="71" spans="1:37" x14ac:dyDescent="0.2">
      <c r="A71" t="s">
        <v>37</v>
      </c>
      <c r="B71" s="59" t="s">
        <v>15</v>
      </c>
      <c r="C71" s="59">
        <v>6</v>
      </c>
      <c r="D71" s="57">
        <v>2</v>
      </c>
      <c r="E71" s="58">
        <v>0</v>
      </c>
      <c r="F71" s="90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5"/>
      <c r="AK71" s="2">
        <f t="shared" si="1"/>
        <v>0</v>
      </c>
    </row>
    <row r="72" spans="1:37" x14ac:dyDescent="0.2">
      <c r="A72" t="s">
        <v>37</v>
      </c>
      <c r="B72" s="59" t="s">
        <v>15</v>
      </c>
      <c r="C72" s="59">
        <v>7</v>
      </c>
      <c r="D72" s="57">
        <v>1</v>
      </c>
      <c r="E72" s="58">
        <v>0</v>
      </c>
      <c r="F72" s="90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5"/>
      <c r="AK72" s="2">
        <f t="shared" si="1"/>
        <v>0</v>
      </c>
    </row>
    <row r="73" spans="1:37" ht="17" thickBot="1" x14ac:dyDescent="0.25">
      <c r="A73" t="s">
        <v>37</v>
      </c>
      <c r="B73" s="60" t="s">
        <v>15</v>
      </c>
      <c r="C73" s="60">
        <v>7</v>
      </c>
      <c r="D73" s="50">
        <v>2</v>
      </c>
      <c r="E73" s="61">
        <v>1</v>
      </c>
      <c r="F73" s="91"/>
      <c r="G73" s="87"/>
      <c r="H73" s="87"/>
      <c r="I73" s="87">
        <v>1</v>
      </c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8"/>
      <c r="AK73" s="17">
        <f t="shared" si="1"/>
        <v>0</v>
      </c>
    </row>
    <row r="74" spans="1:37" ht="17" thickBot="1" x14ac:dyDescent="0.25">
      <c r="B74" s="57"/>
      <c r="C74" s="57"/>
      <c r="D74" s="57"/>
      <c r="E74" s="2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62"/>
    </row>
  </sheetData>
  <conditionalFormatting sqref="AK74">
    <cfRule type="cellIs" dxfId="4" priority="3" operator="equal">
      <formula>$E$74</formula>
    </cfRule>
  </conditionalFormatting>
  <conditionalFormatting sqref="AK2:AK73">
    <cfRule type="cellIs" dxfId="3" priority="1" operator="lessThanOrEqual">
      <formula>-1</formula>
    </cfRule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CD86-B1D6-AA4C-9041-9559AD549E9E}">
  <dimension ref="A1:AJ37"/>
  <sheetViews>
    <sheetView topLeftCell="AA1" zoomScale="91" workbookViewId="0">
      <selection activeCell="F13" sqref="F13"/>
    </sheetView>
  </sheetViews>
  <sheetFormatPr baseColWidth="10" defaultRowHeight="16" x14ac:dyDescent="0.2"/>
  <cols>
    <col min="6" max="6" width="12.5" customWidth="1"/>
  </cols>
  <sheetData>
    <row r="1" spans="1:36" ht="17" thickBot="1" x14ac:dyDescent="0.25">
      <c r="A1" t="s">
        <v>17</v>
      </c>
      <c r="B1" s="63" t="s">
        <v>5</v>
      </c>
      <c r="C1" s="64" t="s">
        <v>4</v>
      </c>
      <c r="D1" s="65" t="s">
        <v>6</v>
      </c>
      <c r="E1" s="66" t="s">
        <v>85</v>
      </c>
      <c r="F1" s="79" t="s">
        <v>117</v>
      </c>
      <c r="G1" s="77" t="s">
        <v>86</v>
      </c>
      <c r="H1" s="77" t="s">
        <v>89</v>
      </c>
      <c r="I1" s="77" t="s">
        <v>90</v>
      </c>
      <c r="J1" s="77" t="s">
        <v>91</v>
      </c>
      <c r="K1" s="77" t="s">
        <v>92</v>
      </c>
      <c r="L1" s="77" t="s">
        <v>93</v>
      </c>
      <c r="M1" s="77" t="s">
        <v>94</v>
      </c>
      <c r="N1" s="77" t="s">
        <v>95</v>
      </c>
      <c r="O1" s="77" t="s">
        <v>96</v>
      </c>
      <c r="P1" s="77" t="s">
        <v>97</v>
      </c>
      <c r="Q1" s="77" t="s">
        <v>98</v>
      </c>
      <c r="R1" s="77" t="s">
        <v>99</v>
      </c>
      <c r="S1" s="77" t="s">
        <v>100</v>
      </c>
      <c r="T1" s="77" t="s">
        <v>101</v>
      </c>
      <c r="U1" s="77" t="s">
        <v>102</v>
      </c>
      <c r="V1" s="77" t="s">
        <v>103</v>
      </c>
      <c r="W1" s="77" t="s">
        <v>104</v>
      </c>
      <c r="X1" s="77" t="s">
        <v>105</v>
      </c>
      <c r="Y1" s="77" t="s">
        <v>106</v>
      </c>
      <c r="Z1" s="77" t="s">
        <v>107</v>
      </c>
      <c r="AA1" s="77" t="s">
        <v>108</v>
      </c>
      <c r="AB1" s="77" t="s">
        <v>109</v>
      </c>
      <c r="AC1" s="77" t="s">
        <v>110</v>
      </c>
      <c r="AD1" s="77" t="s">
        <v>111</v>
      </c>
      <c r="AE1" s="77" t="s">
        <v>112</v>
      </c>
      <c r="AF1" s="77" t="s">
        <v>113</v>
      </c>
      <c r="AG1" s="77" t="s">
        <v>114</v>
      </c>
      <c r="AH1" s="77" t="s">
        <v>84</v>
      </c>
      <c r="AI1" s="77"/>
      <c r="AJ1" s="77"/>
    </row>
    <row r="2" spans="1:36" x14ac:dyDescent="0.2">
      <c r="A2" t="s">
        <v>11</v>
      </c>
      <c r="B2" s="67" t="s">
        <v>16</v>
      </c>
      <c r="C2" s="68">
        <v>0</v>
      </c>
      <c r="D2" s="68">
        <v>3</v>
      </c>
      <c r="E2" s="69">
        <v>11</v>
      </c>
      <c r="F2" s="80"/>
      <c r="G2" s="81"/>
      <c r="H2" s="81"/>
      <c r="I2" s="81">
        <v>1</v>
      </c>
      <c r="J2" s="81"/>
      <c r="K2" s="81"/>
      <c r="L2" s="81"/>
      <c r="M2" s="81"/>
      <c r="N2" s="81"/>
      <c r="O2" s="81">
        <v>1</v>
      </c>
      <c r="P2" s="81"/>
      <c r="Q2" s="81"/>
      <c r="R2" s="81"/>
      <c r="S2" s="81">
        <v>1</v>
      </c>
      <c r="T2" s="81">
        <v>2</v>
      </c>
      <c r="U2" s="81"/>
      <c r="V2" s="81"/>
      <c r="W2" s="81">
        <v>1</v>
      </c>
      <c r="X2" s="81"/>
      <c r="Y2" s="81">
        <v>1</v>
      </c>
      <c r="Z2" s="81"/>
      <c r="AA2" s="81"/>
      <c r="AB2" s="81"/>
      <c r="AC2" s="81"/>
      <c r="AD2" s="81"/>
      <c r="AE2" s="81"/>
      <c r="AF2" s="81"/>
      <c r="AG2" s="82"/>
      <c r="AH2" s="56">
        <f t="shared" ref="AH2:AH37" si="0">E2-SUM(G2:AG2)</f>
        <v>4</v>
      </c>
    </row>
    <row r="3" spans="1:36" x14ac:dyDescent="0.2">
      <c r="A3" t="s">
        <v>11</v>
      </c>
      <c r="B3" s="70" t="s">
        <v>11</v>
      </c>
      <c r="C3" s="71">
        <v>1</v>
      </c>
      <c r="D3" s="71">
        <v>3</v>
      </c>
      <c r="E3" s="72">
        <v>9</v>
      </c>
      <c r="F3" s="83"/>
      <c r="G3" s="84">
        <v>1</v>
      </c>
      <c r="H3" s="84">
        <v>2</v>
      </c>
      <c r="I3" s="84"/>
      <c r="J3" s="84"/>
      <c r="K3" s="84">
        <v>1</v>
      </c>
      <c r="L3" s="84"/>
      <c r="M3" s="84">
        <v>1</v>
      </c>
      <c r="N3" s="84"/>
      <c r="O3" s="84"/>
      <c r="P3" s="84"/>
      <c r="Q3" s="84">
        <v>1</v>
      </c>
      <c r="R3" s="84"/>
      <c r="S3" s="84"/>
      <c r="T3" s="84">
        <v>2</v>
      </c>
      <c r="U3" s="84"/>
      <c r="V3" s="84">
        <v>1</v>
      </c>
      <c r="W3" s="84">
        <v>1</v>
      </c>
      <c r="X3" s="84"/>
      <c r="Y3" s="84"/>
      <c r="Z3" s="84"/>
      <c r="AA3" s="84"/>
      <c r="AB3" s="84"/>
      <c r="AC3" s="84"/>
      <c r="AD3" s="84"/>
      <c r="AE3" s="84"/>
      <c r="AF3" s="84"/>
      <c r="AG3" s="85"/>
      <c r="AH3" s="2">
        <f t="shared" si="0"/>
        <v>-1</v>
      </c>
    </row>
    <row r="4" spans="1:36" x14ac:dyDescent="0.2">
      <c r="A4" t="s">
        <v>11</v>
      </c>
      <c r="B4" s="70" t="s">
        <v>11</v>
      </c>
      <c r="C4" s="71">
        <v>2</v>
      </c>
      <c r="D4" s="71">
        <v>3</v>
      </c>
      <c r="E4" s="72">
        <v>11</v>
      </c>
      <c r="F4" s="83"/>
      <c r="G4" s="84"/>
      <c r="H4" s="84"/>
      <c r="I4" s="84">
        <v>1</v>
      </c>
      <c r="J4" s="84"/>
      <c r="K4" s="84"/>
      <c r="L4" s="84"/>
      <c r="M4" s="84"/>
      <c r="N4" s="84"/>
      <c r="O4" s="84"/>
      <c r="P4" s="84"/>
      <c r="Q4" s="84">
        <v>1</v>
      </c>
      <c r="R4" s="84"/>
      <c r="S4" s="84"/>
      <c r="T4" s="84">
        <v>2</v>
      </c>
      <c r="U4" s="84"/>
      <c r="V4" s="84"/>
      <c r="W4" s="84"/>
      <c r="X4" s="84"/>
      <c r="Y4" s="84">
        <v>2</v>
      </c>
      <c r="Z4" s="84"/>
      <c r="AA4" s="84"/>
      <c r="AB4" s="84"/>
      <c r="AC4" s="84"/>
      <c r="AD4" s="84"/>
      <c r="AE4" s="84"/>
      <c r="AF4" s="84"/>
      <c r="AG4" s="85"/>
      <c r="AH4" s="2">
        <f t="shared" si="0"/>
        <v>5</v>
      </c>
    </row>
    <row r="5" spans="1:36" x14ac:dyDescent="0.2">
      <c r="A5" t="s">
        <v>11</v>
      </c>
      <c r="B5" s="70" t="s">
        <v>11</v>
      </c>
      <c r="C5" s="71">
        <v>3</v>
      </c>
      <c r="D5" s="71">
        <v>3</v>
      </c>
      <c r="E5" s="72">
        <v>9</v>
      </c>
      <c r="F5" s="83"/>
      <c r="G5" s="84"/>
      <c r="H5" s="84"/>
      <c r="I5" s="84"/>
      <c r="J5" s="84">
        <v>1</v>
      </c>
      <c r="K5" s="84"/>
      <c r="L5" s="84">
        <v>1</v>
      </c>
      <c r="M5" s="84"/>
      <c r="N5" s="84">
        <v>1</v>
      </c>
      <c r="O5" s="84"/>
      <c r="P5" s="84">
        <v>1</v>
      </c>
      <c r="Q5" s="84"/>
      <c r="R5" s="84"/>
      <c r="S5" s="84"/>
      <c r="T5" s="84">
        <v>2</v>
      </c>
      <c r="U5" s="84"/>
      <c r="V5" s="84"/>
      <c r="W5" s="84"/>
      <c r="X5" s="84"/>
      <c r="Y5" s="84">
        <v>1</v>
      </c>
      <c r="Z5" s="84"/>
      <c r="AA5" s="84"/>
      <c r="AB5" s="84"/>
      <c r="AC5" s="84">
        <v>1</v>
      </c>
      <c r="AD5" s="84"/>
      <c r="AE5" s="84"/>
      <c r="AF5" s="84"/>
      <c r="AG5" s="85"/>
      <c r="AH5" s="2">
        <f t="shared" si="0"/>
        <v>1</v>
      </c>
    </row>
    <row r="6" spans="1:36" x14ac:dyDescent="0.2">
      <c r="A6" t="s">
        <v>11</v>
      </c>
      <c r="B6" s="70" t="s">
        <v>11</v>
      </c>
      <c r="C6" s="71">
        <v>4</v>
      </c>
      <c r="D6" s="71">
        <v>3</v>
      </c>
      <c r="E6" s="72">
        <v>13</v>
      </c>
      <c r="F6" s="83"/>
      <c r="G6" s="84"/>
      <c r="H6" s="84"/>
      <c r="I6" s="84"/>
      <c r="J6" s="84"/>
      <c r="K6" s="84"/>
      <c r="L6" s="84">
        <v>1</v>
      </c>
      <c r="M6" s="84"/>
      <c r="N6" s="84">
        <v>1</v>
      </c>
      <c r="O6" s="84"/>
      <c r="P6" s="84"/>
      <c r="Q6" s="84">
        <v>3</v>
      </c>
      <c r="R6" s="84"/>
      <c r="S6" s="84">
        <v>1</v>
      </c>
      <c r="T6" s="84">
        <v>2</v>
      </c>
      <c r="U6" s="84"/>
      <c r="V6" s="84"/>
      <c r="W6" s="84">
        <v>1</v>
      </c>
      <c r="X6" s="84">
        <v>1</v>
      </c>
      <c r="Y6" s="84">
        <v>2</v>
      </c>
      <c r="Z6" s="84"/>
      <c r="AA6" s="84"/>
      <c r="AB6" s="84"/>
      <c r="AC6" s="84"/>
      <c r="AD6" s="84"/>
      <c r="AE6" s="84"/>
      <c r="AF6" s="84"/>
      <c r="AG6" s="85"/>
      <c r="AH6" s="2">
        <f t="shared" si="0"/>
        <v>1</v>
      </c>
    </row>
    <row r="7" spans="1:36" x14ac:dyDescent="0.2">
      <c r="A7" t="s">
        <v>11</v>
      </c>
      <c r="B7" s="70" t="s">
        <v>11</v>
      </c>
      <c r="C7" s="71">
        <v>5</v>
      </c>
      <c r="D7" s="71">
        <v>3</v>
      </c>
      <c r="E7" s="72">
        <v>11</v>
      </c>
      <c r="F7" s="83"/>
      <c r="G7" s="84"/>
      <c r="H7" s="84"/>
      <c r="I7" s="84"/>
      <c r="J7" s="84"/>
      <c r="K7" s="84"/>
      <c r="L7" s="84"/>
      <c r="M7" s="84"/>
      <c r="N7" s="84"/>
      <c r="O7" s="84">
        <v>1</v>
      </c>
      <c r="P7" s="84"/>
      <c r="Q7" s="84"/>
      <c r="R7" s="84">
        <v>2</v>
      </c>
      <c r="S7" s="84"/>
      <c r="T7" s="84">
        <v>2</v>
      </c>
      <c r="U7" s="84"/>
      <c r="V7" s="84"/>
      <c r="W7" s="84">
        <v>1</v>
      </c>
      <c r="X7" s="84"/>
      <c r="Y7" s="84">
        <v>1</v>
      </c>
      <c r="Z7" s="84"/>
      <c r="AA7" s="84"/>
      <c r="AB7" s="84">
        <v>1</v>
      </c>
      <c r="AC7" s="84">
        <v>1</v>
      </c>
      <c r="AD7" s="84"/>
      <c r="AE7" s="84"/>
      <c r="AF7" s="84"/>
      <c r="AG7" s="85"/>
      <c r="AH7" s="2">
        <f t="shared" si="0"/>
        <v>2</v>
      </c>
    </row>
    <row r="8" spans="1:36" x14ac:dyDescent="0.2">
      <c r="A8" t="s">
        <v>11</v>
      </c>
      <c r="B8" s="70" t="s">
        <v>11</v>
      </c>
      <c r="C8" s="71">
        <v>6</v>
      </c>
      <c r="D8" s="71">
        <v>3</v>
      </c>
      <c r="E8" s="72">
        <v>1</v>
      </c>
      <c r="F8" s="83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>
        <v>1</v>
      </c>
      <c r="AB8" s="84">
        <v>1</v>
      </c>
      <c r="AC8" s="84">
        <v>2</v>
      </c>
      <c r="AD8" s="84"/>
      <c r="AE8" s="84"/>
      <c r="AF8" s="84"/>
      <c r="AG8" s="85"/>
      <c r="AH8" s="2">
        <f t="shared" si="0"/>
        <v>-3</v>
      </c>
    </row>
    <row r="9" spans="1:36" x14ac:dyDescent="0.2">
      <c r="A9" t="s">
        <v>11</v>
      </c>
      <c r="B9" s="70" t="s">
        <v>11</v>
      </c>
      <c r="C9" s="71">
        <v>7</v>
      </c>
      <c r="D9" s="71">
        <v>3</v>
      </c>
      <c r="E9" s="72">
        <v>4</v>
      </c>
      <c r="F9" s="83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>
        <v>1</v>
      </c>
      <c r="Z9" s="84"/>
      <c r="AA9" s="84"/>
      <c r="AB9" s="84"/>
      <c r="AC9" s="84"/>
      <c r="AD9" s="84"/>
      <c r="AE9" s="84"/>
      <c r="AF9" s="84"/>
      <c r="AG9" s="85"/>
      <c r="AH9" s="2">
        <f t="shared" si="0"/>
        <v>3</v>
      </c>
    </row>
    <row r="10" spans="1:36" x14ac:dyDescent="0.2">
      <c r="A10" t="s">
        <v>11</v>
      </c>
      <c r="B10" s="70" t="s">
        <v>12</v>
      </c>
      <c r="C10" s="71">
        <v>1</v>
      </c>
      <c r="D10" s="71">
        <v>3</v>
      </c>
      <c r="E10" s="72">
        <v>11</v>
      </c>
      <c r="F10" s="83"/>
      <c r="G10" s="84"/>
      <c r="H10" s="84">
        <v>1</v>
      </c>
      <c r="I10" s="84"/>
      <c r="J10" s="84"/>
      <c r="K10" s="84"/>
      <c r="L10" s="84">
        <v>2</v>
      </c>
      <c r="M10" s="84"/>
      <c r="N10" s="84"/>
      <c r="O10" s="84">
        <v>1</v>
      </c>
      <c r="P10" s="84"/>
      <c r="Q10" s="84">
        <v>1</v>
      </c>
      <c r="R10" s="84">
        <v>2</v>
      </c>
      <c r="S10" s="84"/>
      <c r="T10" s="84">
        <v>1</v>
      </c>
      <c r="U10" s="84"/>
      <c r="V10" s="84"/>
      <c r="W10" s="84"/>
      <c r="X10" s="84">
        <v>1</v>
      </c>
      <c r="Y10" s="84">
        <v>1</v>
      </c>
      <c r="Z10" s="84"/>
      <c r="AA10" s="84"/>
      <c r="AB10" s="84"/>
      <c r="AC10" s="84"/>
      <c r="AD10" s="84"/>
      <c r="AE10" s="84"/>
      <c r="AF10" s="84"/>
      <c r="AG10" s="85"/>
      <c r="AH10" s="2">
        <f t="shared" si="0"/>
        <v>1</v>
      </c>
    </row>
    <row r="11" spans="1:36" x14ac:dyDescent="0.2">
      <c r="A11" t="s">
        <v>11</v>
      </c>
      <c r="B11" s="70" t="s">
        <v>12</v>
      </c>
      <c r="C11" s="71">
        <v>2</v>
      </c>
      <c r="D11" s="71">
        <v>3</v>
      </c>
      <c r="E11" s="72">
        <v>6</v>
      </c>
      <c r="F11" s="83"/>
      <c r="G11" s="84"/>
      <c r="H11" s="84"/>
      <c r="I11" s="84"/>
      <c r="J11" s="84"/>
      <c r="K11" s="84">
        <v>1</v>
      </c>
      <c r="L11" s="84">
        <v>1</v>
      </c>
      <c r="M11" s="84"/>
      <c r="N11" s="84"/>
      <c r="O11" s="84"/>
      <c r="P11" s="84"/>
      <c r="Q11" s="84"/>
      <c r="R11" s="84"/>
      <c r="S11" s="84"/>
      <c r="T11" s="84">
        <v>1</v>
      </c>
      <c r="U11" s="84"/>
      <c r="V11" s="84"/>
      <c r="W11" s="84"/>
      <c r="X11" s="84"/>
      <c r="Y11" s="84">
        <v>2</v>
      </c>
      <c r="Z11" s="84"/>
      <c r="AA11" s="84"/>
      <c r="AB11" s="84"/>
      <c r="AC11" s="84"/>
      <c r="AD11" s="84"/>
      <c r="AE11" s="84"/>
      <c r="AF11" s="84"/>
      <c r="AG11" s="85"/>
      <c r="AH11" s="2">
        <f t="shared" si="0"/>
        <v>1</v>
      </c>
    </row>
    <row r="12" spans="1:36" x14ac:dyDescent="0.2">
      <c r="A12" t="s">
        <v>11</v>
      </c>
      <c r="B12" s="70" t="s">
        <v>12</v>
      </c>
      <c r="C12" s="71">
        <v>3</v>
      </c>
      <c r="D12" s="71">
        <v>3</v>
      </c>
      <c r="E12" s="72">
        <v>6</v>
      </c>
      <c r="F12" s="83"/>
      <c r="G12" s="84"/>
      <c r="H12" s="84"/>
      <c r="I12" s="84"/>
      <c r="J12" s="84"/>
      <c r="K12" s="84">
        <v>1</v>
      </c>
      <c r="L12" s="84"/>
      <c r="M12" s="84"/>
      <c r="N12" s="84"/>
      <c r="O12" s="84">
        <v>1</v>
      </c>
      <c r="P12" s="84"/>
      <c r="Q12" s="84"/>
      <c r="R12" s="84">
        <v>1</v>
      </c>
      <c r="S12" s="84"/>
      <c r="T12" s="84">
        <v>1</v>
      </c>
      <c r="U12" s="84"/>
      <c r="V12" s="84">
        <v>1</v>
      </c>
      <c r="W12" s="84"/>
      <c r="X12" s="84"/>
      <c r="Y12" s="84">
        <v>1</v>
      </c>
      <c r="Z12" s="84"/>
      <c r="AA12" s="84"/>
      <c r="AB12" s="84"/>
      <c r="AC12" s="84"/>
      <c r="AD12" s="84"/>
      <c r="AE12" s="84"/>
      <c r="AF12" s="84"/>
      <c r="AG12" s="85"/>
      <c r="AH12" s="2">
        <f t="shared" si="0"/>
        <v>0</v>
      </c>
    </row>
    <row r="13" spans="1:36" x14ac:dyDescent="0.2">
      <c r="A13" t="s">
        <v>11</v>
      </c>
      <c r="B13" s="70" t="s">
        <v>12</v>
      </c>
      <c r="C13" s="71">
        <v>4</v>
      </c>
      <c r="D13" s="71">
        <v>3</v>
      </c>
      <c r="E13" s="72">
        <v>13</v>
      </c>
      <c r="F13" s="83"/>
      <c r="G13" s="84"/>
      <c r="H13" s="84"/>
      <c r="I13" s="84"/>
      <c r="J13" s="84">
        <v>1</v>
      </c>
      <c r="K13" s="84"/>
      <c r="L13" s="84"/>
      <c r="M13" s="84"/>
      <c r="N13" s="84"/>
      <c r="O13" s="84"/>
      <c r="P13" s="84"/>
      <c r="Q13" s="84">
        <v>1</v>
      </c>
      <c r="R13" s="84"/>
      <c r="S13" s="84"/>
      <c r="T13" s="84"/>
      <c r="U13" s="84"/>
      <c r="V13" s="84"/>
      <c r="W13" s="84">
        <v>3</v>
      </c>
      <c r="X13" s="84"/>
      <c r="Y13" s="84">
        <v>2</v>
      </c>
      <c r="Z13" s="84"/>
      <c r="AA13" s="84"/>
      <c r="AB13" s="84"/>
      <c r="AC13" s="84"/>
      <c r="AD13" s="84"/>
      <c r="AE13" s="84"/>
      <c r="AF13" s="84"/>
      <c r="AG13" s="85"/>
      <c r="AH13" s="2">
        <f t="shared" si="0"/>
        <v>6</v>
      </c>
    </row>
    <row r="14" spans="1:36" x14ac:dyDescent="0.2">
      <c r="A14" t="s">
        <v>11</v>
      </c>
      <c r="B14" s="70" t="s">
        <v>12</v>
      </c>
      <c r="C14" s="71">
        <v>5</v>
      </c>
      <c r="D14" s="71">
        <v>3</v>
      </c>
      <c r="E14" s="72">
        <v>11</v>
      </c>
      <c r="F14" s="83"/>
      <c r="G14" s="84"/>
      <c r="H14" s="84"/>
      <c r="I14" s="84"/>
      <c r="J14" s="84"/>
      <c r="K14" s="84"/>
      <c r="L14" s="84"/>
      <c r="M14" s="84"/>
      <c r="N14" s="84"/>
      <c r="O14" s="84">
        <v>1</v>
      </c>
      <c r="P14" s="84"/>
      <c r="Q14" s="84">
        <v>3</v>
      </c>
      <c r="R14" s="84"/>
      <c r="S14" s="84"/>
      <c r="T14" s="84"/>
      <c r="U14" s="84"/>
      <c r="V14" s="84">
        <v>1</v>
      </c>
      <c r="W14" s="84"/>
      <c r="X14" s="84"/>
      <c r="Y14" s="84">
        <v>1</v>
      </c>
      <c r="Z14" s="84"/>
      <c r="AA14" s="84">
        <v>2</v>
      </c>
      <c r="AB14" s="84"/>
      <c r="AC14" s="84"/>
      <c r="AD14" s="84"/>
      <c r="AE14" s="84"/>
      <c r="AF14" s="84"/>
      <c r="AG14" s="85"/>
      <c r="AH14" s="2">
        <f t="shared" si="0"/>
        <v>3</v>
      </c>
    </row>
    <row r="15" spans="1:36" x14ac:dyDescent="0.2">
      <c r="A15" t="s">
        <v>11</v>
      </c>
      <c r="B15" s="70" t="s">
        <v>12</v>
      </c>
      <c r="C15" s="71">
        <v>6</v>
      </c>
      <c r="D15" s="71">
        <v>3</v>
      </c>
      <c r="E15" s="72">
        <v>0</v>
      </c>
      <c r="F15" s="83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5"/>
      <c r="AH15" s="2">
        <f t="shared" si="0"/>
        <v>0</v>
      </c>
    </row>
    <row r="16" spans="1:36" x14ac:dyDescent="0.2">
      <c r="A16" t="s">
        <v>11</v>
      </c>
      <c r="B16" s="70" t="s">
        <v>12</v>
      </c>
      <c r="C16" s="71">
        <v>7</v>
      </c>
      <c r="D16" s="71">
        <v>3</v>
      </c>
      <c r="E16" s="72">
        <v>0</v>
      </c>
      <c r="F16" s="83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5"/>
      <c r="AH16" s="2">
        <f t="shared" si="0"/>
        <v>0</v>
      </c>
    </row>
    <row r="17" spans="1:34" x14ac:dyDescent="0.2">
      <c r="A17" t="s">
        <v>11</v>
      </c>
      <c r="B17" s="70" t="s">
        <v>13</v>
      </c>
      <c r="C17" s="71">
        <v>1</v>
      </c>
      <c r="D17" s="71">
        <v>3</v>
      </c>
      <c r="E17" s="72">
        <v>19</v>
      </c>
      <c r="F17" s="83"/>
      <c r="G17" s="84"/>
      <c r="H17" s="84"/>
      <c r="I17" s="84">
        <v>1</v>
      </c>
      <c r="J17" s="84">
        <v>3</v>
      </c>
      <c r="K17" s="84">
        <v>1</v>
      </c>
      <c r="L17" s="84">
        <v>1</v>
      </c>
      <c r="M17" s="84">
        <v>1</v>
      </c>
      <c r="N17" s="84">
        <v>1</v>
      </c>
      <c r="O17" s="84"/>
      <c r="P17" s="84"/>
      <c r="Q17" s="84">
        <v>2</v>
      </c>
      <c r="R17" s="84"/>
      <c r="S17" s="84"/>
      <c r="T17" s="84">
        <v>4</v>
      </c>
      <c r="U17" s="84"/>
      <c r="V17" s="84"/>
      <c r="W17" s="84"/>
      <c r="X17" s="84">
        <v>2</v>
      </c>
      <c r="Y17" s="84">
        <v>1</v>
      </c>
      <c r="Z17" s="84"/>
      <c r="AA17" s="84">
        <v>2</v>
      </c>
      <c r="AB17" s="84"/>
      <c r="AC17" s="84"/>
      <c r="AD17" s="84"/>
      <c r="AE17" s="84"/>
      <c r="AF17" s="84"/>
      <c r="AG17" s="85"/>
      <c r="AH17" s="2">
        <f t="shared" si="0"/>
        <v>0</v>
      </c>
    </row>
    <row r="18" spans="1:34" x14ac:dyDescent="0.2">
      <c r="A18" t="s">
        <v>11</v>
      </c>
      <c r="B18" s="70" t="s">
        <v>13</v>
      </c>
      <c r="C18" s="71">
        <v>2</v>
      </c>
      <c r="D18" s="71">
        <v>3</v>
      </c>
      <c r="E18" s="72">
        <v>15</v>
      </c>
      <c r="F18" s="83"/>
      <c r="G18" s="84"/>
      <c r="H18" s="84"/>
      <c r="I18" s="84"/>
      <c r="J18" s="84">
        <v>1</v>
      </c>
      <c r="K18" s="84"/>
      <c r="L18" s="84">
        <v>1</v>
      </c>
      <c r="M18" s="84">
        <v>1</v>
      </c>
      <c r="N18" s="84"/>
      <c r="O18" s="84">
        <v>1</v>
      </c>
      <c r="P18" s="84"/>
      <c r="Q18" s="84">
        <v>1</v>
      </c>
      <c r="R18" s="84">
        <v>1</v>
      </c>
      <c r="S18" s="84">
        <v>1</v>
      </c>
      <c r="T18" s="84">
        <v>2</v>
      </c>
      <c r="U18" s="84"/>
      <c r="V18" s="84">
        <v>1</v>
      </c>
      <c r="W18" s="84">
        <v>1</v>
      </c>
      <c r="X18" s="84"/>
      <c r="Y18" s="84">
        <v>1</v>
      </c>
      <c r="Z18" s="84"/>
      <c r="AA18" s="84"/>
      <c r="AB18" s="84"/>
      <c r="AC18" s="84">
        <v>1</v>
      </c>
      <c r="AD18" s="84"/>
      <c r="AE18" s="84"/>
      <c r="AF18" s="84"/>
      <c r="AG18" s="85"/>
      <c r="AH18" s="2">
        <f t="shared" si="0"/>
        <v>2</v>
      </c>
    </row>
    <row r="19" spans="1:34" x14ac:dyDescent="0.2">
      <c r="A19" t="s">
        <v>11</v>
      </c>
      <c r="B19" s="70" t="s">
        <v>13</v>
      </c>
      <c r="C19" s="71">
        <v>3</v>
      </c>
      <c r="D19" s="71">
        <v>3</v>
      </c>
      <c r="E19" s="72">
        <v>9</v>
      </c>
      <c r="F19" s="83"/>
      <c r="G19" s="84"/>
      <c r="H19" s="84"/>
      <c r="I19" s="84"/>
      <c r="J19" s="84"/>
      <c r="K19" s="84">
        <v>1</v>
      </c>
      <c r="L19" s="84">
        <v>1</v>
      </c>
      <c r="M19" s="84"/>
      <c r="N19" s="84"/>
      <c r="O19" s="84">
        <v>1</v>
      </c>
      <c r="P19" s="84"/>
      <c r="Q19" s="84"/>
      <c r="R19" s="84"/>
      <c r="S19" s="84"/>
      <c r="T19" s="84">
        <v>2</v>
      </c>
      <c r="U19" s="84"/>
      <c r="V19" s="84">
        <v>1</v>
      </c>
      <c r="W19" s="84">
        <v>1</v>
      </c>
      <c r="X19" s="84"/>
      <c r="Y19" s="84">
        <v>1</v>
      </c>
      <c r="Z19" s="84"/>
      <c r="AA19" s="84"/>
      <c r="AB19" s="84"/>
      <c r="AC19" s="84"/>
      <c r="AD19" s="84"/>
      <c r="AE19" s="84"/>
      <c r="AF19" s="84"/>
      <c r="AG19" s="85"/>
      <c r="AH19" s="2">
        <f t="shared" si="0"/>
        <v>1</v>
      </c>
    </row>
    <row r="20" spans="1:34" x14ac:dyDescent="0.2">
      <c r="A20" t="s">
        <v>11</v>
      </c>
      <c r="B20" s="70" t="s">
        <v>13</v>
      </c>
      <c r="C20" s="71">
        <v>4</v>
      </c>
      <c r="D20" s="71">
        <v>3</v>
      </c>
      <c r="E20" s="72">
        <v>10</v>
      </c>
      <c r="F20" s="83"/>
      <c r="G20" s="84"/>
      <c r="H20" s="84"/>
      <c r="I20" s="84"/>
      <c r="J20" s="84"/>
      <c r="K20" s="84">
        <v>1</v>
      </c>
      <c r="L20" s="84">
        <v>1</v>
      </c>
      <c r="M20" s="84"/>
      <c r="N20" s="84"/>
      <c r="O20" s="84"/>
      <c r="P20" s="84"/>
      <c r="Q20" s="84">
        <v>2</v>
      </c>
      <c r="R20" s="84"/>
      <c r="S20" s="84"/>
      <c r="T20" s="84">
        <v>2</v>
      </c>
      <c r="U20" s="84">
        <v>1</v>
      </c>
      <c r="V20" s="84"/>
      <c r="W20" s="84"/>
      <c r="X20" s="84"/>
      <c r="Y20" s="84">
        <v>2</v>
      </c>
      <c r="Z20" s="84"/>
      <c r="AA20" s="84"/>
      <c r="AB20" s="84"/>
      <c r="AC20" s="84"/>
      <c r="AD20" s="84"/>
      <c r="AE20" s="84"/>
      <c r="AF20" s="84"/>
      <c r="AG20" s="85"/>
      <c r="AH20" s="2">
        <f t="shared" si="0"/>
        <v>1</v>
      </c>
    </row>
    <row r="21" spans="1:34" x14ac:dyDescent="0.2">
      <c r="A21" t="s">
        <v>11</v>
      </c>
      <c r="B21" s="70" t="s">
        <v>13</v>
      </c>
      <c r="C21" s="71">
        <v>5</v>
      </c>
      <c r="D21" s="71">
        <v>3</v>
      </c>
      <c r="E21" s="72">
        <v>5</v>
      </c>
      <c r="F21" s="83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>
        <v>1</v>
      </c>
      <c r="U21" s="84">
        <v>1</v>
      </c>
      <c r="V21" s="84"/>
      <c r="W21" s="84"/>
      <c r="X21" s="84"/>
      <c r="Y21" s="84">
        <v>1</v>
      </c>
      <c r="Z21" s="84"/>
      <c r="AA21" s="84"/>
      <c r="AB21" s="84"/>
      <c r="AC21" s="84">
        <v>2</v>
      </c>
      <c r="AD21" s="84"/>
      <c r="AE21" s="84"/>
      <c r="AF21" s="84"/>
      <c r="AG21" s="85"/>
      <c r="AH21" s="2">
        <f t="shared" si="0"/>
        <v>0</v>
      </c>
    </row>
    <row r="22" spans="1:34" x14ac:dyDescent="0.2">
      <c r="A22" t="s">
        <v>11</v>
      </c>
      <c r="B22" s="70" t="s">
        <v>13</v>
      </c>
      <c r="C22" s="71">
        <v>6</v>
      </c>
      <c r="D22" s="71">
        <v>3</v>
      </c>
      <c r="E22" s="72">
        <v>2</v>
      </c>
      <c r="F22" s="83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>
        <v>1</v>
      </c>
      <c r="AD22" s="84"/>
      <c r="AE22" s="84"/>
      <c r="AF22" s="84"/>
      <c r="AG22" s="85"/>
      <c r="AH22" s="2">
        <f t="shared" si="0"/>
        <v>1</v>
      </c>
    </row>
    <row r="23" spans="1:34" x14ac:dyDescent="0.2">
      <c r="A23" t="s">
        <v>11</v>
      </c>
      <c r="B23" s="70" t="s">
        <v>13</v>
      </c>
      <c r="C23" s="71">
        <v>7</v>
      </c>
      <c r="D23" s="71">
        <v>3</v>
      </c>
      <c r="E23" s="72">
        <v>0</v>
      </c>
      <c r="F23" s="83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5"/>
      <c r="AH23" s="2">
        <f t="shared" si="0"/>
        <v>0</v>
      </c>
    </row>
    <row r="24" spans="1:34" x14ac:dyDescent="0.2">
      <c r="A24" t="s">
        <v>11</v>
      </c>
      <c r="B24" s="70" t="s">
        <v>14</v>
      </c>
      <c r="C24" s="71">
        <v>1</v>
      </c>
      <c r="D24" s="71">
        <v>3</v>
      </c>
      <c r="E24" s="72">
        <v>14</v>
      </c>
      <c r="F24" s="83"/>
      <c r="G24" s="84"/>
      <c r="H24" s="84"/>
      <c r="I24" s="84">
        <v>1</v>
      </c>
      <c r="J24" s="84"/>
      <c r="K24" s="84"/>
      <c r="L24" s="84">
        <v>3</v>
      </c>
      <c r="M24" s="84"/>
      <c r="N24" s="84"/>
      <c r="O24" s="84"/>
      <c r="P24" s="84">
        <v>1</v>
      </c>
      <c r="Q24" s="84"/>
      <c r="R24" s="84">
        <v>1</v>
      </c>
      <c r="S24" s="84"/>
      <c r="T24" s="84">
        <v>3</v>
      </c>
      <c r="U24" s="84"/>
      <c r="V24" s="84"/>
      <c r="W24" s="84"/>
      <c r="X24" s="84"/>
      <c r="Y24" s="84">
        <v>1</v>
      </c>
      <c r="Z24" s="84"/>
      <c r="AA24" s="84"/>
      <c r="AB24" s="84"/>
      <c r="AC24" s="84"/>
      <c r="AD24" s="84"/>
      <c r="AE24" s="84"/>
      <c r="AF24" s="84"/>
      <c r="AG24" s="85"/>
      <c r="AH24" s="2">
        <f t="shared" si="0"/>
        <v>4</v>
      </c>
    </row>
    <row r="25" spans="1:34" x14ac:dyDescent="0.2">
      <c r="A25" t="s">
        <v>11</v>
      </c>
      <c r="B25" s="70" t="s">
        <v>14</v>
      </c>
      <c r="C25" s="71">
        <v>2</v>
      </c>
      <c r="D25" s="71">
        <v>3</v>
      </c>
      <c r="E25" s="72">
        <v>13</v>
      </c>
      <c r="F25" s="83"/>
      <c r="G25" s="84"/>
      <c r="H25" s="84">
        <v>1</v>
      </c>
      <c r="I25" s="84"/>
      <c r="J25" s="84">
        <v>2</v>
      </c>
      <c r="K25" s="84">
        <v>1</v>
      </c>
      <c r="L25" s="84"/>
      <c r="M25" s="84"/>
      <c r="N25" s="84">
        <v>1</v>
      </c>
      <c r="O25" s="84"/>
      <c r="P25" s="84"/>
      <c r="Q25" s="84">
        <v>1</v>
      </c>
      <c r="R25" s="84">
        <v>1</v>
      </c>
      <c r="S25" s="84">
        <v>1</v>
      </c>
      <c r="T25" s="84">
        <v>1</v>
      </c>
      <c r="U25" s="84"/>
      <c r="V25" s="84">
        <v>1</v>
      </c>
      <c r="W25" s="84">
        <v>1</v>
      </c>
      <c r="X25" s="84"/>
      <c r="Y25" s="84"/>
      <c r="Z25" s="84"/>
      <c r="AA25" s="84"/>
      <c r="AB25" s="84"/>
      <c r="AC25" s="84"/>
      <c r="AD25" s="84"/>
      <c r="AE25" s="84"/>
      <c r="AF25" s="84"/>
      <c r="AG25" s="85"/>
      <c r="AH25" s="2">
        <f t="shared" si="0"/>
        <v>2</v>
      </c>
    </row>
    <row r="26" spans="1:34" x14ac:dyDescent="0.2">
      <c r="A26" t="s">
        <v>11</v>
      </c>
      <c r="B26" s="70" t="s">
        <v>14</v>
      </c>
      <c r="C26" s="71">
        <v>3</v>
      </c>
      <c r="D26" s="71">
        <v>3</v>
      </c>
      <c r="E26" s="72">
        <v>9</v>
      </c>
      <c r="F26" s="83"/>
      <c r="G26" s="84"/>
      <c r="H26" s="84"/>
      <c r="I26" s="84"/>
      <c r="J26" s="84">
        <v>1</v>
      </c>
      <c r="K26" s="84"/>
      <c r="L26" s="84">
        <v>1</v>
      </c>
      <c r="M26" s="84"/>
      <c r="N26" s="84">
        <v>1</v>
      </c>
      <c r="O26" s="84"/>
      <c r="P26" s="84"/>
      <c r="Q26" s="84"/>
      <c r="R26" s="84"/>
      <c r="S26" s="84">
        <v>1</v>
      </c>
      <c r="T26" s="84">
        <v>2</v>
      </c>
      <c r="U26" s="84"/>
      <c r="V26" s="84">
        <v>1</v>
      </c>
      <c r="W26" s="84">
        <v>1</v>
      </c>
      <c r="X26" s="84"/>
      <c r="Y26" s="84"/>
      <c r="Z26" s="84"/>
      <c r="AA26" s="84"/>
      <c r="AB26" s="84"/>
      <c r="AC26" s="84">
        <v>1</v>
      </c>
      <c r="AD26" s="84"/>
      <c r="AE26" s="84"/>
      <c r="AF26" s="84"/>
      <c r="AG26" s="85"/>
      <c r="AH26" s="2">
        <f t="shared" si="0"/>
        <v>0</v>
      </c>
    </row>
    <row r="27" spans="1:34" x14ac:dyDescent="0.2">
      <c r="A27" t="s">
        <v>11</v>
      </c>
      <c r="B27" s="70" t="s">
        <v>14</v>
      </c>
      <c r="C27" s="71">
        <v>4</v>
      </c>
      <c r="D27" s="71">
        <v>3</v>
      </c>
      <c r="E27" s="72">
        <v>7</v>
      </c>
      <c r="F27" s="83"/>
      <c r="G27" s="84"/>
      <c r="H27" s="84"/>
      <c r="I27" s="84"/>
      <c r="J27" s="84"/>
      <c r="K27" s="84">
        <v>1</v>
      </c>
      <c r="L27" s="84">
        <v>1</v>
      </c>
      <c r="M27" s="84"/>
      <c r="N27" s="84"/>
      <c r="O27" s="84"/>
      <c r="P27" s="84"/>
      <c r="Q27" s="84">
        <v>1</v>
      </c>
      <c r="R27" s="84"/>
      <c r="S27" s="84"/>
      <c r="T27" s="84"/>
      <c r="U27" s="84">
        <v>1</v>
      </c>
      <c r="V27" s="84"/>
      <c r="W27" s="84"/>
      <c r="X27" s="84"/>
      <c r="Y27" s="84">
        <v>2</v>
      </c>
      <c r="Z27" s="84">
        <v>1</v>
      </c>
      <c r="AA27" s="84"/>
      <c r="AB27" s="84"/>
      <c r="AC27" s="84"/>
      <c r="AD27" s="84"/>
      <c r="AE27" s="84"/>
      <c r="AF27" s="84"/>
      <c r="AG27" s="85"/>
      <c r="AH27" s="2">
        <f t="shared" si="0"/>
        <v>0</v>
      </c>
    </row>
    <row r="28" spans="1:34" x14ac:dyDescent="0.2">
      <c r="A28" t="s">
        <v>11</v>
      </c>
      <c r="B28" s="70" t="s">
        <v>14</v>
      </c>
      <c r="C28" s="71">
        <v>5</v>
      </c>
      <c r="D28" s="71">
        <v>3</v>
      </c>
      <c r="E28" s="72">
        <v>5</v>
      </c>
      <c r="F28" s="83"/>
      <c r="G28" s="84"/>
      <c r="H28" s="84"/>
      <c r="I28" s="84"/>
      <c r="J28" s="84">
        <v>1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>
        <v>2</v>
      </c>
      <c r="Z28" s="84"/>
      <c r="AA28" s="84"/>
      <c r="AB28" s="84"/>
      <c r="AC28" s="84"/>
      <c r="AD28" s="84"/>
      <c r="AE28" s="84"/>
      <c r="AF28" s="84"/>
      <c r="AG28" s="85"/>
      <c r="AH28" s="2">
        <f t="shared" si="0"/>
        <v>2</v>
      </c>
    </row>
    <row r="29" spans="1:34" x14ac:dyDescent="0.2">
      <c r="A29" t="s">
        <v>11</v>
      </c>
      <c r="B29" s="70" t="s">
        <v>14</v>
      </c>
      <c r="C29" s="71">
        <v>6</v>
      </c>
      <c r="D29" s="71">
        <v>3</v>
      </c>
      <c r="E29" s="72">
        <v>0</v>
      </c>
      <c r="F29" s="83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5"/>
      <c r="AH29" s="2">
        <f t="shared" si="0"/>
        <v>0</v>
      </c>
    </row>
    <row r="30" spans="1:34" x14ac:dyDescent="0.2">
      <c r="A30" t="s">
        <v>11</v>
      </c>
      <c r="B30" s="70" t="s">
        <v>14</v>
      </c>
      <c r="C30" s="71">
        <v>7</v>
      </c>
      <c r="D30" s="71">
        <v>3</v>
      </c>
      <c r="E30" s="72">
        <v>0</v>
      </c>
      <c r="F30" s="83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  <c r="AH30" s="2">
        <f t="shared" si="0"/>
        <v>0</v>
      </c>
    </row>
    <row r="31" spans="1:34" x14ac:dyDescent="0.2">
      <c r="A31" t="s">
        <v>11</v>
      </c>
      <c r="B31" s="73" t="s">
        <v>15</v>
      </c>
      <c r="C31" s="74">
        <v>1</v>
      </c>
      <c r="D31" s="71">
        <v>3</v>
      </c>
      <c r="E31" s="72">
        <v>21</v>
      </c>
      <c r="F31" s="83"/>
      <c r="G31" s="84"/>
      <c r="H31" s="84">
        <v>2</v>
      </c>
      <c r="I31" s="84">
        <v>1</v>
      </c>
      <c r="J31" s="84">
        <v>1</v>
      </c>
      <c r="K31" s="84">
        <v>2</v>
      </c>
      <c r="L31" s="84">
        <v>1</v>
      </c>
      <c r="M31" s="84"/>
      <c r="N31" s="84">
        <v>1</v>
      </c>
      <c r="O31" s="84"/>
      <c r="P31" s="84"/>
      <c r="Q31" s="84">
        <v>2</v>
      </c>
      <c r="R31" s="84">
        <v>1</v>
      </c>
      <c r="S31" s="84"/>
      <c r="T31" s="84">
        <v>5</v>
      </c>
      <c r="U31" s="84"/>
      <c r="V31" s="84"/>
      <c r="W31" s="84"/>
      <c r="X31" s="84"/>
      <c r="Y31" s="84">
        <v>1</v>
      </c>
      <c r="Z31" s="84"/>
      <c r="AA31" s="84"/>
      <c r="AB31" s="84"/>
      <c r="AC31" s="84"/>
      <c r="AD31" s="84"/>
      <c r="AE31" s="84"/>
      <c r="AF31" s="84"/>
      <c r="AG31" s="85"/>
      <c r="AH31" s="2">
        <f t="shared" si="0"/>
        <v>4</v>
      </c>
    </row>
    <row r="32" spans="1:34" x14ac:dyDescent="0.2">
      <c r="A32" t="s">
        <v>11</v>
      </c>
      <c r="B32" s="73" t="s">
        <v>15</v>
      </c>
      <c r="C32" s="74">
        <v>2</v>
      </c>
      <c r="D32" s="71">
        <v>3</v>
      </c>
      <c r="E32" s="72">
        <v>22</v>
      </c>
      <c r="F32" s="83"/>
      <c r="G32" s="84"/>
      <c r="H32" s="84"/>
      <c r="I32" s="84"/>
      <c r="J32" s="84"/>
      <c r="K32" s="84">
        <v>1</v>
      </c>
      <c r="L32" s="84">
        <v>3</v>
      </c>
      <c r="M32" s="84">
        <v>1</v>
      </c>
      <c r="N32" s="84"/>
      <c r="O32" s="84"/>
      <c r="P32" s="84"/>
      <c r="Q32" s="84">
        <v>2</v>
      </c>
      <c r="R32" s="84">
        <v>1</v>
      </c>
      <c r="S32" s="84"/>
      <c r="T32" s="84">
        <v>3</v>
      </c>
      <c r="U32" s="84"/>
      <c r="V32" s="84"/>
      <c r="W32" s="84">
        <v>1</v>
      </c>
      <c r="X32" s="84"/>
      <c r="Y32" s="84">
        <v>1</v>
      </c>
      <c r="Z32" s="84"/>
      <c r="AA32" s="84"/>
      <c r="AB32" s="84"/>
      <c r="AC32" s="84"/>
      <c r="AD32" s="84"/>
      <c r="AE32" s="84"/>
      <c r="AF32" s="84"/>
      <c r="AG32" s="85"/>
      <c r="AH32" s="2">
        <f t="shared" si="0"/>
        <v>9</v>
      </c>
    </row>
    <row r="33" spans="1:34" x14ac:dyDescent="0.2">
      <c r="A33" t="s">
        <v>11</v>
      </c>
      <c r="B33" s="73" t="s">
        <v>15</v>
      </c>
      <c r="C33" s="74">
        <v>3</v>
      </c>
      <c r="D33" s="71">
        <v>3</v>
      </c>
      <c r="E33" s="72">
        <v>18</v>
      </c>
      <c r="F33" s="83"/>
      <c r="G33" s="84"/>
      <c r="H33" s="84">
        <v>2</v>
      </c>
      <c r="I33" s="84">
        <v>2</v>
      </c>
      <c r="J33" s="84">
        <v>2</v>
      </c>
      <c r="K33" s="84"/>
      <c r="L33" s="84">
        <v>2</v>
      </c>
      <c r="M33" s="84"/>
      <c r="N33" s="84"/>
      <c r="O33" s="84"/>
      <c r="P33" s="84">
        <v>1</v>
      </c>
      <c r="Q33" s="84">
        <v>1</v>
      </c>
      <c r="R33" s="84">
        <v>1</v>
      </c>
      <c r="S33" s="84">
        <v>2</v>
      </c>
      <c r="T33" s="84">
        <v>3</v>
      </c>
      <c r="U33" s="84">
        <v>1</v>
      </c>
      <c r="V33" s="84"/>
      <c r="W33" s="84">
        <v>1</v>
      </c>
      <c r="X33" s="84"/>
      <c r="Y33" s="84"/>
      <c r="Z33" s="84"/>
      <c r="AA33" s="84"/>
      <c r="AB33" s="84"/>
      <c r="AC33" s="84"/>
      <c r="AD33" s="84"/>
      <c r="AE33" s="84"/>
      <c r="AF33" s="84"/>
      <c r="AG33" s="85"/>
      <c r="AH33" s="2">
        <f t="shared" si="0"/>
        <v>0</v>
      </c>
    </row>
    <row r="34" spans="1:34" x14ac:dyDescent="0.2">
      <c r="A34" t="s">
        <v>11</v>
      </c>
      <c r="B34" s="73" t="s">
        <v>15</v>
      </c>
      <c r="C34" s="74">
        <v>4</v>
      </c>
      <c r="D34" s="71">
        <v>3</v>
      </c>
      <c r="E34" s="72">
        <v>6</v>
      </c>
      <c r="F34" s="83"/>
      <c r="G34" s="84"/>
      <c r="H34" s="84"/>
      <c r="I34" s="84"/>
      <c r="J34" s="84">
        <v>1</v>
      </c>
      <c r="K34" s="84"/>
      <c r="L34" s="84">
        <v>1</v>
      </c>
      <c r="M34" s="84"/>
      <c r="N34" s="84">
        <v>1</v>
      </c>
      <c r="O34" s="84"/>
      <c r="P34" s="84"/>
      <c r="Q34" s="84"/>
      <c r="R34" s="84"/>
      <c r="S34" s="84"/>
      <c r="T34" s="84">
        <v>1</v>
      </c>
      <c r="U34" s="84">
        <v>1</v>
      </c>
      <c r="V34" s="84"/>
      <c r="W34" s="84"/>
      <c r="X34" s="84">
        <v>1</v>
      </c>
      <c r="Y34" s="84"/>
      <c r="Z34" s="84"/>
      <c r="AA34" s="84"/>
      <c r="AB34" s="84"/>
      <c r="AC34" s="84"/>
      <c r="AD34" s="84"/>
      <c r="AE34" s="84"/>
      <c r="AF34" s="84"/>
      <c r="AG34" s="85"/>
      <c r="AH34" s="2">
        <f t="shared" si="0"/>
        <v>0</v>
      </c>
    </row>
    <row r="35" spans="1:34" x14ac:dyDescent="0.2">
      <c r="A35" t="s">
        <v>11</v>
      </c>
      <c r="B35" s="73" t="s">
        <v>15</v>
      </c>
      <c r="C35" s="74">
        <v>5</v>
      </c>
      <c r="D35" s="71">
        <v>3</v>
      </c>
      <c r="E35" s="72">
        <v>2</v>
      </c>
      <c r="F35" s="83"/>
      <c r="G35" s="84"/>
      <c r="H35" s="84"/>
      <c r="I35" s="84"/>
      <c r="J35" s="84">
        <v>1</v>
      </c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>
        <v>1</v>
      </c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5"/>
      <c r="AH35" s="2">
        <f t="shared" si="0"/>
        <v>0</v>
      </c>
    </row>
    <row r="36" spans="1:34" x14ac:dyDescent="0.2">
      <c r="A36" t="s">
        <v>11</v>
      </c>
      <c r="B36" s="73" t="s">
        <v>15</v>
      </c>
      <c r="C36" s="74">
        <v>6</v>
      </c>
      <c r="D36" s="71">
        <v>3</v>
      </c>
      <c r="E36" s="72">
        <v>0</v>
      </c>
      <c r="F36" s="83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5"/>
      <c r="AH36" s="2">
        <f t="shared" si="0"/>
        <v>0</v>
      </c>
    </row>
    <row r="37" spans="1:34" x14ac:dyDescent="0.2">
      <c r="A37" t="s">
        <v>11</v>
      </c>
      <c r="B37" s="73" t="s">
        <v>15</v>
      </c>
      <c r="C37" s="74">
        <v>7</v>
      </c>
      <c r="D37" s="75">
        <v>3</v>
      </c>
      <c r="E37" s="76">
        <v>1</v>
      </c>
      <c r="F37" s="86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8"/>
      <c r="AH37" s="17">
        <f t="shared" si="0"/>
        <v>1</v>
      </c>
    </row>
  </sheetData>
  <conditionalFormatting sqref="AH2:AH37">
    <cfRule type="cellIs" dxfId="1" priority="1" operator="lessThanOrEqual">
      <formula>-1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E543-FF2B-0B4A-AC58-432810FDE959}">
  <dimension ref="A1:P253"/>
  <sheetViews>
    <sheetView zoomScale="89" zoomScaleNormal="89" workbookViewId="0">
      <selection activeCell="M13" sqref="M13"/>
    </sheetView>
  </sheetViews>
  <sheetFormatPr baseColWidth="10" defaultRowHeight="16" x14ac:dyDescent="0.2"/>
  <cols>
    <col min="2" max="2" width="12.83203125" customWidth="1"/>
    <col min="12" max="12" width="23" customWidth="1"/>
    <col min="13" max="13" width="18" customWidth="1"/>
  </cols>
  <sheetData>
    <row r="1" spans="1:13" s="1" customFormat="1" x14ac:dyDescent="0.2">
      <c r="A1" s="1" t="s">
        <v>17</v>
      </c>
      <c r="B1" s="1" t="s">
        <v>0</v>
      </c>
      <c r="C1" s="1" t="s">
        <v>1</v>
      </c>
      <c r="D1" s="27" t="s">
        <v>28</v>
      </c>
      <c r="E1" s="27" t="s">
        <v>29</v>
      </c>
      <c r="F1" s="30" t="s">
        <v>5</v>
      </c>
      <c r="G1" s="30" t="s">
        <v>4</v>
      </c>
      <c r="H1" s="27" t="s">
        <v>6</v>
      </c>
      <c r="I1" s="1" t="s">
        <v>3</v>
      </c>
      <c r="J1" s="1" t="s">
        <v>10</v>
      </c>
      <c r="K1" s="1" t="s">
        <v>58</v>
      </c>
      <c r="L1" s="1" t="s">
        <v>59</v>
      </c>
    </row>
    <row r="2" spans="1:13" x14ac:dyDescent="0.2">
      <c r="A2" t="s">
        <v>37</v>
      </c>
      <c r="B2" s="25">
        <v>45770</v>
      </c>
      <c r="C2" s="29">
        <v>28</v>
      </c>
      <c r="D2" s="28">
        <v>0.94179999999999997</v>
      </c>
      <c r="E2" s="28">
        <v>0</v>
      </c>
      <c r="F2" s="31" t="s">
        <v>11</v>
      </c>
      <c r="G2" s="31">
        <v>1</v>
      </c>
      <c r="H2" s="28">
        <v>1</v>
      </c>
      <c r="I2">
        <v>1</v>
      </c>
      <c r="J2">
        <v>19</v>
      </c>
      <c r="K2">
        <v>215.9</v>
      </c>
      <c r="L2">
        <v>0</v>
      </c>
    </row>
    <row r="3" spans="1:13" x14ac:dyDescent="0.2">
      <c r="A3" t="s">
        <v>37</v>
      </c>
      <c r="B3" s="25">
        <v>45770</v>
      </c>
      <c r="C3" s="29">
        <v>28</v>
      </c>
      <c r="D3" s="28">
        <v>0.94179999999999997</v>
      </c>
      <c r="E3" s="28">
        <v>0</v>
      </c>
      <c r="F3" s="31" t="s">
        <v>11</v>
      </c>
      <c r="G3" s="31">
        <v>1</v>
      </c>
      <c r="H3" s="28">
        <v>2</v>
      </c>
      <c r="I3">
        <v>2</v>
      </c>
      <c r="J3">
        <v>10</v>
      </c>
      <c r="K3">
        <v>126.5</v>
      </c>
      <c r="L3">
        <v>0</v>
      </c>
    </row>
    <row r="4" spans="1:13" x14ac:dyDescent="0.2">
      <c r="A4" t="s">
        <v>37</v>
      </c>
      <c r="B4" s="25">
        <v>45770</v>
      </c>
      <c r="C4" s="29">
        <v>28</v>
      </c>
      <c r="D4" s="28">
        <v>9.4181000000000008</v>
      </c>
      <c r="E4" s="28">
        <v>0</v>
      </c>
      <c r="F4" s="31" t="s">
        <v>11</v>
      </c>
      <c r="G4" s="31">
        <v>2</v>
      </c>
      <c r="H4" s="28">
        <v>1</v>
      </c>
      <c r="I4">
        <v>3</v>
      </c>
      <c r="J4">
        <v>18</v>
      </c>
      <c r="K4">
        <v>191.5</v>
      </c>
      <c r="L4">
        <v>0</v>
      </c>
    </row>
    <row r="5" spans="1:13" x14ac:dyDescent="0.2">
      <c r="A5" t="s">
        <v>37</v>
      </c>
      <c r="B5" s="25">
        <v>45770</v>
      </c>
      <c r="C5" s="29">
        <v>28</v>
      </c>
      <c r="D5" s="28">
        <v>9.4181000000000008</v>
      </c>
      <c r="E5" s="28">
        <v>0</v>
      </c>
      <c r="F5" s="31" t="s">
        <v>11</v>
      </c>
      <c r="G5" s="31">
        <v>2</v>
      </c>
      <c r="H5" s="28">
        <v>2</v>
      </c>
      <c r="I5">
        <v>4</v>
      </c>
      <c r="J5">
        <v>19</v>
      </c>
      <c r="K5">
        <v>205</v>
      </c>
      <c r="L5">
        <v>1</v>
      </c>
    </row>
    <row r="6" spans="1:13" x14ac:dyDescent="0.2">
      <c r="A6" t="s">
        <v>37</v>
      </c>
      <c r="B6" s="25">
        <v>45770</v>
      </c>
      <c r="C6" s="29">
        <v>28</v>
      </c>
      <c r="D6" s="28">
        <v>52.9619</v>
      </c>
      <c r="E6" s="28">
        <v>0</v>
      </c>
      <c r="F6" s="31" t="s">
        <v>11</v>
      </c>
      <c r="G6" s="31">
        <v>3</v>
      </c>
      <c r="H6" s="28">
        <v>1</v>
      </c>
      <c r="I6">
        <v>5</v>
      </c>
      <c r="J6">
        <v>9</v>
      </c>
      <c r="K6">
        <v>100.7</v>
      </c>
      <c r="L6">
        <v>0</v>
      </c>
    </row>
    <row r="7" spans="1:13" x14ac:dyDescent="0.2">
      <c r="A7" t="s">
        <v>37</v>
      </c>
      <c r="B7" s="25">
        <v>45770</v>
      </c>
      <c r="C7" s="29">
        <v>28</v>
      </c>
      <c r="D7" s="28">
        <v>52.9619</v>
      </c>
      <c r="E7" s="28">
        <v>0</v>
      </c>
      <c r="F7" s="31" t="s">
        <v>11</v>
      </c>
      <c r="G7" s="31">
        <v>3</v>
      </c>
      <c r="H7" s="28">
        <v>2</v>
      </c>
      <c r="I7">
        <v>6</v>
      </c>
      <c r="J7">
        <v>11</v>
      </c>
      <c r="K7">
        <v>114.2</v>
      </c>
      <c r="L7">
        <v>0</v>
      </c>
    </row>
    <row r="8" spans="1:13" x14ac:dyDescent="0.2">
      <c r="A8" t="s">
        <v>37</v>
      </c>
      <c r="B8" s="25">
        <v>45770</v>
      </c>
      <c r="C8" s="29">
        <v>28</v>
      </c>
      <c r="D8" s="28">
        <v>94.180999999999997</v>
      </c>
      <c r="E8" s="28">
        <v>0</v>
      </c>
      <c r="F8" s="31" t="s">
        <v>11</v>
      </c>
      <c r="G8" s="31">
        <v>4</v>
      </c>
      <c r="H8" s="28">
        <v>1</v>
      </c>
      <c r="I8">
        <v>7</v>
      </c>
      <c r="J8">
        <v>14</v>
      </c>
      <c r="K8">
        <v>137.9</v>
      </c>
      <c r="L8">
        <v>0</v>
      </c>
    </row>
    <row r="9" spans="1:13" x14ac:dyDescent="0.2">
      <c r="A9" t="s">
        <v>37</v>
      </c>
      <c r="B9" s="25">
        <v>45770</v>
      </c>
      <c r="C9" s="29">
        <v>28</v>
      </c>
      <c r="D9" s="28">
        <v>94.180999999999997</v>
      </c>
      <c r="E9" s="28">
        <v>0</v>
      </c>
      <c r="F9" s="31" t="s">
        <v>11</v>
      </c>
      <c r="G9" s="31">
        <v>4</v>
      </c>
      <c r="H9" s="28">
        <v>2</v>
      </c>
      <c r="I9">
        <v>8</v>
      </c>
      <c r="J9">
        <v>4</v>
      </c>
      <c r="K9">
        <v>39.5</v>
      </c>
      <c r="L9">
        <v>0</v>
      </c>
    </row>
    <row r="10" spans="1:13" x14ac:dyDescent="0.2">
      <c r="A10" t="s">
        <v>37</v>
      </c>
      <c r="B10" s="25">
        <v>45770</v>
      </c>
      <c r="C10" s="29">
        <v>28</v>
      </c>
      <c r="D10" s="28">
        <v>167.48009999999999</v>
      </c>
      <c r="E10" s="28">
        <v>0</v>
      </c>
      <c r="F10" s="31" t="s">
        <v>11</v>
      </c>
      <c r="G10" s="31">
        <v>5</v>
      </c>
      <c r="H10" s="28">
        <v>1</v>
      </c>
      <c r="I10">
        <v>9</v>
      </c>
      <c r="J10">
        <v>12</v>
      </c>
      <c r="K10">
        <v>138.5</v>
      </c>
      <c r="L10">
        <v>0</v>
      </c>
    </row>
    <row r="11" spans="1:13" x14ac:dyDescent="0.2">
      <c r="A11" t="s">
        <v>37</v>
      </c>
      <c r="B11" s="25">
        <v>45770</v>
      </c>
      <c r="C11" s="29">
        <v>28</v>
      </c>
      <c r="D11" s="28">
        <v>167.48009999999999</v>
      </c>
      <c r="E11" s="28">
        <v>0</v>
      </c>
      <c r="F11" s="31" t="s">
        <v>11</v>
      </c>
      <c r="G11" s="31">
        <v>5</v>
      </c>
      <c r="H11" s="28">
        <v>2</v>
      </c>
      <c r="I11">
        <v>10</v>
      </c>
      <c r="J11">
        <v>15</v>
      </c>
      <c r="K11">
        <v>163.80000000000001</v>
      </c>
      <c r="L11">
        <v>0</v>
      </c>
    </row>
    <row r="12" spans="1:13" x14ac:dyDescent="0.2">
      <c r="A12" t="s">
        <v>37</v>
      </c>
      <c r="B12" s="25">
        <v>45770</v>
      </c>
      <c r="C12" s="29">
        <v>28</v>
      </c>
      <c r="D12" s="28">
        <v>297.82639999999998</v>
      </c>
      <c r="E12" s="28">
        <v>0</v>
      </c>
      <c r="F12" s="31" t="s">
        <v>11</v>
      </c>
      <c r="G12" s="31">
        <v>6</v>
      </c>
      <c r="H12" s="28">
        <v>1</v>
      </c>
      <c r="I12">
        <v>11</v>
      </c>
      <c r="J12">
        <v>6</v>
      </c>
      <c r="K12">
        <v>50.5</v>
      </c>
      <c r="L12">
        <v>0</v>
      </c>
    </row>
    <row r="13" spans="1:13" x14ac:dyDescent="0.2">
      <c r="A13" t="s">
        <v>37</v>
      </c>
      <c r="B13" s="25">
        <v>45770</v>
      </c>
      <c r="C13" s="29">
        <v>28</v>
      </c>
      <c r="D13" s="28">
        <v>297.82639999999998</v>
      </c>
      <c r="E13" s="28">
        <v>0</v>
      </c>
      <c r="F13" s="31" t="s">
        <v>11</v>
      </c>
      <c r="G13" s="31">
        <v>6</v>
      </c>
      <c r="H13" s="28">
        <v>2</v>
      </c>
      <c r="I13">
        <v>12</v>
      </c>
      <c r="J13">
        <v>0</v>
      </c>
      <c r="K13">
        <v>0</v>
      </c>
      <c r="L13">
        <v>0</v>
      </c>
      <c r="M13" s="92"/>
    </row>
    <row r="14" spans="1:13" x14ac:dyDescent="0.2">
      <c r="A14" t="s">
        <v>37</v>
      </c>
      <c r="B14" s="25">
        <v>45770</v>
      </c>
      <c r="C14" s="29">
        <v>28</v>
      </c>
      <c r="D14" s="28">
        <v>529.61860000000001</v>
      </c>
      <c r="E14" s="28">
        <v>0</v>
      </c>
      <c r="F14" s="31" t="s">
        <v>11</v>
      </c>
      <c r="G14" s="31">
        <v>7</v>
      </c>
      <c r="H14" s="28">
        <v>1</v>
      </c>
      <c r="I14">
        <v>13</v>
      </c>
      <c r="J14">
        <v>1</v>
      </c>
      <c r="K14">
        <v>5.8</v>
      </c>
      <c r="L14">
        <v>0</v>
      </c>
    </row>
    <row r="15" spans="1:13" x14ac:dyDescent="0.2">
      <c r="A15" t="s">
        <v>37</v>
      </c>
      <c r="B15" s="25">
        <v>45770</v>
      </c>
      <c r="C15" s="29">
        <v>28</v>
      </c>
      <c r="D15" s="28">
        <v>529.61860000000001</v>
      </c>
      <c r="E15" s="28">
        <v>0</v>
      </c>
      <c r="F15" s="31" t="s">
        <v>11</v>
      </c>
      <c r="G15" s="31">
        <v>7</v>
      </c>
      <c r="H15" s="28">
        <v>2</v>
      </c>
      <c r="I15">
        <v>14</v>
      </c>
      <c r="J15">
        <v>2</v>
      </c>
      <c r="K15">
        <v>21.2</v>
      </c>
      <c r="L15">
        <v>0</v>
      </c>
    </row>
    <row r="16" spans="1:13" x14ac:dyDescent="0.2">
      <c r="A16" t="s">
        <v>37</v>
      </c>
      <c r="B16" s="25">
        <v>45770</v>
      </c>
      <c r="C16" s="29">
        <v>28</v>
      </c>
      <c r="D16" s="28">
        <v>0.70640000000000003</v>
      </c>
      <c r="E16" s="28">
        <v>6.9999999999999999E-4</v>
      </c>
      <c r="F16" s="31" t="s">
        <v>12</v>
      </c>
      <c r="G16" s="31">
        <v>1</v>
      </c>
      <c r="H16" s="28">
        <v>1</v>
      </c>
      <c r="I16">
        <v>15</v>
      </c>
      <c r="J16">
        <v>15</v>
      </c>
      <c r="K16">
        <v>151.9</v>
      </c>
      <c r="L16">
        <v>0</v>
      </c>
    </row>
    <row r="17" spans="1:12" x14ac:dyDescent="0.2">
      <c r="A17" t="s">
        <v>37</v>
      </c>
      <c r="B17" s="25">
        <v>45770</v>
      </c>
      <c r="C17" s="29">
        <v>28</v>
      </c>
      <c r="D17" s="28">
        <v>0.70640000000000003</v>
      </c>
      <c r="E17" s="28">
        <v>6.9999999999999999E-4</v>
      </c>
      <c r="F17" s="31" t="s">
        <v>12</v>
      </c>
      <c r="G17" s="31">
        <v>1</v>
      </c>
      <c r="H17" s="28">
        <v>2</v>
      </c>
      <c r="I17">
        <v>16</v>
      </c>
      <c r="J17">
        <v>8</v>
      </c>
      <c r="K17">
        <v>100.1</v>
      </c>
      <c r="L17">
        <v>0</v>
      </c>
    </row>
    <row r="18" spans="1:12" x14ac:dyDescent="0.2">
      <c r="A18" t="s">
        <v>37</v>
      </c>
      <c r="B18" s="25">
        <v>45770</v>
      </c>
      <c r="C18" s="29">
        <v>28</v>
      </c>
      <c r="D18" s="28">
        <v>7.0636000000000001</v>
      </c>
      <c r="E18" s="28">
        <v>6.4999999999999997E-3</v>
      </c>
      <c r="F18" s="31" t="s">
        <v>12</v>
      </c>
      <c r="G18" s="31">
        <v>2</v>
      </c>
      <c r="H18" s="28">
        <v>1</v>
      </c>
      <c r="I18">
        <v>17</v>
      </c>
      <c r="J18">
        <v>16</v>
      </c>
      <c r="K18">
        <v>172.7</v>
      </c>
      <c r="L18">
        <v>0</v>
      </c>
    </row>
    <row r="19" spans="1:12" x14ac:dyDescent="0.2">
      <c r="A19" t="s">
        <v>37</v>
      </c>
      <c r="B19" s="25">
        <v>45770</v>
      </c>
      <c r="C19" s="29">
        <v>28</v>
      </c>
      <c r="D19" s="28">
        <v>7.0636000000000001</v>
      </c>
      <c r="E19" s="28">
        <v>6.4999999999999997E-3</v>
      </c>
      <c r="F19" s="31" t="s">
        <v>12</v>
      </c>
      <c r="G19" s="31">
        <v>2</v>
      </c>
      <c r="H19" s="28">
        <v>2</v>
      </c>
      <c r="I19">
        <v>18</v>
      </c>
      <c r="J19">
        <v>1</v>
      </c>
      <c r="K19">
        <v>12.1</v>
      </c>
      <c r="L19">
        <v>0</v>
      </c>
    </row>
    <row r="20" spans="1:12" x14ac:dyDescent="0.2">
      <c r="A20" t="s">
        <v>37</v>
      </c>
      <c r="B20" s="25">
        <v>45770</v>
      </c>
      <c r="C20" s="29">
        <v>28</v>
      </c>
      <c r="D20" s="28">
        <v>39.721400000000003</v>
      </c>
      <c r="E20" s="28">
        <v>3.6700000000000003E-2</v>
      </c>
      <c r="F20" s="31" t="s">
        <v>12</v>
      </c>
      <c r="G20" s="31">
        <v>3</v>
      </c>
      <c r="H20" s="28">
        <v>1</v>
      </c>
      <c r="I20">
        <v>19</v>
      </c>
      <c r="J20">
        <v>13</v>
      </c>
      <c r="K20">
        <v>139.1</v>
      </c>
      <c r="L20">
        <v>0</v>
      </c>
    </row>
    <row r="21" spans="1:12" x14ac:dyDescent="0.2">
      <c r="A21" t="s">
        <v>37</v>
      </c>
      <c r="B21" s="25">
        <v>45770</v>
      </c>
      <c r="C21" s="29">
        <v>28</v>
      </c>
      <c r="D21" s="28">
        <v>39.721400000000003</v>
      </c>
      <c r="E21" s="28">
        <v>3.6700000000000003E-2</v>
      </c>
      <c r="F21" s="31" t="s">
        <v>12</v>
      </c>
      <c r="G21" s="31">
        <v>3</v>
      </c>
      <c r="H21" s="28">
        <v>2</v>
      </c>
      <c r="I21">
        <v>20</v>
      </c>
      <c r="J21">
        <v>8</v>
      </c>
      <c r="K21">
        <v>99</v>
      </c>
      <c r="L21">
        <v>0</v>
      </c>
    </row>
    <row r="22" spans="1:12" x14ac:dyDescent="0.2">
      <c r="A22" t="s">
        <v>37</v>
      </c>
      <c r="B22" s="25">
        <v>45770</v>
      </c>
      <c r="C22" s="29">
        <v>28</v>
      </c>
      <c r="D22" s="28">
        <v>70.6357</v>
      </c>
      <c r="E22" s="28">
        <v>6.5299999999999997E-2</v>
      </c>
      <c r="F22" s="31" t="s">
        <v>12</v>
      </c>
      <c r="G22" s="31">
        <v>4</v>
      </c>
      <c r="H22" s="28">
        <v>1</v>
      </c>
      <c r="I22">
        <v>21</v>
      </c>
      <c r="J22">
        <v>10</v>
      </c>
      <c r="K22">
        <v>96.9</v>
      </c>
      <c r="L22">
        <v>0</v>
      </c>
    </row>
    <row r="23" spans="1:12" x14ac:dyDescent="0.2">
      <c r="A23" t="s">
        <v>37</v>
      </c>
      <c r="B23" s="25">
        <v>45770</v>
      </c>
      <c r="C23" s="29">
        <v>28</v>
      </c>
      <c r="D23" s="28">
        <v>70.6357</v>
      </c>
      <c r="E23" s="28">
        <v>6.5299999999999997E-2</v>
      </c>
      <c r="F23" s="31" t="s">
        <v>12</v>
      </c>
      <c r="G23" s="31">
        <v>4</v>
      </c>
      <c r="H23" s="28">
        <v>2</v>
      </c>
      <c r="I23">
        <v>22</v>
      </c>
      <c r="J23">
        <v>12</v>
      </c>
      <c r="K23">
        <v>151.80000000000001</v>
      </c>
      <c r="L23">
        <v>0</v>
      </c>
    </row>
    <row r="24" spans="1:12" x14ac:dyDescent="0.2">
      <c r="A24" t="s">
        <v>37</v>
      </c>
      <c r="B24" s="25">
        <v>45770</v>
      </c>
      <c r="C24" s="29">
        <v>28</v>
      </c>
      <c r="D24" s="28">
        <v>125.6101</v>
      </c>
      <c r="E24" s="28">
        <v>0.11609999999999999</v>
      </c>
      <c r="F24" s="31" t="s">
        <v>12</v>
      </c>
      <c r="G24" s="31">
        <v>5</v>
      </c>
      <c r="H24" s="28">
        <v>1</v>
      </c>
      <c r="I24">
        <v>23</v>
      </c>
      <c r="J24">
        <v>3</v>
      </c>
      <c r="K24">
        <v>29.6</v>
      </c>
      <c r="L24">
        <v>0</v>
      </c>
    </row>
    <row r="25" spans="1:12" x14ac:dyDescent="0.2">
      <c r="A25" t="s">
        <v>37</v>
      </c>
      <c r="B25" s="25">
        <v>45770</v>
      </c>
      <c r="C25" s="29">
        <v>28</v>
      </c>
      <c r="D25" s="28">
        <v>125.6101</v>
      </c>
      <c r="E25" s="28">
        <v>0.11609999999999999</v>
      </c>
      <c r="F25" s="31" t="s">
        <v>12</v>
      </c>
      <c r="G25" s="31">
        <v>5</v>
      </c>
      <c r="H25" s="28">
        <v>2</v>
      </c>
      <c r="I25">
        <v>24</v>
      </c>
      <c r="J25">
        <v>13</v>
      </c>
      <c r="K25">
        <v>144.69999999999999</v>
      </c>
      <c r="L25">
        <v>0</v>
      </c>
    </row>
    <row r="26" spans="1:12" x14ac:dyDescent="0.2">
      <c r="A26" t="s">
        <v>37</v>
      </c>
      <c r="B26" s="25">
        <v>45770</v>
      </c>
      <c r="C26" s="29">
        <v>28</v>
      </c>
      <c r="D26" s="28">
        <v>223.3698</v>
      </c>
      <c r="E26" s="28">
        <v>0.2064</v>
      </c>
      <c r="F26" s="31" t="s">
        <v>12</v>
      </c>
      <c r="G26" s="31">
        <v>6</v>
      </c>
      <c r="H26" s="28">
        <v>1</v>
      </c>
      <c r="I26">
        <v>25</v>
      </c>
      <c r="J26">
        <v>0</v>
      </c>
      <c r="K26">
        <v>0</v>
      </c>
      <c r="L26">
        <v>0</v>
      </c>
    </row>
    <row r="27" spans="1:12" x14ac:dyDescent="0.2">
      <c r="A27" t="s">
        <v>37</v>
      </c>
      <c r="B27" s="25">
        <v>45770</v>
      </c>
      <c r="C27" s="29">
        <v>28</v>
      </c>
      <c r="D27" s="28">
        <v>223.3698</v>
      </c>
      <c r="E27" s="28">
        <v>0.2064</v>
      </c>
      <c r="F27" s="31" t="s">
        <v>12</v>
      </c>
      <c r="G27" s="31">
        <v>6</v>
      </c>
      <c r="H27" s="28">
        <v>2</v>
      </c>
      <c r="I27">
        <v>26</v>
      </c>
      <c r="J27">
        <v>3</v>
      </c>
      <c r="K27">
        <v>18</v>
      </c>
      <c r="L27">
        <v>1</v>
      </c>
    </row>
    <row r="28" spans="1:12" x14ac:dyDescent="0.2">
      <c r="A28" t="s">
        <v>37</v>
      </c>
      <c r="B28" s="25">
        <v>45770</v>
      </c>
      <c r="C28" s="29">
        <v>28</v>
      </c>
      <c r="D28" s="28">
        <v>397.214</v>
      </c>
      <c r="E28" s="28">
        <v>0.36709999999999998</v>
      </c>
      <c r="F28" s="31" t="s">
        <v>12</v>
      </c>
      <c r="G28" s="31">
        <v>7</v>
      </c>
      <c r="H28" s="28">
        <v>1</v>
      </c>
      <c r="I28">
        <v>27</v>
      </c>
      <c r="J28">
        <v>0</v>
      </c>
      <c r="K28">
        <v>0</v>
      </c>
      <c r="L28">
        <v>0</v>
      </c>
    </row>
    <row r="29" spans="1:12" x14ac:dyDescent="0.2">
      <c r="A29" t="s">
        <v>37</v>
      </c>
      <c r="B29" s="25">
        <v>45770</v>
      </c>
      <c r="C29" s="29">
        <v>28</v>
      </c>
      <c r="D29" s="28">
        <v>397.214</v>
      </c>
      <c r="E29" s="28">
        <v>0.36709999999999998</v>
      </c>
      <c r="F29" s="31" t="s">
        <v>12</v>
      </c>
      <c r="G29" s="31">
        <v>7</v>
      </c>
      <c r="H29" s="28">
        <v>2</v>
      </c>
      <c r="I29">
        <v>28</v>
      </c>
      <c r="J29">
        <v>0</v>
      </c>
      <c r="K29">
        <v>0</v>
      </c>
      <c r="L29">
        <v>0</v>
      </c>
    </row>
    <row r="30" spans="1:12" x14ac:dyDescent="0.2">
      <c r="A30" t="s">
        <v>37</v>
      </c>
      <c r="B30" s="25">
        <v>45770</v>
      </c>
      <c r="C30" s="29">
        <v>28</v>
      </c>
      <c r="D30" s="28">
        <v>0.47089999999999999</v>
      </c>
      <c r="E30" s="28">
        <v>1.2999999999999999E-3</v>
      </c>
      <c r="F30" s="31" t="s">
        <v>13</v>
      </c>
      <c r="G30" s="31">
        <v>1</v>
      </c>
      <c r="H30" s="28">
        <v>1</v>
      </c>
      <c r="I30">
        <v>29</v>
      </c>
      <c r="J30">
        <v>12</v>
      </c>
      <c r="K30">
        <v>138.69999999999999</v>
      </c>
      <c r="L30">
        <v>0</v>
      </c>
    </row>
    <row r="31" spans="1:12" x14ac:dyDescent="0.2">
      <c r="A31" t="s">
        <v>37</v>
      </c>
      <c r="B31" s="25">
        <v>45770</v>
      </c>
      <c r="C31" s="29">
        <v>28</v>
      </c>
      <c r="D31" s="28">
        <v>0.47089999999999999</v>
      </c>
      <c r="E31" s="28">
        <v>1.2999999999999999E-3</v>
      </c>
      <c r="F31" s="31" t="s">
        <v>13</v>
      </c>
      <c r="G31" s="31">
        <v>1</v>
      </c>
      <c r="H31" s="28">
        <v>2</v>
      </c>
      <c r="I31">
        <v>30</v>
      </c>
      <c r="J31">
        <v>9</v>
      </c>
      <c r="K31">
        <v>94.2</v>
      </c>
      <c r="L31">
        <v>0</v>
      </c>
    </row>
    <row r="32" spans="1:12" x14ac:dyDescent="0.2">
      <c r="A32" t="s">
        <v>37</v>
      </c>
      <c r="B32" s="25">
        <v>45770</v>
      </c>
      <c r="C32" s="29">
        <v>28</v>
      </c>
      <c r="D32" s="28">
        <v>4.7089999999999996</v>
      </c>
      <c r="E32" s="28">
        <v>1.3100000000000001E-2</v>
      </c>
      <c r="F32" s="31" t="s">
        <v>13</v>
      </c>
      <c r="G32" s="31">
        <v>2</v>
      </c>
      <c r="H32" s="28">
        <v>1</v>
      </c>
      <c r="I32">
        <v>31</v>
      </c>
      <c r="J32">
        <v>13</v>
      </c>
      <c r="K32">
        <v>158</v>
      </c>
      <c r="L32">
        <v>1</v>
      </c>
    </row>
    <row r="33" spans="1:12" x14ac:dyDescent="0.2">
      <c r="A33" t="s">
        <v>37</v>
      </c>
      <c r="B33" s="25">
        <v>45770</v>
      </c>
      <c r="C33" s="29">
        <v>28</v>
      </c>
      <c r="D33" s="28">
        <v>4.7089999999999996</v>
      </c>
      <c r="E33" s="28">
        <v>1.3100000000000001E-2</v>
      </c>
      <c r="F33" s="31" t="s">
        <v>13</v>
      </c>
      <c r="G33" s="31">
        <v>2</v>
      </c>
      <c r="H33" s="28">
        <v>2</v>
      </c>
      <c r="I33">
        <v>32</v>
      </c>
      <c r="J33">
        <v>13</v>
      </c>
      <c r="K33">
        <v>162.69999999999999</v>
      </c>
      <c r="L33">
        <v>0</v>
      </c>
    </row>
    <row r="34" spans="1:12" x14ac:dyDescent="0.2">
      <c r="A34" t="s">
        <v>37</v>
      </c>
      <c r="B34" s="25">
        <v>45770</v>
      </c>
      <c r="C34" s="29">
        <v>28</v>
      </c>
      <c r="D34" s="28">
        <v>26.480899999999998</v>
      </c>
      <c r="E34" s="28">
        <v>7.3400000000000007E-2</v>
      </c>
      <c r="F34" s="31" t="s">
        <v>13</v>
      </c>
      <c r="G34" s="31">
        <v>3</v>
      </c>
      <c r="H34" s="28">
        <v>1</v>
      </c>
      <c r="I34">
        <v>33</v>
      </c>
      <c r="J34">
        <v>15</v>
      </c>
      <c r="K34">
        <v>178.1</v>
      </c>
      <c r="L34">
        <v>0</v>
      </c>
    </row>
    <row r="35" spans="1:12" x14ac:dyDescent="0.2">
      <c r="A35" t="s">
        <v>37</v>
      </c>
      <c r="B35" s="25">
        <v>45770</v>
      </c>
      <c r="C35" s="29">
        <v>28</v>
      </c>
      <c r="D35" s="28">
        <v>26.480899999999998</v>
      </c>
      <c r="E35" s="28">
        <v>7.3400000000000007E-2</v>
      </c>
      <c r="F35" s="31" t="s">
        <v>13</v>
      </c>
      <c r="G35" s="31">
        <v>3</v>
      </c>
      <c r="H35" s="28">
        <v>2</v>
      </c>
      <c r="I35">
        <v>34</v>
      </c>
      <c r="J35">
        <v>15</v>
      </c>
      <c r="K35">
        <v>159.30000000000001</v>
      </c>
      <c r="L35">
        <v>0</v>
      </c>
    </row>
    <row r="36" spans="1:12" x14ac:dyDescent="0.2">
      <c r="A36" t="s">
        <v>37</v>
      </c>
      <c r="B36" s="25">
        <v>45770</v>
      </c>
      <c r="C36" s="29">
        <v>28</v>
      </c>
      <c r="D36" s="28">
        <v>47.090499999999999</v>
      </c>
      <c r="E36" s="28">
        <v>0.1305</v>
      </c>
      <c r="F36" s="31" t="s">
        <v>13</v>
      </c>
      <c r="G36" s="31">
        <v>4</v>
      </c>
      <c r="H36" s="28">
        <v>1</v>
      </c>
      <c r="I36">
        <v>35</v>
      </c>
      <c r="J36">
        <v>10</v>
      </c>
      <c r="K36">
        <v>102.8</v>
      </c>
      <c r="L36">
        <v>0</v>
      </c>
    </row>
    <row r="37" spans="1:12" x14ac:dyDescent="0.2">
      <c r="A37" t="s">
        <v>37</v>
      </c>
      <c r="B37" s="25">
        <v>45770</v>
      </c>
      <c r="C37" s="29">
        <v>28</v>
      </c>
      <c r="D37" s="28">
        <v>47.090499999999999</v>
      </c>
      <c r="E37" s="28">
        <v>0.1305</v>
      </c>
      <c r="F37" s="31" t="s">
        <v>13</v>
      </c>
      <c r="G37" s="31">
        <v>4</v>
      </c>
      <c r="H37" s="28">
        <v>2</v>
      </c>
      <c r="I37">
        <v>36</v>
      </c>
      <c r="J37">
        <v>11</v>
      </c>
      <c r="K37">
        <v>109</v>
      </c>
      <c r="L37">
        <v>0</v>
      </c>
    </row>
    <row r="38" spans="1:12" x14ac:dyDescent="0.2">
      <c r="A38" t="s">
        <v>37</v>
      </c>
      <c r="B38" s="25">
        <v>45770</v>
      </c>
      <c r="C38" s="29">
        <v>28</v>
      </c>
      <c r="D38" s="28">
        <v>83.740099999999998</v>
      </c>
      <c r="E38" s="28">
        <v>0.2321</v>
      </c>
      <c r="F38" s="31" t="s">
        <v>13</v>
      </c>
      <c r="G38" s="31">
        <v>5</v>
      </c>
      <c r="H38" s="28">
        <v>1</v>
      </c>
      <c r="I38">
        <v>37</v>
      </c>
      <c r="J38">
        <v>10</v>
      </c>
      <c r="K38">
        <v>109.7</v>
      </c>
      <c r="L38">
        <v>0</v>
      </c>
    </row>
    <row r="39" spans="1:12" x14ac:dyDescent="0.2">
      <c r="A39" t="s">
        <v>37</v>
      </c>
      <c r="B39" s="25">
        <v>45770</v>
      </c>
      <c r="C39" s="29">
        <v>28</v>
      </c>
      <c r="D39" s="28">
        <v>83.740099999999998</v>
      </c>
      <c r="E39" s="28">
        <v>0.2321</v>
      </c>
      <c r="F39" s="31" t="s">
        <v>13</v>
      </c>
      <c r="G39" s="31">
        <v>5</v>
      </c>
      <c r="H39" s="28">
        <v>2</v>
      </c>
      <c r="I39">
        <v>38</v>
      </c>
      <c r="J39">
        <v>12</v>
      </c>
      <c r="K39">
        <v>131.69999999999999</v>
      </c>
      <c r="L39">
        <v>0</v>
      </c>
    </row>
    <row r="40" spans="1:12" x14ac:dyDescent="0.2">
      <c r="A40" t="s">
        <v>37</v>
      </c>
      <c r="B40" s="25">
        <v>45770</v>
      </c>
      <c r="C40" s="29">
        <v>28</v>
      </c>
      <c r="D40" s="28">
        <v>148.91319999999999</v>
      </c>
      <c r="E40" s="28">
        <v>0.4128</v>
      </c>
      <c r="F40" s="31" t="s">
        <v>13</v>
      </c>
      <c r="G40" s="31">
        <v>6</v>
      </c>
      <c r="H40" s="28">
        <v>1</v>
      </c>
      <c r="I40">
        <v>39</v>
      </c>
      <c r="J40">
        <v>0</v>
      </c>
      <c r="K40">
        <v>0</v>
      </c>
      <c r="L40">
        <v>0</v>
      </c>
    </row>
    <row r="41" spans="1:12" x14ac:dyDescent="0.2">
      <c r="A41" t="s">
        <v>37</v>
      </c>
      <c r="B41" s="25">
        <v>45770</v>
      </c>
      <c r="C41" s="29">
        <v>28</v>
      </c>
      <c r="D41" s="28">
        <v>148.91319999999999</v>
      </c>
      <c r="E41" s="28">
        <v>0.4128</v>
      </c>
      <c r="F41" s="31" t="s">
        <v>13</v>
      </c>
      <c r="G41" s="31">
        <v>6</v>
      </c>
      <c r="H41" s="28">
        <v>2</v>
      </c>
      <c r="I41">
        <v>40</v>
      </c>
      <c r="J41">
        <v>6</v>
      </c>
      <c r="K41">
        <v>59.2</v>
      </c>
      <c r="L41">
        <v>0</v>
      </c>
    </row>
    <row r="42" spans="1:12" x14ac:dyDescent="0.2">
      <c r="A42" t="s">
        <v>37</v>
      </c>
      <c r="B42" s="25">
        <v>45770</v>
      </c>
      <c r="C42" s="29">
        <v>28</v>
      </c>
      <c r="D42" s="28">
        <v>264.80930000000001</v>
      </c>
      <c r="E42" s="28">
        <v>0.73409999999999997</v>
      </c>
      <c r="F42" s="31" t="s">
        <v>13</v>
      </c>
      <c r="G42" s="31">
        <v>7</v>
      </c>
      <c r="H42" s="28">
        <v>1</v>
      </c>
      <c r="I42">
        <v>41</v>
      </c>
      <c r="J42">
        <v>0</v>
      </c>
      <c r="K42">
        <v>0</v>
      </c>
      <c r="L42">
        <v>0</v>
      </c>
    </row>
    <row r="43" spans="1:12" x14ac:dyDescent="0.2">
      <c r="A43" t="s">
        <v>37</v>
      </c>
      <c r="B43" s="25">
        <v>45770</v>
      </c>
      <c r="C43" s="29">
        <v>28</v>
      </c>
      <c r="D43" s="28">
        <v>264.80930000000001</v>
      </c>
      <c r="E43" s="28">
        <v>0.73409999999999997</v>
      </c>
      <c r="F43" s="31" t="s">
        <v>13</v>
      </c>
      <c r="G43" s="31">
        <v>7</v>
      </c>
      <c r="H43" s="28">
        <v>2</v>
      </c>
      <c r="I43">
        <v>42</v>
      </c>
      <c r="J43">
        <v>1</v>
      </c>
      <c r="K43">
        <v>10.199999999999999</v>
      </c>
      <c r="L43">
        <v>0</v>
      </c>
    </row>
    <row r="44" spans="1:12" x14ac:dyDescent="0.2">
      <c r="A44" t="s">
        <v>37</v>
      </c>
      <c r="B44" s="25">
        <v>45770</v>
      </c>
      <c r="C44" s="29">
        <v>28</v>
      </c>
      <c r="D44" s="28">
        <v>0.23549999999999999</v>
      </c>
      <c r="E44" s="28">
        <v>2E-3</v>
      </c>
      <c r="F44" s="31" t="s">
        <v>14</v>
      </c>
      <c r="G44" s="31">
        <v>1</v>
      </c>
      <c r="H44" s="28">
        <v>1</v>
      </c>
      <c r="I44">
        <v>43</v>
      </c>
      <c r="J44">
        <v>7</v>
      </c>
      <c r="K44">
        <v>93.7</v>
      </c>
      <c r="L44">
        <v>0</v>
      </c>
    </row>
    <row r="45" spans="1:12" x14ac:dyDescent="0.2">
      <c r="A45" t="s">
        <v>37</v>
      </c>
      <c r="B45" s="25">
        <v>45770</v>
      </c>
      <c r="C45" s="29">
        <v>28</v>
      </c>
      <c r="D45" s="28">
        <v>0.23549999999999999</v>
      </c>
      <c r="E45" s="28">
        <v>2E-3</v>
      </c>
      <c r="F45" s="31" t="s">
        <v>14</v>
      </c>
      <c r="G45" s="31">
        <v>1</v>
      </c>
      <c r="H45" s="28">
        <v>2</v>
      </c>
      <c r="I45">
        <v>44</v>
      </c>
      <c r="J45">
        <v>0</v>
      </c>
      <c r="K45">
        <v>0</v>
      </c>
      <c r="L45">
        <v>0</v>
      </c>
    </row>
    <row r="46" spans="1:12" x14ac:dyDescent="0.2">
      <c r="A46" t="s">
        <v>37</v>
      </c>
      <c r="B46" s="25">
        <v>45770</v>
      </c>
      <c r="C46" s="29">
        <v>28</v>
      </c>
      <c r="D46" s="28">
        <v>2.3544999999999998</v>
      </c>
      <c r="E46" s="28">
        <v>1.9599999999999999E-2</v>
      </c>
      <c r="F46" s="31" t="s">
        <v>14</v>
      </c>
      <c r="G46" s="31">
        <v>2</v>
      </c>
      <c r="H46" s="28">
        <v>1</v>
      </c>
      <c r="I46">
        <v>45</v>
      </c>
      <c r="J46">
        <v>17</v>
      </c>
      <c r="K46">
        <v>201</v>
      </c>
      <c r="L46">
        <v>0</v>
      </c>
    </row>
    <row r="47" spans="1:12" x14ac:dyDescent="0.2">
      <c r="A47" t="s">
        <v>37</v>
      </c>
      <c r="B47" s="25">
        <v>45770</v>
      </c>
      <c r="C47" s="29">
        <v>28</v>
      </c>
      <c r="D47" s="28">
        <v>2.3544999999999998</v>
      </c>
      <c r="E47" s="28">
        <v>1.9599999999999999E-2</v>
      </c>
      <c r="F47" s="31" t="s">
        <v>14</v>
      </c>
      <c r="G47" s="31">
        <v>2</v>
      </c>
      <c r="H47" s="28">
        <v>2</v>
      </c>
      <c r="I47">
        <v>46</v>
      </c>
      <c r="J47">
        <v>14</v>
      </c>
      <c r="K47">
        <v>146.19999999999999</v>
      </c>
      <c r="L47">
        <v>0</v>
      </c>
    </row>
    <row r="48" spans="1:12" x14ac:dyDescent="0.2">
      <c r="A48" t="s">
        <v>37</v>
      </c>
      <c r="B48" s="25">
        <v>45770</v>
      </c>
      <c r="C48" s="29">
        <v>28</v>
      </c>
      <c r="D48" s="28">
        <v>13.240500000000001</v>
      </c>
      <c r="E48" s="28">
        <v>0.1101</v>
      </c>
      <c r="F48" s="31" t="s">
        <v>14</v>
      </c>
      <c r="G48" s="31">
        <v>3</v>
      </c>
      <c r="H48" s="28">
        <v>1</v>
      </c>
      <c r="I48">
        <v>47</v>
      </c>
      <c r="J48">
        <v>10</v>
      </c>
      <c r="K48">
        <v>119</v>
      </c>
      <c r="L48">
        <v>0</v>
      </c>
    </row>
    <row r="49" spans="1:12" x14ac:dyDescent="0.2">
      <c r="A49" t="s">
        <v>37</v>
      </c>
      <c r="B49" s="25">
        <v>45770</v>
      </c>
      <c r="C49" s="29">
        <v>28</v>
      </c>
      <c r="D49" s="28">
        <v>13.240500000000001</v>
      </c>
      <c r="E49" s="28">
        <v>0.1101</v>
      </c>
      <c r="F49" s="31" t="s">
        <v>14</v>
      </c>
      <c r="G49" s="31">
        <v>3</v>
      </c>
      <c r="H49" s="28">
        <v>2</v>
      </c>
      <c r="I49">
        <v>48</v>
      </c>
      <c r="J49">
        <v>1</v>
      </c>
      <c r="K49">
        <v>13.1</v>
      </c>
      <c r="L49">
        <v>0</v>
      </c>
    </row>
    <row r="50" spans="1:12" x14ac:dyDescent="0.2">
      <c r="A50" t="s">
        <v>37</v>
      </c>
      <c r="B50" s="25">
        <v>45770</v>
      </c>
      <c r="C50" s="29">
        <v>28</v>
      </c>
      <c r="D50" s="28">
        <v>23.545200000000001</v>
      </c>
      <c r="E50" s="28">
        <v>0.1958</v>
      </c>
      <c r="F50" s="31" t="s">
        <v>14</v>
      </c>
      <c r="G50" s="31">
        <v>4</v>
      </c>
      <c r="H50" s="28">
        <v>1</v>
      </c>
      <c r="I50">
        <v>49</v>
      </c>
      <c r="J50">
        <v>6</v>
      </c>
      <c r="K50">
        <v>60.1</v>
      </c>
      <c r="L50">
        <v>0</v>
      </c>
    </row>
    <row r="51" spans="1:12" x14ac:dyDescent="0.2">
      <c r="A51" t="s">
        <v>37</v>
      </c>
      <c r="B51" s="25">
        <v>45770</v>
      </c>
      <c r="C51" s="29">
        <v>28</v>
      </c>
      <c r="D51" s="28">
        <v>23.545200000000001</v>
      </c>
      <c r="E51" s="28">
        <v>0.1958</v>
      </c>
      <c r="F51" s="31" t="s">
        <v>14</v>
      </c>
      <c r="G51" s="31">
        <v>4</v>
      </c>
      <c r="H51" s="28">
        <v>2</v>
      </c>
      <c r="I51">
        <v>50</v>
      </c>
      <c r="J51">
        <v>4</v>
      </c>
      <c r="K51">
        <v>59</v>
      </c>
      <c r="L51">
        <v>0</v>
      </c>
    </row>
    <row r="52" spans="1:12" x14ac:dyDescent="0.2">
      <c r="A52" t="s">
        <v>37</v>
      </c>
      <c r="B52" s="25">
        <v>45770</v>
      </c>
      <c r="C52" s="29">
        <v>28</v>
      </c>
      <c r="D52" s="28">
        <v>41.87</v>
      </c>
      <c r="E52" s="28">
        <v>0.34820000000000001</v>
      </c>
      <c r="F52" s="31" t="s">
        <v>14</v>
      </c>
      <c r="G52" s="31">
        <v>5</v>
      </c>
      <c r="H52" s="28">
        <v>1</v>
      </c>
      <c r="I52">
        <v>51</v>
      </c>
      <c r="J52">
        <v>3</v>
      </c>
      <c r="K52">
        <v>35.9</v>
      </c>
      <c r="L52">
        <v>0</v>
      </c>
    </row>
    <row r="53" spans="1:12" x14ac:dyDescent="0.2">
      <c r="A53" t="s">
        <v>37</v>
      </c>
      <c r="B53" s="25">
        <v>45770</v>
      </c>
      <c r="C53" s="29">
        <v>28</v>
      </c>
      <c r="D53" s="28">
        <v>41.87</v>
      </c>
      <c r="E53" s="28">
        <v>0.34820000000000001</v>
      </c>
      <c r="F53" s="31" t="s">
        <v>14</v>
      </c>
      <c r="G53" s="31">
        <v>5</v>
      </c>
      <c r="H53" s="28">
        <v>2</v>
      </c>
      <c r="I53">
        <v>52</v>
      </c>
      <c r="J53">
        <v>2</v>
      </c>
      <c r="K53">
        <v>16.5</v>
      </c>
      <c r="L53">
        <v>0</v>
      </c>
    </row>
    <row r="54" spans="1:12" x14ac:dyDescent="0.2">
      <c r="A54" t="s">
        <v>37</v>
      </c>
      <c r="B54" s="25">
        <v>45770</v>
      </c>
      <c r="C54" s="29">
        <v>28</v>
      </c>
      <c r="D54" s="28">
        <v>74.456599999999995</v>
      </c>
      <c r="E54" s="28">
        <v>0.61919999999999997</v>
      </c>
      <c r="F54" s="31" t="s">
        <v>14</v>
      </c>
      <c r="G54" s="31">
        <v>6</v>
      </c>
      <c r="H54" s="28">
        <v>1</v>
      </c>
      <c r="I54">
        <v>53</v>
      </c>
      <c r="J54">
        <v>0</v>
      </c>
      <c r="K54">
        <v>0</v>
      </c>
      <c r="L54">
        <v>0</v>
      </c>
    </row>
    <row r="55" spans="1:12" x14ac:dyDescent="0.2">
      <c r="A55" t="s">
        <v>37</v>
      </c>
      <c r="B55" s="25">
        <v>45770</v>
      </c>
      <c r="C55" s="29">
        <v>28</v>
      </c>
      <c r="D55" s="28">
        <v>74.456599999999995</v>
      </c>
      <c r="E55" s="28">
        <v>0.61919999999999997</v>
      </c>
      <c r="F55" s="31" t="s">
        <v>14</v>
      </c>
      <c r="G55" s="31">
        <v>6</v>
      </c>
      <c r="H55" s="28">
        <v>2</v>
      </c>
      <c r="I55">
        <v>54</v>
      </c>
      <c r="J55">
        <v>1</v>
      </c>
      <c r="K55">
        <v>11.6</v>
      </c>
      <c r="L55">
        <v>0</v>
      </c>
    </row>
    <row r="56" spans="1:12" x14ac:dyDescent="0.2">
      <c r="A56" t="s">
        <v>37</v>
      </c>
      <c r="B56" s="25">
        <v>45770</v>
      </c>
      <c r="C56" s="29">
        <v>28</v>
      </c>
      <c r="D56" s="28">
        <v>132.40469999999999</v>
      </c>
      <c r="E56" s="28">
        <v>1.1012</v>
      </c>
      <c r="F56" s="31" t="s">
        <v>14</v>
      </c>
      <c r="G56" s="31">
        <v>7</v>
      </c>
      <c r="H56" s="28">
        <v>1</v>
      </c>
      <c r="I56">
        <v>55</v>
      </c>
      <c r="J56">
        <v>1</v>
      </c>
      <c r="K56">
        <v>9.1999999999999993</v>
      </c>
      <c r="L56">
        <v>0</v>
      </c>
    </row>
    <row r="57" spans="1:12" x14ac:dyDescent="0.2">
      <c r="A57" t="s">
        <v>37</v>
      </c>
      <c r="B57" s="25">
        <v>45770</v>
      </c>
      <c r="C57" s="29">
        <v>28</v>
      </c>
      <c r="D57" s="28">
        <v>132.40469999999999</v>
      </c>
      <c r="E57" s="28">
        <v>1.1012</v>
      </c>
      <c r="F57" s="31" t="s">
        <v>14</v>
      </c>
      <c r="G57" s="31">
        <v>7</v>
      </c>
      <c r="H57" s="28">
        <v>2</v>
      </c>
      <c r="I57">
        <v>56</v>
      </c>
      <c r="J57">
        <v>0</v>
      </c>
      <c r="K57">
        <v>0</v>
      </c>
      <c r="L57">
        <v>0</v>
      </c>
    </row>
    <row r="58" spans="1:12" x14ac:dyDescent="0.2">
      <c r="A58" t="s">
        <v>37</v>
      </c>
      <c r="B58" s="25">
        <v>45770</v>
      </c>
      <c r="C58" s="29">
        <v>28</v>
      </c>
      <c r="D58" s="28">
        <v>0</v>
      </c>
      <c r="E58" s="28">
        <v>2.5999999999999999E-3</v>
      </c>
      <c r="F58" s="31" t="s">
        <v>15</v>
      </c>
      <c r="G58" s="31">
        <v>1</v>
      </c>
      <c r="H58" s="28">
        <v>1</v>
      </c>
      <c r="I58">
        <v>57</v>
      </c>
      <c r="J58">
        <v>19</v>
      </c>
      <c r="K58">
        <v>169.3</v>
      </c>
      <c r="L58">
        <v>0</v>
      </c>
    </row>
    <row r="59" spans="1:12" x14ac:dyDescent="0.2">
      <c r="A59" t="s">
        <v>37</v>
      </c>
      <c r="B59" s="25">
        <v>45770</v>
      </c>
      <c r="C59" s="29">
        <v>28</v>
      </c>
      <c r="D59" s="28">
        <v>0</v>
      </c>
      <c r="E59" s="28">
        <v>2.5999999999999999E-3</v>
      </c>
      <c r="F59" s="31" t="s">
        <v>15</v>
      </c>
      <c r="G59" s="31">
        <v>1</v>
      </c>
      <c r="H59" s="28">
        <v>2</v>
      </c>
      <c r="I59">
        <v>58</v>
      </c>
      <c r="J59">
        <v>19</v>
      </c>
      <c r="K59">
        <v>233.4</v>
      </c>
      <c r="L59">
        <v>0</v>
      </c>
    </row>
    <row r="60" spans="1:12" x14ac:dyDescent="0.2">
      <c r="A60" t="s">
        <v>37</v>
      </c>
      <c r="B60" s="25">
        <v>45770</v>
      </c>
      <c r="C60" s="29">
        <v>28</v>
      </c>
      <c r="D60" s="28">
        <v>0</v>
      </c>
      <c r="E60" s="28">
        <v>2.6100000000000002E-2</v>
      </c>
      <c r="F60" s="31" t="s">
        <v>15</v>
      </c>
      <c r="G60" s="31">
        <v>2</v>
      </c>
      <c r="H60" s="28">
        <v>1</v>
      </c>
      <c r="I60">
        <v>59</v>
      </c>
      <c r="J60">
        <v>3</v>
      </c>
      <c r="K60">
        <v>26.7</v>
      </c>
      <c r="L60">
        <v>0</v>
      </c>
    </row>
    <row r="61" spans="1:12" x14ac:dyDescent="0.2">
      <c r="A61" t="s">
        <v>37</v>
      </c>
      <c r="B61" s="25">
        <v>45770</v>
      </c>
      <c r="C61" s="29">
        <v>28</v>
      </c>
      <c r="D61" s="28">
        <v>0</v>
      </c>
      <c r="E61" s="28">
        <v>2.6100000000000002E-2</v>
      </c>
      <c r="F61" s="31" t="s">
        <v>15</v>
      </c>
      <c r="G61" s="31">
        <v>2</v>
      </c>
      <c r="H61" s="28">
        <v>2</v>
      </c>
      <c r="I61">
        <v>60</v>
      </c>
      <c r="J61">
        <v>6</v>
      </c>
      <c r="K61">
        <v>59.8</v>
      </c>
      <c r="L61">
        <v>0</v>
      </c>
    </row>
    <row r="62" spans="1:12" x14ac:dyDescent="0.2">
      <c r="A62" t="s">
        <v>37</v>
      </c>
      <c r="B62" s="25">
        <v>45770</v>
      </c>
      <c r="C62" s="29">
        <v>28</v>
      </c>
      <c r="D62" s="28">
        <v>0</v>
      </c>
      <c r="E62" s="28">
        <v>0.14680000000000001</v>
      </c>
      <c r="F62" s="31" t="s">
        <v>15</v>
      </c>
      <c r="G62" s="31">
        <v>3</v>
      </c>
      <c r="H62" s="28">
        <v>1</v>
      </c>
      <c r="I62">
        <v>61</v>
      </c>
      <c r="J62">
        <v>10</v>
      </c>
      <c r="K62">
        <v>94.6</v>
      </c>
      <c r="L62">
        <v>1</v>
      </c>
    </row>
    <row r="63" spans="1:12" x14ac:dyDescent="0.2">
      <c r="A63" t="s">
        <v>37</v>
      </c>
      <c r="B63" s="25">
        <v>45770</v>
      </c>
      <c r="C63" s="29">
        <v>28</v>
      </c>
      <c r="D63" s="28">
        <v>0</v>
      </c>
      <c r="E63" s="28">
        <v>0.14680000000000001</v>
      </c>
      <c r="F63" s="31" t="s">
        <v>15</v>
      </c>
      <c r="G63" s="31">
        <v>3</v>
      </c>
      <c r="H63" s="28">
        <v>2</v>
      </c>
      <c r="I63">
        <v>62</v>
      </c>
      <c r="J63">
        <v>11</v>
      </c>
      <c r="K63">
        <v>151.30000000000001</v>
      </c>
      <c r="L63">
        <v>1</v>
      </c>
    </row>
    <row r="64" spans="1:12" x14ac:dyDescent="0.2">
      <c r="A64" t="s">
        <v>37</v>
      </c>
      <c r="B64" s="25">
        <v>45770</v>
      </c>
      <c r="C64" s="29">
        <v>28</v>
      </c>
      <c r="D64" s="28">
        <v>0</v>
      </c>
      <c r="E64" s="28">
        <v>0.2611</v>
      </c>
      <c r="F64" s="31" t="s">
        <v>15</v>
      </c>
      <c r="G64" s="31">
        <v>4</v>
      </c>
      <c r="H64" s="28">
        <v>1</v>
      </c>
      <c r="I64">
        <v>63</v>
      </c>
      <c r="J64">
        <v>7</v>
      </c>
      <c r="K64">
        <v>84.6</v>
      </c>
      <c r="L64">
        <v>0</v>
      </c>
    </row>
    <row r="65" spans="1:12" x14ac:dyDescent="0.2">
      <c r="A65" t="s">
        <v>37</v>
      </c>
      <c r="B65" s="25">
        <v>45770</v>
      </c>
      <c r="C65" s="29">
        <v>28</v>
      </c>
      <c r="D65" s="28">
        <v>0</v>
      </c>
      <c r="E65" s="28">
        <v>0.2611</v>
      </c>
      <c r="F65" s="31" t="s">
        <v>15</v>
      </c>
      <c r="G65" s="31">
        <v>4</v>
      </c>
      <c r="H65" s="28">
        <v>2</v>
      </c>
      <c r="I65">
        <v>64</v>
      </c>
      <c r="J65">
        <v>1</v>
      </c>
      <c r="K65">
        <v>10.199999999999999</v>
      </c>
      <c r="L65">
        <v>0</v>
      </c>
    </row>
    <row r="66" spans="1:12" x14ac:dyDescent="0.2">
      <c r="A66" t="s">
        <v>37</v>
      </c>
      <c r="B66" s="25">
        <v>45770</v>
      </c>
      <c r="C66" s="29">
        <v>28</v>
      </c>
      <c r="D66" s="28">
        <v>0</v>
      </c>
      <c r="E66" s="28">
        <v>0.46429999999999999</v>
      </c>
      <c r="F66" s="31" t="s">
        <v>15</v>
      </c>
      <c r="G66" s="31">
        <v>5</v>
      </c>
      <c r="H66" s="28">
        <v>1</v>
      </c>
      <c r="I66">
        <v>65</v>
      </c>
      <c r="J66">
        <v>6</v>
      </c>
      <c r="K66">
        <v>54.5</v>
      </c>
      <c r="L66">
        <v>1</v>
      </c>
    </row>
    <row r="67" spans="1:12" x14ac:dyDescent="0.2">
      <c r="A67" t="s">
        <v>37</v>
      </c>
      <c r="B67" s="25">
        <v>45770</v>
      </c>
      <c r="C67" s="29">
        <v>28</v>
      </c>
      <c r="D67" s="28">
        <v>0</v>
      </c>
      <c r="E67" s="28">
        <v>0.46429999999999999</v>
      </c>
      <c r="F67" s="31" t="s">
        <v>15</v>
      </c>
      <c r="G67" s="31">
        <v>5</v>
      </c>
      <c r="H67" s="28">
        <v>2</v>
      </c>
      <c r="I67">
        <v>66</v>
      </c>
      <c r="J67">
        <v>5</v>
      </c>
      <c r="K67">
        <v>57.8</v>
      </c>
      <c r="L67">
        <v>0</v>
      </c>
    </row>
    <row r="68" spans="1:12" x14ac:dyDescent="0.2">
      <c r="A68" t="s">
        <v>37</v>
      </c>
      <c r="B68" s="25">
        <v>45770</v>
      </c>
      <c r="C68" s="29">
        <v>28</v>
      </c>
      <c r="D68" s="28">
        <v>0</v>
      </c>
      <c r="E68" s="28">
        <v>0.8256</v>
      </c>
      <c r="F68" s="31" t="s">
        <v>15</v>
      </c>
      <c r="G68" s="31">
        <v>6</v>
      </c>
      <c r="H68" s="28">
        <v>1</v>
      </c>
      <c r="I68">
        <v>67</v>
      </c>
      <c r="J68">
        <v>0</v>
      </c>
      <c r="K68">
        <v>0</v>
      </c>
      <c r="L68">
        <v>0</v>
      </c>
    </row>
    <row r="69" spans="1:12" x14ac:dyDescent="0.2">
      <c r="A69" t="s">
        <v>37</v>
      </c>
      <c r="B69" s="25">
        <v>45770</v>
      </c>
      <c r="C69" s="29">
        <v>28</v>
      </c>
      <c r="D69" s="28">
        <v>0</v>
      </c>
      <c r="E69" s="28">
        <v>0.8256</v>
      </c>
      <c r="F69" s="31" t="s">
        <v>15</v>
      </c>
      <c r="G69" s="31">
        <v>6</v>
      </c>
      <c r="H69" s="28">
        <v>2</v>
      </c>
      <c r="I69">
        <v>68</v>
      </c>
      <c r="J69">
        <v>0</v>
      </c>
      <c r="K69">
        <v>0</v>
      </c>
      <c r="L69">
        <v>0</v>
      </c>
    </row>
    <row r="70" spans="1:12" x14ac:dyDescent="0.2">
      <c r="A70" t="s">
        <v>37</v>
      </c>
      <c r="B70" s="25">
        <v>45770</v>
      </c>
      <c r="C70" s="29">
        <v>28</v>
      </c>
      <c r="D70" s="28">
        <v>0</v>
      </c>
      <c r="E70" s="28">
        <v>1.4681999999999999</v>
      </c>
      <c r="F70" s="31" t="s">
        <v>15</v>
      </c>
      <c r="G70" s="31">
        <v>7</v>
      </c>
      <c r="H70" s="28">
        <v>1</v>
      </c>
      <c r="I70">
        <v>69</v>
      </c>
      <c r="J70">
        <v>0</v>
      </c>
      <c r="K70">
        <v>0</v>
      </c>
      <c r="L70">
        <v>0</v>
      </c>
    </row>
    <row r="71" spans="1:12" x14ac:dyDescent="0.2">
      <c r="A71" t="s">
        <v>37</v>
      </c>
      <c r="B71" s="25">
        <v>45770</v>
      </c>
      <c r="C71" s="29">
        <v>28</v>
      </c>
      <c r="D71" s="28">
        <v>0</v>
      </c>
      <c r="E71" s="28">
        <v>1.4681999999999999</v>
      </c>
      <c r="F71" s="31" t="s">
        <v>15</v>
      </c>
      <c r="G71" s="31">
        <v>7</v>
      </c>
      <c r="H71" s="28">
        <v>2</v>
      </c>
      <c r="I71">
        <v>70</v>
      </c>
      <c r="J71">
        <v>1</v>
      </c>
      <c r="K71">
        <v>8.1999999999999993</v>
      </c>
      <c r="L71">
        <v>0</v>
      </c>
    </row>
    <row r="72" spans="1:12" x14ac:dyDescent="0.2">
      <c r="A72" t="s">
        <v>37</v>
      </c>
      <c r="B72" s="25">
        <v>45770</v>
      </c>
      <c r="C72" s="29">
        <v>28</v>
      </c>
      <c r="D72" s="28">
        <v>0</v>
      </c>
      <c r="E72" s="28">
        <v>0</v>
      </c>
      <c r="F72" s="31" t="s">
        <v>16</v>
      </c>
      <c r="G72" s="31">
        <v>0</v>
      </c>
      <c r="H72" s="28">
        <v>1</v>
      </c>
      <c r="I72">
        <v>71</v>
      </c>
      <c r="J72">
        <v>9</v>
      </c>
      <c r="K72">
        <v>102.1</v>
      </c>
      <c r="L72">
        <v>0</v>
      </c>
    </row>
    <row r="73" spans="1:12" x14ac:dyDescent="0.2">
      <c r="A73" t="s">
        <v>37</v>
      </c>
      <c r="B73" s="25">
        <v>45770</v>
      </c>
      <c r="C73" s="29">
        <v>28</v>
      </c>
      <c r="D73" s="28">
        <v>0</v>
      </c>
      <c r="E73" s="28">
        <v>0</v>
      </c>
      <c r="F73" s="31" t="s">
        <v>16</v>
      </c>
      <c r="G73" s="31">
        <v>0</v>
      </c>
      <c r="H73" s="28">
        <v>2</v>
      </c>
      <c r="I73">
        <v>72</v>
      </c>
      <c r="J73">
        <v>3</v>
      </c>
      <c r="K73">
        <v>41.7</v>
      </c>
      <c r="L73">
        <v>0</v>
      </c>
    </row>
    <row r="74" spans="1:12" x14ac:dyDescent="0.2">
      <c r="A74" t="s">
        <v>11</v>
      </c>
      <c r="B74" s="25">
        <v>45776</v>
      </c>
      <c r="C74" s="29">
        <v>28</v>
      </c>
      <c r="D74" s="28">
        <v>0.94179999999999997</v>
      </c>
      <c r="E74" s="28">
        <v>0</v>
      </c>
      <c r="F74" s="31" t="s">
        <v>11</v>
      </c>
      <c r="G74" s="31">
        <v>1</v>
      </c>
      <c r="H74" s="28">
        <v>3</v>
      </c>
      <c r="I74">
        <v>73</v>
      </c>
      <c r="J74">
        <v>9</v>
      </c>
      <c r="K74">
        <v>87.3</v>
      </c>
      <c r="L74">
        <v>0</v>
      </c>
    </row>
    <row r="75" spans="1:12" x14ac:dyDescent="0.2">
      <c r="A75" t="s">
        <v>11</v>
      </c>
      <c r="B75" s="25">
        <v>45776</v>
      </c>
      <c r="C75" s="29">
        <v>28</v>
      </c>
      <c r="D75" s="28">
        <v>9.4181000000000008</v>
      </c>
      <c r="E75" s="28">
        <v>0</v>
      </c>
      <c r="F75" s="31" t="s">
        <v>11</v>
      </c>
      <c r="G75" s="31">
        <v>2</v>
      </c>
      <c r="H75" s="28">
        <v>3</v>
      </c>
      <c r="I75">
        <v>75</v>
      </c>
      <c r="J75">
        <v>11</v>
      </c>
      <c r="K75">
        <v>129.30000000000001</v>
      </c>
      <c r="L75">
        <v>0</v>
      </c>
    </row>
    <row r="76" spans="1:12" x14ac:dyDescent="0.2">
      <c r="A76" t="s">
        <v>11</v>
      </c>
      <c r="B76" s="25">
        <v>45776</v>
      </c>
      <c r="C76" s="29">
        <v>28</v>
      </c>
      <c r="D76" s="28">
        <v>52.9619</v>
      </c>
      <c r="E76" s="28">
        <v>0</v>
      </c>
      <c r="F76" s="31" t="s">
        <v>11</v>
      </c>
      <c r="G76" s="31">
        <v>3</v>
      </c>
      <c r="H76" s="28">
        <v>3</v>
      </c>
      <c r="I76">
        <v>78</v>
      </c>
      <c r="J76">
        <v>9</v>
      </c>
      <c r="K76">
        <v>102.6</v>
      </c>
      <c r="L76">
        <v>0</v>
      </c>
    </row>
    <row r="77" spans="1:12" x14ac:dyDescent="0.2">
      <c r="A77" t="s">
        <v>11</v>
      </c>
      <c r="B77" s="25">
        <v>45776</v>
      </c>
      <c r="C77" s="29">
        <v>28</v>
      </c>
      <c r="D77" s="28">
        <v>94.180999999999997</v>
      </c>
      <c r="E77" s="28">
        <v>0</v>
      </c>
      <c r="F77" s="31" t="s">
        <v>11</v>
      </c>
      <c r="G77" s="31">
        <v>4</v>
      </c>
      <c r="H77" s="28">
        <v>3</v>
      </c>
      <c r="I77">
        <v>80</v>
      </c>
      <c r="J77">
        <v>13</v>
      </c>
      <c r="K77">
        <v>123.3</v>
      </c>
      <c r="L77">
        <v>0</v>
      </c>
    </row>
    <row r="78" spans="1:12" x14ac:dyDescent="0.2">
      <c r="A78" t="s">
        <v>11</v>
      </c>
      <c r="B78" s="25">
        <v>45776</v>
      </c>
      <c r="C78" s="29">
        <v>28</v>
      </c>
      <c r="D78" s="28">
        <v>167.48009999999999</v>
      </c>
      <c r="E78" s="28">
        <v>0</v>
      </c>
      <c r="F78" s="31" t="s">
        <v>11</v>
      </c>
      <c r="G78" s="31">
        <v>5</v>
      </c>
      <c r="H78" s="28">
        <v>3</v>
      </c>
      <c r="I78">
        <v>82</v>
      </c>
      <c r="J78">
        <v>11</v>
      </c>
      <c r="K78">
        <v>123.5</v>
      </c>
      <c r="L78">
        <v>0</v>
      </c>
    </row>
    <row r="79" spans="1:12" x14ac:dyDescent="0.2">
      <c r="A79" t="s">
        <v>11</v>
      </c>
      <c r="B79" s="25">
        <v>45776</v>
      </c>
      <c r="C79" s="29">
        <v>28</v>
      </c>
      <c r="D79" s="28">
        <v>297.82639999999998</v>
      </c>
      <c r="E79" s="28">
        <v>0</v>
      </c>
      <c r="F79" s="31" t="s">
        <v>11</v>
      </c>
      <c r="G79" s="31">
        <v>6</v>
      </c>
      <c r="H79" s="28">
        <v>3</v>
      </c>
      <c r="I79">
        <v>84</v>
      </c>
      <c r="J79">
        <v>1</v>
      </c>
      <c r="K79">
        <v>9.9</v>
      </c>
      <c r="L79">
        <v>0</v>
      </c>
    </row>
    <row r="80" spans="1:12" x14ac:dyDescent="0.2">
      <c r="A80" t="s">
        <v>11</v>
      </c>
      <c r="B80" s="25">
        <v>45776</v>
      </c>
      <c r="C80" s="29">
        <v>28</v>
      </c>
      <c r="D80" s="28">
        <v>529.61860000000001</v>
      </c>
      <c r="E80" s="28">
        <v>0</v>
      </c>
      <c r="F80" s="31" t="s">
        <v>11</v>
      </c>
      <c r="G80" s="31">
        <v>7</v>
      </c>
      <c r="H80" s="28">
        <v>3</v>
      </c>
      <c r="I80">
        <v>86</v>
      </c>
      <c r="J80">
        <v>4</v>
      </c>
      <c r="K80">
        <v>45.6</v>
      </c>
      <c r="L80">
        <v>0</v>
      </c>
    </row>
    <row r="81" spans="1:12" x14ac:dyDescent="0.2">
      <c r="A81" t="s">
        <v>11</v>
      </c>
      <c r="B81" s="25">
        <v>45776</v>
      </c>
      <c r="C81" s="29">
        <v>28</v>
      </c>
      <c r="D81" s="28">
        <v>0.70640000000000003</v>
      </c>
      <c r="E81" s="28">
        <v>6.9999999999999999E-4</v>
      </c>
      <c r="F81" s="31" t="s">
        <v>12</v>
      </c>
      <c r="G81" s="31">
        <v>1</v>
      </c>
      <c r="H81" s="28">
        <v>3</v>
      </c>
      <c r="I81">
        <v>87</v>
      </c>
      <c r="J81">
        <v>11</v>
      </c>
      <c r="K81">
        <v>105</v>
      </c>
      <c r="L81">
        <v>0</v>
      </c>
    </row>
    <row r="82" spans="1:12" x14ac:dyDescent="0.2">
      <c r="A82" t="s">
        <v>11</v>
      </c>
      <c r="B82" s="25">
        <v>45776</v>
      </c>
      <c r="C82" s="29">
        <v>28</v>
      </c>
      <c r="D82" s="28">
        <v>7.0636000000000001</v>
      </c>
      <c r="E82" s="28">
        <v>6.4999999999999997E-3</v>
      </c>
      <c r="F82" s="31" t="s">
        <v>12</v>
      </c>
      <c r="G82" s="31">
        <v>2</v>
      </c>
      <c r="H82" s="28">
        <v>3</v>
      </c>
      <c r="I82">
        <v>90</v>
      </c>
      <c r="J82">
        <v>6</v>
      </c>
      <c r="K82">
        <v>80.8</v>
      </c>
      <c r="L82">
        <v>0</v>
      </c>
    </row>
    <row r="83" spans="1:12" x14ac:dyDescent="0.2">
      <c r="A83" t="s">
        <v>11</v>
      </c>
      <c r="B83" s="25">
        <v>45776</v>
      </c>
      <c r="C83" s="29">
        <v>28</v>
      </c>
      <c r="D83" s="28">
        <v>39.721400000000003</v>
      </c>
      <c r="E83" s="28">
        <v>3.6700000000000003E-2</v>
      </c>
      <c r="F83" s="31" t="s">
        <v>12</v>
      </c>
      <c r="G83" s="31">
        <v>3</v>
      </c>
      <c r="H83" s="28">
        <v>3</v>
      </c>
      <c r="I83">
        <v>92</v>
      </c>
      <c r="J83">
        <v>6</v>
      </c>
      <c r="K83">
        <v>59.5</v>
      </c>
      <c r="L83">
        <v>0</v>
      </c>
    </row>
    <row r="84" spans="1:12" x14ac:dyDescent="0.2">
      <c r="A84" t="s">
        <v>11</v>
      </c>
      <c r="B84" s="25">
        <v>45776</v>
      </c>
      <c r="C84" s="29">
        <v>28</v>
      </c>
      <c r="D84" s="28">
        <v>70.6357</v>
      </c>
      <c r="E84" s="28">
        <v>6.5299999999999997E-2</v>
      </c>
      <c r="F84" s="31" t="s">
        <v>12</v>
      </c>
      <c r="G84" s="31">
        <v>4</v>
      </c>
      <c r="H84" s="28">
        <v>3</v>
      </c>
      <c r="I84">
        <v>93</v>
      </c>
      <c r="J84">
        <v>13</v>
      </c>
      <c r="K84">
        <v>167.2</v>
      </c>
      <c r="L84">
        <v>0</v>
      </c>
    </row>
    <row r="85" spans="1:12" x14ac:dyDescent="0.2">
      <c r="A85" t="s">
        <v>11</v>
      </c>
      <c r="B85" s="25">
        <v>45776</v>
      </c>
      <c r="C85" s="29">
        <v>28</v>
      </c>
      <c r="D85" s="28">
        <v>125.6101</v>
      </c>
      <c r="E85" s="28">
        <v>0.11609999999999999</v>
      </c>
      <c r="F85" s="31" t="s">
        <v>12</v>
      </c>
      <c r="G85" s="31">
        <v>5</v>
      </c>
      <c r="H85" s="28">
        <v>3</v>
      </c>
      <c r="I85">
        <v>95</v>
      </c>
      <c r="J85">
        <v>11</v>
      </c>
      <c r="K85">
        <v>147.69999999999999</v>
      </c>
      <c r="L85">
        <v>0</v>
      </c>
    </row>
    <row r="86" spans="1:12" x14ac:dyDescent="0.2">
      <c r="A86" t="s">
        <v>11</v>
      </c>
      <c r="B86" s="25">
        <v>45776</v>
      </c>
      <c r="C86" s="29">
        <v>28</v>
      </c>
      <c r="D86" s="28">
        <v>223.3698</v>
      </c>
      <c r="E86" s="28">
        <v>0.2064</v>
      </c>
      <c r="F86" s="31" t="s">
        <v>12</v>
      </c>
      <c r="G86" s="31">
        <v>6</v>
      </c>
      <c r="H86" s="28">
        <v>3</v>
      </c>
      <c r="I86">
        <v>97</v>
      </c>
      <c r="J86">
        <v>0</v>
      </c>
      <c r="K86">
        <v>0</v>
      </c>
      <c r="L86">
        <v>0</v>
      </c>
    </row>
    <row r="87" spans="1:12" x14ac:dyDescent="0.2">
      <c r="A87" t="s">
        <v>11</v>
      </c>
      <c r="B87" s="25">
        <v>45776</v>
      </c>
      <c r="C87" s="29">
        <v>28</v>
      </c>
      <c r="D87" s="28">
        <v>397.214</v>
      </c>
      <c r="E87" s="28">
        <v>0.36709999999999998</v>
      </c>
      <c r="F87" s="31" t="s">
        <v>12</v>
      </c>
      <c r="G87" s="31">
        <v>7</v>
      </c>
      <c r="H87" s="28">
        <v>3</v>
      </c>
      <c r="I87">
        <v>98</v>
      </c>
      <c r="J87">
        <v>0</v>
      </c>
      <c r="K87">
        <v>0</v>
      </c>
      <c r="L87">
        <v>0</v>
      </c>
    </row>
    <row r="88" spans="1:12" x14ac:dyDescent="0.2">
      <c r="A88" t="s">
        <v>11</v>
      </c>
      <c r="B88" s="25">
        <v>45776</v>
      </c>
      <c r="C88" s="29">
        <v>28</v>
      </c>
      <c r="D88" s="28">
        <v>0.47089999999999999</v>
      </c>
      <c r="E88" s="28">
        <v>1.2999999999999999E-3</v>
      </c>
      <c r="F88" s="31" t="s">
        <v>13</v>
      </c>
      <c r="G88" s="31">
        <v>1</v>
      </c>
      <c r="H88" s="28">
        <v>3</v>
      </c>
      <c r="I88">
        <v>102</v>
      </c>
      <c r="J88">
        <v>19</v>
      </c>
      <c r="K88">
        <v>205.3</v>
      </c>
      <c r="L88">
        <v>0</v>
      </c>
    </row>
    <row r="89" spans="1:12" x14ac:dyDescent="0.2">
      <c r="A89" t="s">
        <v>11</v>
      </c>
      <c r="B89" s="25">
        <v>45776</v>
      </c>
      <c r="C89" s="29">
        <v>28</v>
      </c>
      <c r="D89" s="28">
        <v>4.7089999999999996</v>
      </c>
      <c r="E89" s="28">
        <v>1.3100000000000001E-2</v>
      </c>
      <c r="F89" s="31" t="s">
        <v>13</v>
      </c>
      <c r="G89" s="31">
        <v>2</v>
      </c>
      <c r="H89" s="28">
        <v>3</v>
      </c>
      <c r="I89">
        <v>103</v>
      </c>
      <c r="J89">
        <v>15</v>
      </c>
      <c r="K89">
        <v>155.6</v>
      </c>
      <c r="L89">
        <v>0</v>
      </c>
    </row>
    <row r="90" spans="1:12" x14ac:dyDescent="0.2">
      <c r="A90" t="s">
        <v>11</v>
      </c>
      <c r="B90" s="25">
        <v>45776</v>
      </c>
      <c r="C90" s="29">
        <v>28</v>
      </c>
      <c r="D90" s="28">
        <v>26.480899999999998</v>
      </c>
      <c r="E90" s="28">
        <v>7.3400000000000007E-2</v>
      </c>
      <c r="F90" s="31" t="s">
        <v>13</v>
      </c>
      <c r="G90" s="31">
        <v>3</v>
      </c>
      <c r="H90" s="28">
        <v>3</v>
      </c>
      <c r="I90">
        <v>105</v>
      </c>
      <c r="J90">
        <v>9</v>
      </c>
      <c r="K90">
        <v>96.7</v>
      </c>
      <c r="L90">
        <v>0</v>
      </c>
    </row>
    <row r="91" spans="1:12" x14ac:dyDescent="0.2">
      <c r="A91" t="s">
        <v>11</v>
      </c>
      <c r="B91" s="25">
        <v>45776</v>
      </c>
      <c r="C91" s="29">
        <v>28</v>
      </c>
      <c r="D91" s="28">
        <v>47.090499999999999</v>
      </c>
      <c r="E91" s="28">
        <v>0.1305</v>
      </c>
      <c r="F91" s="31" t="s">
        <v>13</v>
      </c>
      <c r="G91" s="31">
        <v>4</v>
      </c>
      <c r="H91" s="28">
        <v>3</v>
      </c>
      <c r="I91">
        <v>108</v>
      </c>
      <c r="J91">
        <v>10</v>
      </c>
      <c r="K91">
        <v>115.2</v>
      </c>
      <c r="L91">
        <v>0</v>
      </c>
    </row>
    <row r="92" spans="1:12" x14ac:dyDescent="0.2">
      <c r="A92" t="s">
        <v>11</v>
      </c>
      <c r="B92" s="25">
        <v>45776</v>
      </c>
      <c r="C92" s="29">
        <v>28</v>
      </c>
      <c r="D92" s="28">
        <v>83.740099999999998</v>
      </c>
      <c r="E92" s="28">
        <v>0.2321</v>
      </c>
      <c r="F92" s="31" t="s">
        <v>13</v>
      </c>
      <c r="G92" s="31">
        <v>5</v>
      </c>
      <c r="H92" s="28">
        <v>3</v>
      </c>
      <c r="I92">
        <v>109</v>
      </c>
      <c r="J92">
        <v>5</v>
      </c>
      <c r="K92">
        <v>53.5</v>
      </c>
      <c r="L92">
        <v>0</v>
      </c>
    </row>
    <row r="93" spans="1:12" x14ac:dyDescent="0.2">
      <c r="A93" t="s">
        <v>11</v>
      </c>
      <c r="B93" s="25">
        <v>45776</v>
      </c>
      <c r="C93" s="29">
        <v>28</v>
      </c>
      <c r="D93" s="28">
        <v>148.91319999999999</v>
      </c>
      <c r="E93" s="28">
        <v>0.4128</v>
      </c>
      <c r="F93" s="31" t="s">
        <v>13</v>
      </c>
      <c r="G93" s="31">
        <v>6</v>
      </c>
      <c r="H93" s="28">
        <v>3</v>
      </c>
      <c r="I93">
        <v>111</v>
      </c>
      <c r="J93">
        <v>2</v>
      </c>
      <c r="K93">
        <v>9.9</v>
      </c>
      <c r="L93">
        <v>1</v>
      </c>
    </row>
    <row r="94" spans="1:12" x14ac:dyDescent="0.2">
      <c r="A94" t="s">
        <v>11</v>
      </c>
      <c r="B94" s="25">
        <v>45776</v>
      </c>
      <c r="C94" s="29">
        <v>28</v>
      </c>
      <c r="D94" s="28">
        <v>264.80930000000001</v>
      </c>
      <c r="E94" s="28">
        <v>0.73409999999999997</v>
      </c>
      <c r="F94" s="31" t="s">
        <v>13</v>
      </c>
      <c r="G94" s="31">
        <v>7</v>
      </c>
      <c r="H94" s="28">
        <v>3</v>
      </c>
      <c r="I94">
        <v>114</v>
      </c>
      <c r="J94">
        <v>0</v>
      </c>
      <c r="K94">
        <v>0</v>
      </c>
      <c r="L94">
        <v>0</v>
      </c>
    </row>
    <row r="95" spans="1:12" x14ac:dyDescent="0.2">
      <c r="A95" t="s">
        <v>11</v>
      </c>
      <c r="B95" s="25">
        <v>45776</v>
      </c>
      <c r="C95" s="29">
        <v>28</v>
      </c>
      <c r="D95" s="28">
        <v>0.23549999999999999</v>
      </c>
      <c r="E95" s="28">
        <v>2E-3</v>
      </c>
      <c r="F95" s="31" t="s">
        <v>14</v>
      </c>
      <c r="G95" s="31">
        <v>1</v>
      </c>
      <c r="H95" s="28">
        <v>3</v>
      </c>
      <c r="I95">
        <v>115</v>
      </c>
      <c r="J95">
        <v>14</v>
      </c>
      <c r="K95">
        <v>173</v>
      </c>
      <c r="L95">
        <v>0</v>
      </c>
    </row>
    <row r="96" spans="1:12" x14ac:dyDescent="0.2">
      <c r="A96" t="s">
        <v>11</v>
      </c>
      <c r="B96" s="25">
        <v>45776</v>
      </c>
      <c r="C96" s="29">
        <v>28</v>
      </c>
      <c r="D96" s="28">
        <v>2.3544999999999998</v>
      </c>
      <c r="E96" s="28">
        <v>1.9599999999999999E-2</v>
      </c>
      <c r="F96" s="31" t="s">
        <v>14</v>
      </c>
      <c r="G96" s="31">
        <v>2</v>
      </c>
      <c r="H96" s="28">
        <v>3</v>
      </c>
      <c r="I96">
        <v>118</v>
      </c>
      <c r="J96">
        <v>13</v>
      </c>
      <c r="K96">
        <v>148</v>
      </c>
      <c r="L96">
        <v>0</v>
      </c>
    </row>
    <row r="97" spans="1:16" x14ac:dyDescent="0.2">
      <c r="A97" t="s">
        <v>11</v>
      </c>
      <c r="B97" s="25">
        <v>45776</v>
      </c>
      <c r="C97" s="29">
        <v>28</v>
      </c>
      <c r="D97" s="28">
        <v>13.240500000000001</v>
      </c>
      <c r="E97" s="28">
        <v>0.1101</v>
      </c>
      <c r="F97" s="31" t="s">
        <v>14</v>
      </c>
      <c r="G97" s="31">
        <v>3</v>
      </c>
      <c r="H97" s="28">
        <v>3</v>
      </c>
      <c r="I97">
        <v>120</v>
      </c>
      <c r="J97">
        <v>9</v>
      </c>
      <c r="K97">
        <v>104.6</v>
      </c>
      <c r="L97">
        <v>0</v>
      </c>
    </row>
    <row r="98" spans="1:16" x14ac:dyDescent="0.2">
      <c r="A98" t="s">
        <v>11</v>
      </c>
      <c r="B98" s="25">
        <v>45776</v>
      </c>
      <c r="C98" s="29">
        <v>28</v>
      </c>
      <c r="D98" s="28">
        <v>23.545200000000001</v>
      </c>
      <c r="E98" s="28">
        <v>0.1958</v>
      </c>
      <c r="F98" s="31" t="s">
        <v>14</v>
      </c>
      <c r="G98" s="31">
        <v>4</v>
      </c>
      <c r="H98" s="28">
        <v>3</v>
      </c>
      <c r="I98">
        <v>121</v>
      </c>
      <c r="J98">
        <v>7</v>
      </c>
      <c r="K98">
        <v>71.2</v>
      </c>
      <c r="L98">
        <v>0</v>
      </c>
    </row>
    <row r="99" spans="1:16" x14ac:dyDescent="0.2">
      <c r="A99" t="s">
        <v>11</v>
      </c>
      <c r="B99" s="25">
        <v>45776</v>
      </c>
      <c r="C99" s="29">
        <v>28</v>
      </c>
      <c r="D99" s="28">
        <v>41.87</v>
      </c>
      <c r="E99" s="28">
        <v>0.34820000000000001</v>
      </c>
      <c r="F99" s="31" t="s">
        <v>14</v>
      </c>
      <c r="G99" s="31">
        <v>5</v>
      </c>
      <c r="H99" s="28">
        <v>3</v>
      </c>
      <c r="I99">
        <v>124</v>
      </c>
      <c r="J99">
        <v>5</v>
      </c>
      <c r="K99">
        <v>60.6</v>
      </c>
      <c r="L99">
        <v>0</v>
      </c>
    </row>
    <row r="100" spans="1:16" x14ac:dyDescent="0.2">
      <c r="A100" t="s">
        <v>11</v>
      </c>
      <c r="B100" s="25">
        <v>45776</v>
      </c>
      <c r="C100" s="29">
        <v>28</v>
      </c>
      <c r="D100" s="28">
        <v>74.456599999999995</v>
      </c>
      <c r="E100" s="28">
        <v>0.61919999999999997</v>
      </c>
      <c r="F100" s="31" t="s">
        <v>14</v>
      </c>
      <c r="G100" s="31">
        <v>6</v>
      </c>
      <c r="H100" s="28">
        <v>3</v>
      </c>
      <c r="I100">
        <v>126</v>
      </c>
      <c r="J100">
        <v>0</v>
      </c>
      <c r="K100">
        <v>0</v>
      </c>
      <c r="L100">
        <v>0</v>
      </c>
    </row>
    <row r="101" spans="1:16" x14ac:dyDescent="0.2">
      <c r="A101" t="s">
        <v>11</v>
      </c>
      <c r="B101" s="25">
        <v>45776</v>
      </c>
      <c r="C101" s="29">
        <v>28</v>
      </c>
      <c r="D101" s="28">
        <v>132.40469999999999</v>
      </c>
      <c r="E101" s="28">
        <v>1.1012</v>
      </c>
      <c r="F101" s="31" t="s">
        <v>14</v>
      </c>
      <c r="G101" s="31">
        <v>7</v>
      </c>
      <c r="H101" s="28">
        <v>3</v>
      </c>
      <c r="I101">
        <v>128</v>
      </c>
      <c r="J101">
        <v>0</v>
      </c>
      <c r="K101">
        <v>0</v>
      </c>
      <c r="L101">
        <v>0</v>
      </c>
    </row>
    <row r="102" spans="1:16" x14ac:dyDescent="0.2">
      <c r="A102" t="s">
        <v>11</v>
      </c>
      <c r="B102" s="25">
        <v>45776</v>
      </c>
      <c r="C102" s="29">
        <v>28</v>
      </c>
      <c r="D102" s="28">
        <v>0</v>
      </c>
      <c r="E102" s="28">
        <v>2.5999999999999999E-3</v>
      </c>
      <c r="F102" s="31" t="s">
        <v>15</v>
      </c>
      <c r="G102" s="31">
        <v>1</v>
      </c>
      <c r="H102" s="28">
        <v>3</v>
      </c>
      <c r="I102">
        <v>130</v>
      </c>
      <c r="J102">
        <v>21</v>
      </c>
      <c r="K102">
        <v>232.7</v>
      </c>
      <c r="L102">
        <v>0</v>
      </c>
    </row>
    <row r="103" spans="1:16" x14ac:dyDescent="0.2">
      <c r="A103" t="s">
        <v>11</v>
      </c>
      <c r="B103" s="25">
        <v>45776</v>
      </c>
      <c r="C103" s="29">
        <v>28</v>
      </c>
      <c r="D103" s="28">
        <v>0</v>
      </c>
      <c r="E103" s="28">
        <v>2.6100000000000002E-2</v>
      </c>
      <c r="F103" s="31" t="s">
        <v>15</v>
      </c>
      <c r="G103" s="31">
        <v>2</v>
      </c>
      <c r="H103" s="28">
        <v>3</v>
      </c>
      <c r="I103">
        <v>132</v>
      </c>
      <c r="J103">
        <v>22</v>
      </c>
      <c r="K103">
        <v>190.7</v>
      </c>
      <c r="L103">
        <v>0</v>
      </c>
    </row>
    <row r="104" spans="1:16" x14ac:dyDescent="0.2">
      <c r="A104" t="s">
        <v>11</v>
      </c>
      <c r="B104" s="25">
        <v>45776</v>
      </c>
      <c r="C104" s="29">
        <v>28</v>
      </c>
      <c r="D104" s="28">
        <v>0</v>
      </c>
      <c r="E104" s="28">
        <v>0.14680000000000001</v>
      </c>
      <c r="F104" s="31" t="s">
        <v>15</v>
      </c>
      <c r="G104" s="31">
        <v>3</v>
      </c>
      <c r="H104" s="28">
        <v>3</v>
      </c>
      <c r="I104">
        <v>134</v>
      </c>
      <c r="J104">
        <v>18</v>
      </c>
      <c r="K104">
        <v>218.8</v>
      </c>
      <c r="L104">
        <v>0</v>
      </c>
    </row>
    <row r="105" spans="1:16" x14ac:dyDescent="0.2">
      <c r="A105" t="s">
        <v>11</v>
      </c>
      <c r="B105" s="25">
        <v>45776</v>
      </c>
      <c r="C105" s="29">
        <v>28</v>
      </c>
      <c r="D105" s="28">
        <v>0</v>
      </c>
      <c r="E105" s="28">
        <v>0.2611</v>
      </c>
      <c r="F105" s="31" t="s">
        <v>15</v>
      </c>
      <c r="G105" s="31">
        <v>4</v>
      </c>
      <c r="H105" s="28">
        <v>3</v>
      </c>
      <c r="I105">
        <v>135</v>
      </c>
      <c r="J105">
        <v>6</v>
      </c>
      <c r="K105">
        <v>74.5</v>
      </c>
      <c r="L105">
        <v>0</v>
      </c>
    </row>
    <row r="106" spans="1:16" x14ac:dyDescent="0.2">
      <c r="A106" t="s">
        <v>11</v>
      </c>
      <c r="B106" s="25">
        <v>45776</v>
      </c>
      <c r="C106" s="29">
        <v>28</v>
      </c>
      <c r="D106" s="28">
        <v>0</v>
      </c>
      <c r="E106" s="28">
        <v>0.46429999999999999</v>
      </c>
      <c r="F106" s="31" t="s">
        <v>15</v>
      </c>
      <c r="G106" s="31">
        <v>5</v>
      </c>
      <c r="H106" s="28">
        <v>3</v>
      </c>
      <c r="I106">
        <v>137</v>
      </c>
      <c r="J106">
        <v>2</v>
      </c>
      <c r="K106">
        <v>18.3</v>
      </c>
      <c r="L106">
        <v>0</v>
      </c>
    </row>
    <row r="107" spans="1:16" x14ac:dyDescent="0.2">
      <c r="A107" t="s">
        <v>11</v>
      </c>
      <c r="B107" s="25">
        <v>45776</v>
      </c>
      <c r="C107" s="29">
        <v>28</v>
      </c>
      <c r="D107" s="28">
        <v>0</v>
      </c>
      <c r="E107" s="28">
        <v>0.8256</v>
      </c>
      <c r="F107" s="31" t="s">
        <v>15</v>
      </c>
      <c r="G107" s="31">
        <v>6</v>
      </c>
      <c r="H107" s="28">
        <v>3</v>
      </c>
      <c r="I107">
        <v>139</v>
      </c>
      <c r="J107">
        <v>0</v>
      </c>
      <c r="K107">
        <v>0</v>
      </c>
      <c r="L107">
        <v>0</v>
      </c>
      <c r="P107" s="29"/>
    </row>
    <row r="108" spans="1:16" x14ac:dyDescent="0.2">
      <c r="A108" t="s">
        <v>11</v>
      </c>
      <c r="B108" s="25">
        <v>45776</v>
      </c>
      <c r="C108" s="29">
        <v>28</v>
      </c>
      <c r="D108" s="28">
        <v>0</v>
      </c>
      <c r="E108" s="28">
        <v>1.4681999999999999</v>
      </c>
      <c r="F108" s="31" t="s">
        <v>15</v>
      </c>
      <c r="G108" s="31">
        <v>7</v>
      </c>
      <c r="H108" s="28">
        <v>3</v>
      </c>
      <c r="I108">
        <v>141</v>
      </c>
      <c r="J108">
        <v>1</v>
      </c>
      <c r="K108">
        <v>4.4000000000000004</v>
      </c>
      <c r="L108">
        <v>0</v>
      </c>
      <c r="P108" s="29"/>
    </row>
    <row r="109" spans="1:16" x14ac:dyDescent="0.2">
      <c r="A109" t="s">
        <v>11</v>
      </c>
      <c r="B109" s="25">
        <v>45776</v>
      </c>
      <c r="C109" s="29">
        <v>28</v>
      </c>
      <c r="D109" s="28">
        <v>0</v>
      </c>
      <c r="E109" s="28">
        <v>0</v>
      </c>
      <c r="F109" s="31" t="s">
        <v>16</v>
      </c>
      <c r="G109" s="31">
        <v>0</v>
      </c>
      <c r="H109" s="28">
        <v>3</v>
      </c>
      <c r="I109">
        <v>144</v>
      </c>
      <c r="J109">
        <v>11</v>
      </c>
      <c r="K109">
        <v>132.6</v>
      </c>
      <c r="L109">
        <v>0</v>
      </c>
      <c r="P109" s="29"/>
    </row>
    <row r="110" spans="1:16" x14ac:dyDescent="0.2">
      <c r="A110" t="s">
        <v>11</v>
      </c>
      <c r="B110" s="25">
        <v>45776</v>
      </c>
      <c r="C110" s="29">
        <v>28</v>
      </c>
      <c r="D110" s="28">
        <v>0.94179999999999997</v>
      </c>
      <c r="E110" s="28">
        <v>0</v>
      </c>
      <c r="F110" s="31" t="s">
        <v>11</v>
      </c>
      <c r="G110" s="31">
        <v>1</v>
      </c>
      <c r="H110" s="28">
        <v>4</v>
      </c>
      <c r="I110" s="28">
        <v>74</v>
      </c>
      <c r="J110">
        <v>7</v>
      </c>
      <c r="L110">
        <v>0</v>
      </c>
      <c r="P110" s="29"/>
    </row>
    <row r="111" spans="1:16" x14ac:dyDescent="0.2">
      <c r="A111" t="s">
        <v>11</v>
      </c>
      <c r="B111" s="25">
        <v>45776</v>
      </c>
      <c r="C111" s="29">
        <v>28</v>
      </c>
      <c r="D111" s="28">
        <v>9.4181000000000008</v>
      </c>
      <c r="E111" s="28">
        <v>0</v>
      </c>
      <c r="F111" s="31" t="s">
        <v>11</v>
      </c>
      <c r="G111" s="31">
        <v>2</v>
      </c>
      <c r="H111" s="28">
        <v>4</v>
      </c>
      <c r="I111" s="28">
        <v>76</v>
      </c>
      <c r="J111">
        <v>18</v>
      </c>
      <c r="L111">
        <v>0</v>
      </c>
      <c r="P111" s="29"/>
    </row>
    <row r="112" spans="1:16" x14ac:dyDescent="0.2">
      <c r="A112" t="s">
        <v>11</v>
      </c>
      <c r="B112" s="25">
        <v>45776</v>
      </c>
      <c r="C112" s="29">
        <v>28</v>
      </c>
      <c r="D112" s="28">
        <v>52.9619</v>
      </c>
      <c r="E112" s="28">
        <v>0</v>
      </c>
      <c r="F112" s="31" t="s">
        <v>11</v>
      </c>
      <c r="G112" s="31">
        <v>3</v>
      </c>
      <c r="H112" s="28">
        <v>4</v>
      </c>
      <c r="I112" s="28">
        <v>78</v>
      </c>
      <c r="J112">
        <v>7</v>
      </c>
      <c r="L112">
        <v>0</v>
      </c>
      <c r="P112" s="29"/>
    </row>
    <row r="113" spans="1:16" x14ac:dyDescent="0.2">
      <c r="A113" t="s">
        <v>11</v>
      </c>
      <c r="B113" s="25">
        <v>45776</v>
      </c>
      <c r="C113" s="29">
        <v>28</v>
      </c>
      <c r="D113" s="28">
        <v>94.180999999999997</v>
      </c>
      <c r="E113" s="28">
        <v>0</v>
      </c>
      <c r="F113" s="31" t="s">
        <v>11</v>
      </c>
      <c r="G113" s="31">
        <v>4</v>
      </c>
      <c r="H113" s="28">
        <v>4</v>
      </c>
      <c r="I113" s="28">
        <v>80</v>
      </c>
      <c r="J113">
        <v>15</v>
      </c>
      <c r="L113">
        <v>0</v>
      </c>
      <c r="P113" s="29"/>
    </row>
    <row r="114" spans="1:16" x14ac:dyDescent="0.2">
      <c r="A114" t="s">
        <v>11</v>
      </c>
      <c r="B114" s="25">
        <v>45776</v>
      </c>
      <c r="C114" s="29">
        <v>28</v>
      </c>
      <c r="D114" s="28">
        <v>167.48009999999999</v>
      </c>
      <c r="E114" s="28">
        <v>0</v>
      </c>
      <c r="F114" s="31" t="s">
        <v>11</v>
      </c>
      <c r="G114" s="31">
        <v>5</v>
      </c>
      <c r="H114" s="28">
        <v>4</v>
      </c>
      <c r="I114" s="28">
        <v>82</v>
      </c>
      <c r="J114">
        <v>0</v>
      </c>
      <c r="L114">
        <v>0</v>
      </c>
      <c r="P114" s="29"/>
    </row>
    <row r="115" spans="1:16" x14ac:dyDescent="0.2">
      <c r="A115" t="s">
        <v>11</v>
      </c>
      <c r="B115" s="25">
        <v>45776</v>
      </c>
      <c r="C115" s="29">
        <v>28</v>
      </c>
      <c r="D115" s="28">
        <v>297.82639999999998</v>
      </c>
      <c r="E115" s="28">
        <v>0</v>
      </c>
      <c r="F115" s="31" t="s">
        <v>11</v>
      </c>
      <c r="G115" s="31">
        <v>6</v>
      </c>
      <c r="H115" s="28">
        <v>4</v>
      </c>
      <c r="I115" s="28">
        <v>84</v>
      </c>
      <c r="J115">
        <v>3</v>
      </c>
      <c r="L115">
        <v>0</v>
      </c>
      <c r="P115" s="29"/>
    </row>
    <row r="116" spans="1:16" x14ac:dyDescent="0.2">
      <c r="A116" t="s">
        <v>11</v>
      </c>
      <c r="B116" s="25">
        <v>45776</v>
      </c>
      <c r="C116" s="29">
        <v>28</v>
      </c>
      <c r="D116" s="28">
        <v>529.61860000000001</v>
      </c>
      <c r="E116" s="28">
        <v>0</v>
      </c>
      <c r="F116" s="31" t="s">
        <v>11</v>
      </c>
      <c r="G116" s="31">
        <v>7</v>
      </c>
      <c r="H116" s="28">
        <v>4</v>
      </c>
      <c r="I116" s="28">
        <v>86</v>
      </c>
      <c r="J116">
        <v>3</v>
      </c>
      <c r="L116">
        <v>0</v>
      </c>
      <c r="P116" s="29"/>
    </row>
    <row r="117" spans="1:16" x14ac:dyDescent="0.2">
      <c r="A117" t="s">
        <v>11</v>
      </c>
      <c r="B117" s="25">
        <v>45776</v>
      </c>
      <c r="C117" s="29">
        <v>28</v>
      </c>
      <c r="D117" s="28">
        <v>0.70640000000000003</v>
      </c>
      <c r="E117" s="28">
        <v>6.9999999999999999E-4</v>
      </c>
      <c r="F117" s="31" t="s">
        <v>12</v>
      </c>
      <c r="G117" s="31">
        <v>1</v>
      </c>
      <c r="H117" s="28">
        <v>4</v>
      </c>
      <c r="I117" s="28">
        <v>88</v>
      </c>
      <c r="J117">
        <v>7</v>
      </c>
      <c r="L117">
        <v>0</v>
      </c>
      <c r="P117" s="29"/>
    </row>
    <row r="118" spans="1:16" x14ac:dyDescent="0.2">
      <c r="A118" t="s">
        <v>11</v>
      </c>
      <c r="B118" s="25">
        <v>45776</v>
      </c>
      <c r="C118" s="29">
        <v>28</v>
      </c>
      <c r="D118" s="28">
        <v>7.0636000000000001</v>
      </c>
      <c r="E118" s="28">
        <v>6.4999999999999997E-3</v>
      </c>
      <c r="F118" s="31" t="s">
        <v>12</v>
      </c>
      <c r="G118" s="31">
        <v>2</v>
      </c>
      <c r="H118" s="28">
        <v>4</v>
      </c>
      <c r="I118" s="28">
        <v>90</v>
      </c>
      <c r="J118">
        <v>20</v>
      </c>
      <c r="L118">
        <v>0</v>
      </c>
      <c r="P118" s="29"/>
    </row>
    <row r="119" spans="1:16" x14ac:dyDescent="0.2">
      <c r="A119" t="s">
        <v>11</v>
      </c>
      <c r="B119" s="25">
        <v>45776</v>
      </c>
      <c r="C119" s="29">
        <v>28</v>
      </c>
      <c r="D119" s="28">
        <v>39.721400000000003</v>
      </c>
      <c r="E119" s="28">
        <v>3.6700000000000003E-2</v>
      </c>
      <c r="F119" s="31" t="s">
        <v>12</v>
      </c>
      <c r="G119" s="31">
        <v>3</v>
      </c>
      <c r="H119" s="28">
        <v>4</v>
      </c>
      <c r="I119" s="28">
        <v>92</v>
      </c>
      <c r="J119">
        <v>3</v>
      </c>
      <c r="L119">
        <v>0</v>
      </c>
      <c r="P119" s="29"/>
    </row>
    <row r="120" spans="1:16" x14ac:dyDescent="0.2">
      <c r="A120" t="s">
        <v>11</v>
      </c>
      <c r="B120" s="25">
        <v>45776</v>
      </c>
      <c r="C120" s="29">
        <v>28</v>
      </c>
      <c r="D120" s="28">
        <v>70.6357</v>
      </c>
      <c r="E120" s="28">
        <v>6.5299999999999997E-2</v>
      </c>
      <c r="F120" s="31" t="s">
        <v>12</v>
      </c>
      <c r="G120" s="31">
        <v>4</v>
      </c>
      <c r="H120" s="28">
        <v>4</v>
      </c>
      <c r="I120" s="28">
        <v>94</v>
      </c>
      <c r="J120">
        <v>15</v>
      </c>
      <c r="L120">
        <v>0</v>
      </c>
      <c r="P120" s="29"/>
    </row>
    <row r="121" spans="1:16" x14ac:dyDescent="0.2">
      <c r="A121" t="s">
        <v>11</v>
      </c>
      <c r="B121" s="25">
        <v>45776</v>
      </c>
      <c r="C121" s="29">
        <v>28</v>
      </c>
      <c r="D121" s="28">
        <v>125.6101</v>
      </c>
      <c r="E121" s="28">
        <v>0.11609999999999999</v>
      </c>
      <c r="F121" s="31" t="s">
        <v>12</v>
      </c>
      <c r="G121" s="31">
        <v>5</v>
      </c>
      <c r="H121" s="28">
        <v>4</v>
      </c>
      <c r="I121" s="28">
        <v>96</v>
      </c>
      <c r="J121">
        <v>10</v>
      </c>
      <c r="L121">
        <v>0</v>
      </c>
      <c r="P121" s="29"/>
    </row>
    <row r="122" spans="1:16" x14ac:dyDescent="0.2">
      <c r="A122" t="s">
        <v>11</v>
      </c>
      <c r="B122" s="25">
        <v>45776</v>
      </c>
      <c r="C122" s="29">
        <v>28</v>
      </c>
      <c r="D122" s="28">
        <v>223.3698</v>
      </c>
      <c r="E122" s="28">
        <v>0.2064</v>
      </c>
      <c r="F122" s="31" t="s">
        <v>12</v>
      </c>
      <c r="G122" s="31">
        <v>6</v>
      </c>
      <c r="H122" s="28">
        <v>4</v>
      </c>
      <c r="I122" s="28">
        <v>898</v>
      </c>
      <c r="J122">
        <v>1</v>
      </c>
      <c r="L122">
        <v>0</v>
      </c>
      <c r="P122" s="29"/>
    </row>
    <row r="123" spans="1:16" x14ac:dyDescent="0.2">
      <c r="A123" t="s">
        <v>11</v>
      </c>
      <c r="B123" s="25">
        <v>45776</v>
      </c>
      <c r="C123" s="29">
        <v>28</v>
      </c>
      <c r="D123" s="28">
        <v>397.214</v>
      </c>
      <c r="E123" s="28">
        <v>0.36709999999999998</v>
      </c>
      <c r="F123" s="31" t="s">
        <v>12</v>
      </c>
      <c r="G123" s="31">
        <v>7</v>
      </c>
      <c r="H123" s="28">
        <v>4</v>
      </c>
      <c r="I123" s="28">
        <v>100</v>
      </c>
      <c r="J123">
        <v>0</v>
      </c>
      <c r="L123">
        <v>0</v>
      </c>
      <c r="P123" s="29"/>
    </row>
    <row r="124" spans="1:16" x14ac:dyDescent="0.2">
      <c r="A124" t="s">
        <v>11</v>
      </c>
      <c r="B124" s="25">
        <v>45776</v>
      </c>
      <c r="C124" s="29">
        <v>28</v>
      </c>
      <c r="D124" s="28">
        <v>0.47089999999999999</v>
      </c>
      <c r="E124" s="28">
        <v>1.2999999999999999E-3</v>
      </c>
      <c r="F124" s="31" t="s">
        <v>13</v>
      </c>
      <c r="G124" s="31">
        <v>1</v>
      </c>
      <c r="H124" s="28">
        <v>4</v>
      </c>
      <c r="I124" s="28">
        <v>102</v>
      </c>
      <c r="J124">
        <v>17</v>
      </c>
      <c r="L124">
        <v>0</v>
      </c>
      <c r="P124" s="29"/>
    </row>
    <row r="125" spans="1:16" x14ac:dyDescent="0.2">
      <c r="A125" t="s">
        <v>11</v>
      </c>
      <c r="B125" s="25">
        <v>45776</v>
      </c>
      <c r="C125" s="29">
        <v>28</v>
      </c>
      <c r="D125" s="28">
        <v>4.7089999999999996</v>
      </c>
      <c r="E125" s="28">
        <v>1.3100000000000001E-2</v>
      </c>
      <c r="F125" s="31" t="s">
        <v>13</v>
      </c>
      <c r="G125" s="31">
        <v>2</v>
      </c>
      <c r="H125" s="28">
        <v>4</v>
      </c>
      <c r="I125" s="28">
        <v>104</v>
      </c>
      <c r="J125">
        <v>17</v>
      </c>
      <c r="L125">
        <v>0</v>
      </c>
      <c r="P125" s="29"/>
    </row>
    <row r="126" spans="1:16" x14ac:dyDescent="0.2">
      <c r="A126" t="s">
        <v>11</v>
      </c>
      <c r="B126" s="25">
        <v>45776</v>
      </c>
      <c r="C126" s="29">
        <v>28</v>
      </c>
      <c r="D126" s="28">
        <v>26.480899999999998</v>
      </c>
      <c r="E126" s="28">
        <v>7.3400000000000007E-2</v>
      </c>
      <c r="F126" s="31" t="s">
        <v>13</v>
      </c>
      <c r="G126" s="31">
        <v>3</v>
      </c>
      <c r="H126" s="28">
        <v>4</v>
      </c>
      <c r="I126" s="28">
        <v>106</v>
      </c>
      <c r="J126">
        <v>7</v>
      </c>
      <c r="L126">
        <v>0</v>
      </c>
      <c r="P126" s="29"/>
    </row>
    <row r="127" spans="1:16" x14ac:dyDescent="0.2">
      <c r="A127" t="s">
        <v>11</v>
      </c>
      <c r="B127" s="25">
        <v>45776</v>
      </c>
      <c r="C127" s="29">
        <v>28</v>
      </c>
      <c r="D127" s="28">
        <v>47.090499999999999</v>
      </c>
      <c r="E127" s="28">
        <v>0.1305</v>
      </c>
      <c r="F127" s="31" t="s">
        <v>13</v>
      </c>
      <c r="G127" s="31">
        <v>4</v>
      </c>
      <c r="H127" s="28">
        <v>4</v>
      </c>
      <c r="I127" s="28">
        <v>108</v>
      </c>
      <c r="J127">
        <v>2</v>
      </c>
      <c r="L127">
        <v>0</v>
      </c>
      <c r="P127" s="29"/>
    </row>
    <row r="128" spans="1:16" x14ac:dyDescent="0.2">
      <c r="A128" t="s">
        <v>11</v>
      </c>
      <c r="B128" s="25">
        <v>45776</v>
      </c>
      <c r="C128" s="29">
        <v>28</v>
      </c>
      <c r="D128" s="28">
        <v>83.740099999999998</v>
      </c>
      <c r="E128" s="28">
        <v>0.2321</v>
      </c>
      <c r="F128" s="31" t="s">
        <v>13</v>
      </c>
      <c r="G128" s="31">
        <v>5</v>
      </c>
      <c r="H128" s="28">
        <v>4</v>
      </c>
      <c r="I128" s="28">
        <v>110</v>
      </c>
      <c r="J128">
        <v>4</v>
      </c>
      <c r="L128">
        <v>0</v>
      </c>
      <c r="P128" s="29"/>
    </row>
    <row r="129" spans="1:16" x14ac:dyDescent="0.2">
      <c r="A129" t="s">
        <v>11</v>
      </c>
      <c r="B129" s="25">
        <v>45776</v>
      </c>
      <c r="C129" s="29">
        <v>28</v>
      </c>
      <c r="D129" s="28">
        <v>148.91319999999999</v>
      </c>
      <c r="E129" s="28">
        <v>0.4128</v>
      </c>
      <c r="F129" s="31" t="s">
        <v>13</v>
      </c>
      <c r="G129" s="31">
        <v>6</v>
      </c>
      <c r="H129" s="28">
        <v>4</v>
      </c>
      <c r="I129" s="28">
        <v>112</v>
      </c>
      <c r="J129">
        <v>2</v>
      </c>
      <c r="L129">
        <v>1</v>
      </c>
      <c r="P129" s="29"/>
    </row>
    <row r="130" spans="1:16" x14ac:dyDescent="0.2">
      <c r="A130" t="s">
        <v>11</v>
      </c>
      <c r="B130" s="25">
        <v>45776</v>
      </c>
      <c r="C130" s="29">
        <v>28</v>
      </c>
      <c r="D130" s="28">
        <v>264.80930000000001</v>
      </c>
      <c r="E130" s="28">
        <v>0.73409999999999997</v>
      </c>
      <c r="F130" s="31" t="s">
        <v>13</v>
      </c>
      <c r="G130" s="31">
        <v>7</v>
      </c>
      <c r="H130" s="28">
        <v>4</v>
      </c>
      <c r="I130" s="28">
        <v>114</v>
      </c>
      <c r="J130">
        <v>0</v>
      </c>
      <c r="L130">
        <v>0</v>
      </c>
      <c r="P130" s="29"/>
    </row>
    <row r="131" spans="1:16" x14ac:dyDescent="0.2">
      <c r="A131" t="s">
        <v>11</v>
      </c>
      <c r="B131" s="25">
        <v>45776</v>
      </c>
      <c r="C131" s="29">
        <v>28</v>
      </c>
      <c r="D131" s="28">
        <v>0.23549999999999999</v>
      </c>
      <c r="E131" s="28">
        <v>2E-3</v>
      </c>
      <c r="F131" s="31" t="s">
        <v>14</v>
      </c>
      <c r="G131" s="31">
        <v>1</v>
      </c>
      <c r="H131" s="28">
        <v>4</v>
      </c>
      <c r="I131" s="28">
        <v>116</v>
      </c>
      <c r="J131">
        <v>16</v>
      </c>
      <c r="L131">
        <v>0</v>
      </c>
      <c r="P131" s="29"/>
    </row>
    <row r="132" spans="1:16" x14ac:dyDescent="0.2">
      <c r="A132" t="s">
        <v>11</v>
      </c>
      <c r="B132" s="25">
        <v>45776</v>
      </c>
      <c r="C132" s="29">
        <v>28</v>
      </c>
      <c r="D132" s="28">
        <v>2.3544999999999998</v>
      </c>
      <c r="E132" s="28">
        <v>1.9599999999999999E-2</v>
      </c>
      <c r="F132" s="31" t="s">
        <v>14</v>
      </c>
      <c r="G132" s="31">
        <v>2</v>
      </c>
      <c r="H132" s="28">
        <v>4</v>
      </c>
      <c r="I132" s="28">
        <v>118</v>
      </c>
      <c r="J132">
        <v>15</v>
      </c>
      <c r="L132">
        <v>0</v>
      </c>
      <c r="P132" s="29"/>
    </row>
    <row r="133" spans="1:16" x14ac:dyDescent="0.2">
      <c r="A133" t="s">
        <v>11</v>
      </c>
      <c r="B133" s="25">
        <v>45776</v>
      </c>
      <c r="C133" s="29">
        <v>28</v>
      </c>
      <c r="D133" s="28">
        <v>13.240500000000001</v>
      </c>
      <c r="E133" s="28">
        <v>0.1101</v>
      </c>
      <c r="F133" s="31" t="s">
        <v>14</v>
      </c>
      <c r="G133" s="31">
        <v>3</v>
      </c>
      <c r="H133" s="28">
        <v>4</v>
      </c>
      <c r="I133" s="28">
        <v>120</v>
      </c>
      <c r="J133">
        <v>10</v>
      </c>
      <c r="L133">
        <v>0</v>
      </c>
      <c r="P133" s="29"/>
    </row>
    <row r="134" spans="1:16" x14ac:dyDescent="0.2">
      <c r="A134" t="s">
        <v>11</v>
      </c>
      <c r="B134" s="25">
        <v>45776</v>
      </c>
      <c r="C134" s="29">
        <v>28</v>
      </c>
      <c r="D134" s="28">
        <v>23.545200000000001</v>
      </c>
      <c r="E134" s="28">
        <v>0.1958</v>
      </c>
      <c r="F134" s="31" t="s">
        <v>14</v>
      </c>
      <c r="G134" s="31">
        <v>4</v>
      </c>
      <c r="H134" s="28">
        <v>4</v>
      </c>
      <c r="I134" s="28">
        <v>122</v>
      </c>
      <c r="J134">
        <v>2</v>
      </c>
      <c r="L134">
        <v>0</v>
      </c>
      <c r="P134" s="29"/>
    </row>
    <row r="135" spans="1:16" x14ac:dyDescent="0.2">
      <c r="A135" t="s">
        <v>11</v>
      </c>
      <c r="B135" s="25">
        <v>45776</v>
      </c>
      <c r="C135" s="29">
        <v>28</v>
      </c>
      <c r="D135" s="28">
        <v>41.87</v>
      </c>
      <c r="E135" s="28">
        <v>0.34820000000000001</v>
      </c>
      <c r="F135" s="31" t="s">
        <v>14</v>
      </c>
      <c r="G135" s="31">
        <v>5</v>
      </c>
      <c r="H135" s="28">
        <v>4</v>
      </c>
      <c r="I135" s="28">
        <v>124</v>
      </c>
      <c r="J135">
        <v>4</v>
      </c>
      <c r="L135">
        <v>0</v>
      </c>
      <c r="P135" s="29"/>
    </row>
    <row r="136" spans="1:16" x14ac:dyDescent="0.2">
      <c r="A136" t="s">
        <v>11</v>
      </c>
      <c r="B136" s="25">
        <v>45776</v>
      </c>
      <c r="C136" s="29">
        <v>28</v>
      </c>
      <c r="D136" s="28">
        <v>74.456599999999995</v>
      </c>
      <c r="E136" s="28">
        <v>0.61919999999999997</v>
      </c>
      <c r="F136" s="31" t="s">
        <v>14</v>
      </c>
      <c r="G136" s="31">
        <v>6</v>
      </c>
      <c r="H136" s="28">
        <v>4</v>
      </c>
      <c r="I136" s="28">
        <v>126</v>
      </c>
      <c r="J136">
        <v>0</v>
      </c>
      <c r="L136">
        <v>0</v>
      </c>
      <c r="P136" s="29"/>
    </row>
    <row r="137" spans="1:16" x14ac:dyDescent="0.2">
      <c r="A137" t="s">
        <v>11</v>
      </c>
      <c r="B137" s="25">
        <v>45776</v>
      </c>
      <c r="C137" s="29">
        <v>28</v>
      </c>
      <c r="D137" s="28">
        <v>132.40469999999999</v>
      </c>
      <c r="E137" s="28">
        <v>1.1012</v>
      </c>
      <c r="F137" s="31" t="s">
        <v>14</v>
      </c>
      <c r="G137" s="31">
        <v>7</v>
      </c>
      <c r="H137" s="28">
        <v>4</v>
      </c>
      <c r="I137" s="28">
        <v>128</v>
      </c>
      <c r="J137">
        <v>0</v>
      </c>
      <c r="L137">
        <v>0</v>
      </c>
      <c r="P137" s="29"/>
    </row>
    <row r="138" spans="1:16" x14ac:dyDescent="0.2">
      <c r="A138" t="s">
        <v>11</v>
      </c>
      <c r="B138" s="25">
        <v>45776</v>
      </c>
      <c r="C138" s="29">
        <v>28</v>
      </c>
      <c r="D138" s="28">
        <v>0</v>
      </c>
      <c r="E138" s="28">
        <v>2.5999999999999999E-3</v>
      </c>
      <c r="F138" s="31" t="s">
        <v>15</v>
      </c>
      <c r="G138" s="31">
        <v>1</v>
      </c>
      <c r="H138" s="28">
        <v>4</v>
      </c>
      <c r="I138" s="28">
        <v>130</v>
      </c>
      <c r="J138">
        <v>16</v>
      </c>
      <c r="L138">
        <v>0</v>
      </c>
      <c r="P138" s="29"/>
    </row>
    <row r="139" spans="1:16" x14ac:dyDescent="0.2">
      <c r="A139" t="s">
        <v>11</v>
      </c>
      <c r="B139" s="25">
        <v>45776</v>
      </c>
      <c r="C139" s="29">
        <v>28</v>
      </c>
      <c r="D139" s="28">
        <v>0</v>
      </c>
      <c r="E139" s="28">
        <v>2.6100000000000002E-2</v>
      </c>
      <c r="F139" s="31" t="s">
        <v>15</v>
      </c>
      <c r="G139" s="31">
        <v>2</v>
      </c>
      <c r="H139" s="28">
        <v>4</v>
      </c>
      <c r="I139" s="28">
        <v>132</v>
      </c>
      <c r="J139">
        <v>12</v>
      </c>
      <c r="L139">
        <v>0</v>
      </c>
      <c r="P139" s="29"/>
    </row>
    <row r="140" spans="1:16" x14ac:dyDescent="0.2">
      <c r="A140" t="s">
        <v>11</v>
      </c>
      <c r="B140" s="25">
        <v>45776</v>
      </c>
      <c r="C140" s="29">
        <v>28</v>
      </c>
      <c r="D140" s="28">
        <v>0</v>
      </c>
      <c r="E140" s="28">
        <v>0.14680000000000001</v>
      </c>
      <c r="F140" s="31" t="s">
        <v>15</v>
      </c>
      <c r="G140" s="31">
        <v>3</v>
      </c>
      <c r="H140" s="28">
        <v>4</v>
      </c>
      <c r="I140" s="28">
        <v>134</v>
      </c>
      <c r="J140">
        <v>15</v>
      </c>
      <c r="L140">
        <v>0</v>
      </c>
      <c r="P140" s="29"/>
    </row>
    <row r="141" spans="1:16" x14ac:dyDescent="0.2">
      <c r="A141" t="s">
        <v>11</v>
      </c>
      <c r="B141" s="25">
        <v>45776</v>
      </c>
      <c r="C141" s="29">
        <v>28</v>
      </c>
      <c r="D141" s="28">
        <v>0</v>
      </c>
      <c r="E141" s="28">
        <v>0.2611</v>
      </c>
      <c r="F141" s="31" t="s">
        <v>15</v>
      </c>
      <c r="G141" s="31">
        <v>4</v>
      </c>
      <c r="H141" s="28">
        <v>4</v>
      </c>
      <c r="I141" s="28">
        <v>136</v>
      </c>
      <c r="J141">
        <v>6</v>
      </c>
      <c r="L141">
        <v>0</v>
      </c>
      <c r="P141" s="29"/>
    </row>
    <row r="142" spans="1:16" x14ac:dyDescent="0.2">
      <c r="A142" t="s">
        <v>11</v>
      </c>
      <c r="B142" s="25">
        <v>45776</v>
      </c>
      <c r="C142" s="29">
        <v>28</v>
      </c>
      <c r="D142" s="28">
        <v>0</v>
      </c>
      <c r="E142" s="28">
        <v>0.46429999999999999</v>
      </c>
      <c r="F142" s="31" t="s">
        <v>15</v>
      </c>
      <c r="G142" s="31">
        <v>5</v>
      </c>
      <c r="H142" s="28">
        <v>4</v>
      </c>
      <c r="I142" s="28">
        <v>138</v>
      </c>
      <c r="J142">
        <v>2</v>
      </c>
      <c r="L142">
        <v>0</v>
      </c>
      <c r="P142" s="29"/>
    </row>
    <row r="143" spans="1:16" x14ac:dyDescent="0.2">
      <c r="A143" t="s">
        <v>11</v>
      </c>
      <c r="B143" s="25">
        <v>45776</v>
      </c>
      <c r="C143" s="29">
        <v>28</v>
      </c>
      <c r="D143" s="28">
        <v>0</v>
      </c>
      <c r="E143" s="28">
        <v>0.8256</v>
      </c>
      <c r="F143" s="31" t="s">
        <v>15</v>
      </c>
      <c r="G143" s="31">
        <v>6</v>
      </c>
      <c r="H143" s="28">
        <v>4</v>
      </c>
      <c r="I143" s="28">
        <v>140</v>
      </c>
      <c r="J143">
        <v>0</v>
      </c>
      <c r="L143">
        <v>0</v>
      </c>
      <c r="P143" s="29"/>
    </row>
    <row r="144" spans="1:16" x14ac:dyDescent="0.2">
      <c r="A144" t="s">
        <v>11</v>
      </c>
      <c r="B144" s="25">
        <v>45776</v>
      </c>
      <c r="C144" s="29">
        <v>28</v>
      </c>
      <c r="D144" s="28">
        <v>0</v>
      </c>
      <c r="E144" s="28">
        <v>1.4681999999999999</v>
      </c>
      <c r="F144" s="31" t="s">
        <v>15</v>
      </c>
      <c r="G144" s="31">
        <v>7</v>
      </c>
      <c r="H144" s="28">
        <v>4</v>
      </c>
      <c r="I144" s="28">
        <v>142</v>
      </c>
      <c r="J144">
        <v>0</v>
      </c>
      <c r="L144">
        <v>0</v>
      </c>
      <c r="P144" s="29"/>
    </row>
    <row r="145" spans="1:16" x14ac:dyDescent="0.2">
      <c r="A145" t="s">
        <v>11</v>
      </c>
      <c r="B145" s="25">
        <v>45776</v>
      </c>
      <c r="C145" s="29">
        <v>28</v>
      </c>
      <c r="D145" s="28">
        <v>0</v>
      </c>
      <c r="E145" s="28">
        <v>0</v>
      </c>
      <c r="F145" s="31" t="s">
        <v>16</v>
      </c>
      <c r="G145" s="31">
        <v>0</v>
      </c>
      <c r="H145" s="28">
        <v>4</v>
      </c>
      <c r="J145">
        <v>14</v>
      </c>
      <c r="L145">
        <v>0</v>
      </c>
      <c r="P145" s="29"/>
    </row>
    <row r="146" spans="1:16" x14ac:dyDescent="0.2">
      <c r="B146" s="25"/>
      <c r="C146" s="29"/>
      <c r="D146" s="28"/>
      <c r="E146" s="28"/>
      <c r="F146" s="31"/>
      <c r="G146" s="31"/>
      <c r="H146" s="28"/>
      <c r="P146" s="29"/>
    </row>
    <row r="147" spans="1:16" x14ac:dyDescent="0.2">
      <c r="B147" s="25"/>
      <c r="C147" s="29"/>
      <c r="D147" s="28"/>
      <c r="E147" s="28"/>
      <c r="F147" s="31"/>
      <c r="G147" s="31"/>
      <c r="H147" s="28"/>
      <c r="P147" s="29"/>
    </row>
    <row r="148" spans="1:16" x14ac:dyDescent="0.2">
      <c r="B148" s="25"/>
      <c r="C148" s="29"/>
      <c r="D148" s="28"/>
      <c r="E148" s="28"/>
      <c r="F148" s="31"/>
      <c r="G148" s="31"/>
      <c r="H148" s="28"/>
      <c r="P148" s="29"/>
    </row>
    <row r="149" spans="1:16" x14ac:dyDescent="0.2">
      <c r="B149" s="25"/>
      <c r="C149" s="29"/>
      <c r="D149" s="28"/>
      <c r="E149" s="28"/>
      <c r="F149" s="31"/>
      <c r="G149" s="31"/>
      <c r="H149" s="28"/>
      <c r="P149" s="29"/>
    </row>
    <row r="150" spans="1:16" x14ac:dyDescent="0.2">
      <c r="B150" s="25"/>
      <c r="C150" s="29"/>
      <c r="D150" s="28"/>
      <c r="E150" s="28"/>
      <c r="F150" s="31"/>
      <c r="G150" s="31"/>
      <c r="H150" s="28"/>
      <c r="P150" s="29"/>
    </row>
    <row r="151" spans="1:16" x14ac:dyDescent="0.2">
      <c r="B151" s="25"/>
      <c r="C151" s="29"/>
      <c r="D151" s="28"/>
      <c r="E151" s="28"/>
      <c r="F151" s="31"/>
      <c r="G151" s="31"/>
      <c r="H151" s="28"/>
      <c r="P151" s="29"/>
    </row>
    <row r="152" spans="1:16" x14ac:dyDescent="0.2">
      <c r="B152" s="25"/>
      <c r="C152" s="29"/>
      <c r="D152" s="28"/>
      <c r="E152" s="28"/>
      <c r="F152" s="31"/>
      <c r="G152" s="31"/>
      <c r="H152" s="28"/>
      <c r="P152" s="29"/>
    </row>
    <row r="153" spans="1:16" x14ac:dyDescent="0.2">
      <c r="B153" s="25"/>
      <c r="C153" s="29"/>
      <c r="D153" s="28"/>
      <c r="E153" s="28"/>
      <c r="F153" s="31"/>
      <c r="G153" s="31"/>
      <c r="H153" s="28"/>
      <c r="P153" s="29"/>
    </row>
    <row r="154" spans="1:16" x14ac:dyDescent="0.2">
      <c r="B154" s="25"/>
      <c r="C154" s="29"/>
      <c r="D154" s="28"/>
      <c r="E154" s="28"/>
      <c r="F154" s="31"/>
      <c r="G154" s="31"/>
      <c r="H154" s="28"/>
      <c r="P154" s="29"/>
    </row>
    <row r="155" spans="1:16" x14ac:dyDescent="0.2">
      <c r="B155" s="25"/>
      <c r="C155" s="29"/>
      <c r="D155" s="28"/>
      <c r="E155" s="28"/>
      <c r="F155" s="31"/>
      <c r="G155" s="31"/>
      <c r="H155" s="28"/>
      <c r="P155" s="29"/>
    </row>
    <row r="156" spans="1:16" x14ac:dyDescent="0.2">
      <c r="B156" s="25"/>
      <c r="C156" s="29"/>
      <c r="D156" s="28"/>
      <c r="E156" s="28"/>
      <c r="F156" s="31"/>
      <c r="G156" s="31"/>
      <c r="H156" s="28"/>
      <c r="P156" s="29"/>
    </row>
    <row r="157" spans="1:16" x14ac:dyDescent="0.2">
      <c r="B157" s="25"/>
      <c r="C157" s="29"/>
      <c r="D157" s="28"/>
      <c r="E157" s="28"/>
      <c r="F157" s="31"/>
      <c r="G157" s="31"/>
      <c r="H157" s="28"/>
      <c r="P157" s="29"/>
    </row>
    <row r="158" spans="1:16" x14ac:dyDescent="0.2">
      <c r="B158" s="25"/>
      <c r="C158" s="29"/>
      <c r="D158" s="28"/>
      <c r="E158" s="28"/>
      <c r="F158" s="31"/>
      <c r="G158" s="31"/>
      <c r="H158" s="28"/>
      <c r="P158" s="29"/>
    </row>
    <row r="159" spans="1:16" x14ac:dyDescent="0.2">
      <c r="B159" s="25"/>
      <c r="C159" s="29"/>
      <c r="D159" s="28"/>
      <c r="E159" s="28"/>
      <c r="F159" s="31"/>
      <c r="G159" s="31"/>
      <c r="H159" s="28"/>
      <c r="P159" s="29"/>
    </row>
    <row r="160" spans="1:16" x14ac:dyDescent="0.2">
      <c r="B160" s="25"/>
      <c r="C160" s="29"/>
      <c r="D160" s="28"/>
      <c r="E160" s="28"/>
      <c r="F160" s="31"/>
      <c r="G160" s="31"/>
      <c r="H160" s="28"/>
      <c r="P160" s="29"/>
    </row>
    <row r="161" spans="2:16" x14ac:dyDescent="0.2">
      <c r="B161" s="25"/>
      <c r="C161" s="29"/>
      <c r="D161" s="28"/>
      <c r="E161" s="28"/>
      <c r="F161" s="31"/>
      <c r="G161" s="31"/>
      <c r="H161" s="28"/>
      <c r="P161" s="29"/>
    </row>
    <row r="162" spans="2:16" x14ac:dyDescent="0.2">
      <c r="B162" s="25"/>
      <c r="C162" s="29"/>
      <c r="D162" s="28"/>
      <c r="E162" s="28"/>
      <c r="F162" s="31"/>
      <c r="G162" s="31"/>
      <c r="H162" s="28"/>
      <c r="P162" s="29"/>
    </row>
    <row r="163" spans="2:16" x14ac:dyDescent="0.2">
      <c r="B163" s="25"/>
      <c r="C163" s="29"/>
      <c r="D163" s="28"/>
      <c r="E163" s="28"/>
      <c r="F163" s="31"/>
      <c r="G163" s="31"/>
      <c r="H163" s="28"/>
      <c r="P163" s="29"/>
    </row>
    <row r="164" spans="2:16" x14ac:dyDescent="0.2">
      <c r="B164" s="25"/>
      <c r="C164" s="29"/>
      <c r="D164" s="28"/>
      <c r="E164" s="28"/>
      <c r="F164" s="31"/>
      <c r="G164" s="31"/>
      <c r="H164" s="28"/>
      <c r="P164" s="29"/>
    </row>
    <row r="165" spans="2:16" x14ac:dyDescent="0.2">
      <c r="B165" s="25"/>
      <c r="C165" s="29"/>
      <c r="D165" s="28"/>
      <c r="E165" s="28"/>
      <c r="F165" s="31"/>
      <c r="G165" s="31"/>
      <c r="H165" s="28"/>
      <c r="P165" s="29"/>
    </row>
    <row r="166" spans="2:16" x14ac:dyDescent="0.2">
      <c r="B166" s="25"/>
      <c r="C166" s="29"/>
      <c r="D166" s="28"/>
      <c r="E166" s="28"/>
      <c r="F166" s="31"/>
      <c r="G166" s="31"/>
      <c r="H166" s="28"/>
      <c r="P166" s="29"/>
    </row>
    <row r="167" spans="2:16" x14ac:dyDescent="0.2">
      <c r="B167" s="25"/>
      <c r="C167" s="29"/>
      <c r="D167" s="28"/>
      <c r="E167" s="28"/>
      <c r="F167" s="31"/>
      <c r="G167" s="31"/>
      <c r="H167" s="28"/>
      <c r="P167" s="29"/>
    </row>
    <row r="168" spans="2:16" x14ac:dyDescent="0.2">
      <c r="B168" s="25"/>
      <c r="C168" s="29"/>
      <c r="D168" s="28"/>
      <c r="E168" s="28"/>
      <c r="F168" s="31"/>
      <c r="G168" s="31"/>
      <c r="H168" s="28"/>
      <c r="P168" s="29"/>
    </row>
    <row r="169" spans="2:16" x14ac:dyDescent="0.2">
      <c r="B169" s="25"/>
      <c r="C169" s="29"/>
      <c r="D169" s="28"/>
      <c r="E169" s="28"/>
      <c r="F169" s="31"/>
      <c r="G169" s="31"/>
      <c r="H169" s="28"/>
      <c r="P169" s="29"/>
    </row>
    <row r="170" spans="2:16" x14ac:dyDescent="0.2">
      <c r="B170" s="25"/>
      <c r="C170" s="29"/>
      <c r="D170" s="28"/>
      <c r="E170" s="28"/>
      <c r="F170" s="31"/>
      <c r="G170" s="31"/>
      <c r="H170" s="28"/>
      <c r="P170" s="29"/>
    </row>
    <row r="171" spans="2:16" x14ac:dyDescent="0.2">
      <c r="B171" s="25"/>
      <c r="C171" s="29"/>
      <c r="D171" s="28"/>
      <c r="E171" s="28"/>
      <c r="F171" s="31"/>
      <c r="G171" s="31"/>
      <c r="H171" s="28"/>
      <c r="P171" s="29"/>
    </row>
    <row r="172" spans="2:16" x14ac:dyDescent="0.2">
      <c r="B172" s="25"/>
      <c r="C172" s="29"/>
      <c r="D172" s="28"/>
      <c r="E172" s="28"/>
      <c r="F172" s="31"/>
      <c r="G172" s="31"/>
      <c r="H172" s="28"/>
      <c r="P172" s="29"/>
    </row>
    <row r="173" spans="2:16" x14ac:dyDescent="0.2">
      <c r="B173" s="25"/>
      <c r="C173" s="29"/>
      <c r="D173" s="28"/>
      <c r="E173" s="28"/>
      <c r="F173" s="31"/>
      <c r="G173" s="31"/>
      <c r="H173" s="28"/>
      <c r="P173" s="29"/>
    </row>
    <row r="174" spans="2:16" x14ac:dyDescent="0.2">
      <c r="B174" s="25"/>
      <c r="C174" s="29"/>
      <c r="D174" s="28"/>
      <c r="E174" s="28"/>
      <c r="F174" s="31"/>
      <c r="G174" s="31"/>
      <c r="H174" s="28"/>
      <c r="P174" s="29"/>
    </row>
    <row r="175" spans="2:16" x14ac:dyDescent="0.2">
      <c r="B175" s="25"/>
      <c r="C175" s="29"/>
      <c r="D175" s="28"/>
      <c r="E175" s="28"/>
      <c r="F175" s="31"/>
      <c r="G175" s="31"/>
      <c r="H175" s="28"/>
      <c r="P175" s="29"/>
    </row>
    <row r="176" spans="2:16" x14ac:dyDescent="0.2">
      <c r="B176" s="25"/>
      <c r="C176" s="29"/>
      <c r="D176" s="28"/>
      <c r="E176" s="28"/>
      <c r="F176" s="31"/>
      <c r="G176" s="31"/>
      <c r="H176" s="28"/>
      <c r="P176" s="29"/>
    </row>
    <row r="177" spans="2:16" x14ac:dyDescent="0.2">
      <c r="B177" s="25"/>
      <c r="C177" s="29"/>
      <c r="D177" s="28"/>
      <c r="E177" s="28"/>
      <c r="F177" s="31"/>
      <c r="G177" s="31"/>
      <c r="H177" s="28"/>
      <c r="P177" s="29"/>
    </row>
    <row r="178" spans="2:16" x14ac:dyDescent="0.2">
      <c r="B178" s="25"/>
      <c r="C178" s="29"/>
      <c r="D178" s="28"/>
      <c r="E178" s="28"/>
      <c r="F178" s="31"/>
      <c r="G178" s="31"/>
      <c r="H178" s="28"/>
      <c r="P178" s="29"/>
    </row>
    <row r="179" spans="2:16" x14ac:dyDescent="0.2">
      <c r="B179" s="25"/>
      <c r="C179" s="29"/>
      <c r="D179" s="28"/>
      <c r="E179" s="28"/>
      <c r="F179" s="31"/>
      <c r="G179" s="31"/>
      <c r="H179" s="28"/>
    </row>
    <row r="180" spans="2:16" x14ac:dyDescent="0.2">
      <c r="B180" s="25"/>
      <c r="C180" s="29"/>
      <c r="D180" s="28"/>
      <c r="E180" s="28"/>
      <c r="F180" s="31"/>
      <c r="G180" s="31"/>
      <c r="H180" s="28"/>
    </row>
    <row r="181" spans="2:16" x14ac:dyDescent="0.2">
      <c r="B181" s="25"/>
      <c r="C181" s="29"/>
      <c r="D181" s="28"/>
      <c r="E181" s="28"/>
      <c r="F181" s="31"/>
      <c r="G181" s="31"/>
      <c r="H181" s="28"/>
    </row>
    <row r="182" spans="2:16" x14ac:dyDescent="0.2">
      <c r="B182" s="25"/>
      <c r="C182" s="29"/>
      <c r="D182" s="28"/>
      <c r="E182" s="28"/>
      <c r="F182" s="31"/>
      <c r="G182" s="31"/>
      <c r="H182" s="28"/>
    </row>
    <row r="183" spans="2:16" x14ac:dyDescent="0.2">
      <c r="B183" s="25"/>
      <c r="C183" s="29"/>
      <c r="D183" s="28"/>
      <c r="E183" s="28"/>
      <c r="F183" s="31"/>
      <c r="G183" s="31"/>
      <c r="H183" s="28"/>
    </row>
    <row r="184" spans="2:16" x14ac:dyDescent="0.2">
      <c r="B184" s="25"/>
      <c r="C184" s="29"/>
      <c r="D184" s="28"/>
      <c r="E184" s="28"/>
      <c r="F184" s="31"/>
      <c r="G184" s="31"/>
      <c r="H184" s="28"/>
    </row>
    <row r="185" spans="2:16" x14ac:dyDescent="0.2">
      <c r="B185" s="25"/>
      <c r="C185" s="29"/>
      <c r="D185" s="28"/>
      <c r="E185" s="28"/>
      <c r="F185" s="31"/>
      <c r="G185" s="31"/>
      <c r="H185" s="28"/>
    </row>
    <row r="186" spans="2:16" x14ac:dyDescent="0.2">
      <c r="B186" s="25"/>
      <c r="C186" s="29"/>
      <c r="D186" s="28"/>
      <c r="E186" s="28"/>
      <c r="F186" s="31"/>
      <c r="G186" s="31"/>
      <c r="H186" s="28"/>
    </row>
    <row r="187" spans="2:16" x14ac:dyDescent="0.2">
      <c r="B187" s="25"/>
      <c r="C187" s="29"/>
      <c r="D187" s="28"/>
      <c r="E187" s="28"/>
      <c r="F187" s="31"/>
      <c r="G187" s="31"/>
      <c r="H187" s="28"/>
    </row>
    <row r="188" spans="2:16" x14ac:dyDescent="0.2">
      <c r="B188" s="25"/>
      <c r="C188" s="29"/>
      <c r="D188" s="28"/>
      <c r="E188" s="28"/>
      <c r="F188" s="31"/>
      <c r="G188" s="31"/>
      <c r="H188" s="28"/>
    </row>
    <row r="189" spans="2:16" x14ac:dyDescent="0.2">
      <c r="B189" s="25"/>
      <c r="C189" s="29"/>
      <c r="D189" s="28"/>
      <c r="E189" s="28"/>
      <c r="F189" s="31"/>
      <c r="G189" s="31"/>
      <c r="H189" s="28"/>
    </row>
    <row r="190" spans="2:16" x14ac:dyDescent="0.2">
      <c r="B190" s="25"/>
      <c r="C190" s="29"/>
      <c r="D190" s="28"/>
      <c r="E190" s="28"/>
      <c r="F190" s="31"/>
      <c r="G190" s="31"/>
      <c r="H190" s="28"/>
    </row>
    <row r="191" spans="2:16" x14ac:dyDescent="0.2">
      <c r="B191" s="25"/>
      <c r="C191" s="29"/>
      <c r="D191" s="28"/>
      <c r="E191" s="28"/>
      <c r="F191" s="31"/>
      <c r="G191" s="31"/>
      <c r="H191" s="28"/>
    </row>
    <row r="192" spans="2:16" x14ac:dyDescent="0.2">
      <c r="B192" s="25"/>
      <c r="C192" s="29"/>
      <c r="D192" s="28"/>
      <c r="E192" s="28"/>
      <c r="F192" s="31"/>
      <c r="G192" s="31"/>
      <c r="H192" s="28"/>
    </row>
    <row r="193" spans="2:8" x14ac:dyDescent="0.2">
      <c r="B193" s="25"/>
      <c r="C193" s="29"/>
      <c r="D193" s="28"/>
      <c r="E193" s="28"/>
      <c r="F193" s="31"/>
      <c r="G193" s="31"/>
      <c r="H193" s="28"/>
    </row>
    <row r="194" spans="2:8" x14ac:dyDescent="0.2">
      <c r="B194" s="25"/>
      <c r="C194" s="29"/>
      <c r="D194" s="28"/>
      <c r="E194" s="28"/>
      <c r="F194" s="31"/>
      <c r="G194" s="31"/>
      <c r="H194" s="28"/>
    </row>
    <row r="195" spans="2:8" x14ac:dyDescent="0.2">
      <c r="B195" s="25"/>
      <c r="C195" s="29"/>
      <c r="D195" s="28"/>
      <c r="E195" s="28"/>
      <c r="F195" s="31"/>
      <c r="G195" s="31"/>
      <c r="H195" s="28"/>
    </row>
    <row r="196" spans="2:8" x14ac:dyDescent="0.2">
      <c r="B196" s="25"/>
      <c r="C196" s="29"/>
      <c r="D196" s="28"/>
      <c r="E196" s="28"/>
      <c r="F196" s="31"/>
      <c r="G196" s="31"/>
      <c r="H196" s="28"/>
    </row>
    <row r="197" spans="2:8" x14ac:dyDescent="0.2">
      <c r="B197" s="25"/>
      <c r="C197" s="29"/>
      <c r="D197" s="28"/>
      <c r="E197" s="28"/>
      <c r="F197" s="31"/>
      <c r="G197" s="31"/>
      <c r="H197" s="28"/>
    </row>
    <row r="198" spans="2:8" x14ac:dyDescent="0.2">
      <c r="B198" s="25"/>
      <c r="C198" s="29"/>
      <c r="D198" s="28"/>
      <c r="E198" s="28"/>
      <c r="F198" s="31"/>
      <c r="G198" s="31"/>
      <c r="H198" s="28"/>
    </row>
    <row r="199" spans="2:8" x14ac:dyDescent="0.2">
      <c r="B199" s="25"/>
      <c r="C199" s="29"/>
      <c r="D199" s="28"/>
      <c r="E199" s="28"/>
      <c r="F199" s="31"/>
      <c r="G199" s="31"/>
      <c r="H199" s="28"/>
    </row>
    <row r="200" spans="2:8" x14ac:dyDescent="0.2">
      <c r="B200" s="25"/>
      <c r="C200" s="29"/>
      <c r="D200" s="28"/>
      <c r="E200" s="28"/>
      <c r="F200" s="31"/>
      <c r="G200" s="31"/>
      <c r="H200" s="28"/>
    </row>
    <row r="201" spans="2:8" x14ac:dyDescent="0.2">
      <c r="B201" s="25"/>
      <c r="C201" s="29"/>
      <c r="D201" s="28"/>
      <c r="E201" s="28"/>
      <c r="F201" s="31"/>
      <c r="G201" s="31"/>
      <c r="H201" s="28"/>
    </row>
    <row r="202" spans="2:8" x14ac:dyDescent="0.2">
      <c r="B202" s="25"/>
      <c r="C202" s="29"/>
      <c r="D202" s="28"/>
      <c r="E202" s="28"/>
      <c r="F202" s="31"/>
      <c r="G202" s="31"/>
      <c r="H202" s="28"/>
    </row>
    <row r="203" spans="2:8" x14ac:dyDescent="0.2">
      <c r="B203" s="25"/>
      <c r="C203" s="29"/>
      <c r="D203" s="28"/>
      <c r="E203" s="28"/>
      <c r="F203" s="31"/>
      <c r="G203" s="31"/>
      <c r="H203" s="28"/>
    </row>
    <row r="204" spans="2:8" x14ac:dyDescent="0.2">
      <c r="B204" s="25"/>
      <c r="C204" s="29"/>
      <c r="D204" s="28"/>
      <c r="E204" s="28"/>
      <c r="F204" s="31"/>
      <c r="G204" s="31"/>
      <c r="H204" s="28"/>
    </row>
    <row r="205" spans="2:8" x14ac:dyDescent="0.2">
      <c r="B205" s="25"/>
      <c r="C205" s="29"/>
      <c r="D205" s="28"/>
      <c r="E205" s="28"/>
      <c r="F205" s="31"/>
      <c r="G205" s="31"/>
      <c r="H205" s="28"/>
    </row>
    <row r="206" spans="2:8" x14ac:dyDescent="0.2">
      <c r="B206" s="25"/>
      <c r="C206" s="29"/>
      <c r="D206" s="28"/>
      <c r="E206" s="28"/>
      <c r="F206" s="31"/>
      <c r="G206" s="31"/>
      <c r="H206" s="28"/>
    </row>
    <row r="207" spans="2:8" x14ac:dyDescent="0.2">
      <c r="B207" s="25"/>
      <c r="C207" s="29"/>
      <c r="D207" s="28"/>
      <c r="E207" s="28"/>
      <c r="F207" s="31"/>
      <c r="G207" s="31"/>
      <c r="H207" s="28"/>
    </row>
    <row r="208" spans="2:8" x14ac:dyDescent="0.2">
      <c r="B208" s="25"/>
      <c r="C208" s="29"/>
      <c r="D208" s="28"/>
      <c r="E208" s="28"/>
      <c r="F208" s="31"/>
      <c r="G208" s="31"/>
      <c r="H208" s="28"/>
    </row>
    <row r="209" spans="2:8" x14ac:dyDescent="0.2">
      <c r="B209" s="25"/>
      <c r="C209" s="29"/>
      <c r="D209" s="28"/>
      <c r="E209" s="28"/>
      <c r="F209" s="31"/>
      <c r="G209" s="31"/>
      <c r="H209" s="28"/>
    </row>
    <row r="210" spans="2:8" x14ac:dyDescent="0.2">
      <c r="B210" s="25"/>
      <c r="C210" s="29"/>
      <c r="D210" s="28"/>
      <c r="E210" s="28"/>
      <c r="F210" s="31"/>
      <c r="G210" s="31"/>
      <c r="H210" s="28"/>
    </row>
    <row r="211" spans="2:8" x14ac:dyDescent="0.2">
      <c r="B211" s="25"/>
      <c r="C211" s="29"/>
      <c r="D211" s="28"/>
      <c r="E211" s="28"/>
      <c r="F211" s="31"/>
      <c r="G211" s="31"/>
      <c r="H211" s="28"/>
    </row>
    <row r="212" spans="2:8" x14ac:dyDescent="0.2">
      <c r="B212" s="25"/>
      <c r="C212" s="29"/>
      <c r="D212" s="28"/>
      <c r="E212" s="28"/>
      <c r="F212" s="31"/>
      <c r="G212" s="31"/>
      <c r="H212" s="28"/>
    </row>
    <row r="213" spans="2:8" x14ac:dyDescent="0.2">
      <c r="B213" s="25"/>
      <c r="C213" s="29"/>
      <c r="D213" s="28"/>
      <c r="E213" s="28"/>
      <c r="F213" s="31"/>
      <c r="G213" s="31"/>
      <c r="H213" s="28"/>
    </row>
    <row r="214" spans="2:8" x14ac:dyDescent="0.2">
      <c r="B214" s="25"/>
      <c r="C214" s="29"/>
      <c r="D214" s="28"/>
      <c r="E214" s="28"/>
      <c r="F214" s="31"/>
      <c r="G214" s="31"/>
      <c r="H214" s="28"/>
    </row>
    <row r="215" spans="2:8" x14ac:dyDescent="0.2">
      <c r="B215" s="25"/>
      <c r="C215" s="29"/>
      <c r="D215" s="28"/>
      <c r="E215" s="28"/>
      <c r="F215" s="31"/>
      <c r="G215" s="31"/>
      <c r="H215" s="28"/>
    </row>
    <row r="216" spans="2:8" x14ac:dyDescent="0.2">
      <c r="B216" s="25"/>
      <c r="C216" s="29"/>
      <c r="D216" s="28"/>
      <c r="E216" s="28"/>
      <c r="F216" s="31"/>
      <c r="G216" s="31"/>
      <c r="H216" s="28"/>
    </row>
    <row r="217" spans="2:8" x14ac:dyDescent="0.2">
      <c r="B217" s="25"/>
      <c r="C217" s="29"/>
      <c r="D217" s="28"/>
      <c r="E217" s="28"/>
      <c r="F217" s="31"/>
      <c r="G217" s="31"/>
      <c r="H217" s="28"/>
    </row>
    <row r="218" spans="2:8" x14ac:dyDescent="0.2">
      <c r="B218" s="25"/>
      <c r="C218" s="29"/>
      <c r="D218" s="28"/>
      <c r="E218" s="28"/>
      <c r="F218" s="31"/>
      <c r="G218" s="31"/>
      <c r="H218" s="28"/>
    </row>
    <row r="219" spans="2:8" x14ac:dyDescent="0.2">
      <c r="B219" s="25"/>
      <c r="C219" s="29"/>
      <c r="D219" s="28"/>
      <c r="E219" s="28"/>
      <c r="F219" s="31"/>
      <c r="G219" s="31"/>
      <c r="H219" s="28"/>
    </row>
    <row r="220" spans="2:8" x14ac:dyDescent="0.2">
      <c r="B220" s="25"/>
      <c r="C220" s="29"/>
      <c r="D220" s="28"/>
      <c r="E220" s="28"/>
      <c r="F220" s="31"/>
      <c r="G220" s="31"/>
      <c r="H220" s="28"/>
    </row>
    <row r="221" spans="2:8" x14ac:dyDescent="0.2">
      <c r="B221" s="25"/>
      <c r="C221" s="29"/>
      <c r="D221" s="28"/>
      <c r="E221" s="28"/>
      <c r="F221" s="31"/>
      <c r="G221" s="31"/>
      <c r="H221" s="28"/>
    </row>
    <row r="222" spans="2:8" x14ac:dyDescent="0.2">
      <c r="B222" s="25"/>
      <c r="C222" s="29"/>
      <c r="D222" s="28"/>
      <c r="E222" s="28"/>
      <c r="F222" s="31"/>
      <c r="G222" s="31"/>
      <c r="H222" s="28"/>
    </row>
    <row r="223" spans="2:8" x14ac:dyDescent="0.2">
      <c r="B223" s="25"/>
      <c r="C223" s="29"/>
      <c r="D223" s="28"/>
      <c r="E223" s="28"/>
      <c r="F223" s="31"/>
      <c r="G223" s="31"/>
      <c r="H223" s="28"/>
    </row>
    <row r="224" spans="2:8" x14ac:dyDescent="0.2">
      <c r="B224" s="25"/>
      <c r="C224" s="29"/>
      <c r="D224" s="28"/>
      <c r="E224" s="28"/>
      <c r="F224" s="31"/>
      <c r="G224" s="31"/>
      <c r="H224" s="28"/>
    </row>
    <row r="225" spans="2:8" x14ac:dyDescent="0.2">
      <c r="B225" s="25"/>
      <c r="C225" s="29"/>
      <c r="D225" s="28"/>
      <c r="E225" s="28"/>
      <c r="F225" s="31"/>
      <c r="G225" s="31"/>
      <c r="H225" s="28"/>
    </row>
    <row r="226" spans="2:8" x14ac:dyDescent="0.2">
      <c r="B226" s="25"/>
      <c r="C226" s="29"/>
      <c r="D226" s="28"/>
      <c r="E226" s="28"/>
      <c r="F226" s="31"/>
      <c r="G226" s="31"/>
      <c r="H226" s="28"/>
    </row>
    <row r="227" spans="2:8" x14ac:dyDescent="0.2">
      <c r="B227" s="25"/>
      <c r="C227" s="29"/>
      <c r="D227" s="28"/>
      <c r="E227" s="28"/>
      <c r="F227" s="31"/>
      <c r="G227" s="31"/>
      <c r="H227" s="28"/>
    </row>
    <row r="228" spans="2:8" x14ac:dyDescent="0.2">
      <c r="B228" s="25"/>
      <c r="C228" s="29"/>
      <c r="D228" s="28"/>
      <c r="E228" s="28"/>
      <c r="F228" s="31"/>
      <c r="G228" s="31"/>
      <c r="H228" s="28"/>
    </row>
    <row r="229" spans="2:8" x14ac:dyDescent="0.2">
      <c r="B229" s="25"/>
      <c r="C229" s="29"/>
      <c r="D229" s="28"/>
      <c r="E229" s="28"/>
      <c r="F229" s="31"/>
      <c r="G229" s="31"/>
      <c r="H229" s="28"/>
    </row>
    <row r="230" spans="2:8" x14ac:dyDescent="0.2">
      <c r="B230" s="25"/>
      <c r="C230" s="29"/>
      <c r="D230" s="28"/>
      <c r="E230" s="28"/>
      <c r="F230" s="31"/>
      <c r="G230" s="31"/>
      <c r="H230" s="28"/>
    </row>
    <row r="231" spans="2:8" x14ac:dyDescent="0.2">
      <c r="B231" s="25"/>
      <c r="C231" s="29"/>
      <c r="D231" s="28"/>
      <c r="E231" s="28"/>
      <c r="F231" s="31"/>
      <c r="G231" s="31"/>
      <c r="H231" s="28"/>
    </row>
    <row r="232" spans="2:8" x14ac:dyDescent="0.2">
      <c r="B232" s="25"/>
      <c r="C232" s="29"/>
      <c r="D232" s="28"/>
      <c r="E232" s="28"/>
      <c r="F232" s="31"/>
      <c r="G232" s="31"/>
      <c r="H232" s="28"/>
    </row>
    <row r="233" spans="2:8" x14ac:dyDescent="0.2">
      <c r="B233" s="25"/>
      <c r="C233" s="29"/>
      <c r="D233" s="28"/>
      <c r="E233" s="28"/>
      <c r="F233" s="31"/>
      <c r="G233" s="31"/>
      <c r="H233" s="28"/>
    </row>
    <row r="234" spans="2:8" x14ac:dyDescent="0.2">
      <c r="B234" s="25"/>
      <c r="C234" s="29"/>
      <c r="D234" s="28"/>
      <c r="E234" s="28"/>
      <c r="F234" s="31"/>
      <c r="G234" s="31"/>
      <c r="H234" s="28"/>
    </row>
    <row r="235" spans="2:8" x14ac:dyDescent="0.2">
      <c r="B235" s="25"/>
      <c r="C235" s="29"/>
      <c r="D235" s="28"/>
      <c r="E235" s="28"/>
      <c r="F235" s="31"/>
      <c r="G235" s="31"/>
      <c r="H235" s="28"/>
    </row>
    <row r="236" spans="2:8" x14ac:dyDescent="0.2">
      <c r="B236" s="25"/>
      <c r="C236" s="29"/>
      <c r="D236" s="28"/>
      <c r="E236" s="28"/>
      <c r="F236" s="31"/>
      <c r="G236" s="31"/>
      <c r="H236" s="28"/>
    </row>
    <row r="237" spans="2:8" x14ac:dyDescent="0.2">
      <c r="B237" s="25"/>
      <c r="C237" s="29"/>
      <c r="D237" s="28"/>
      <c r="E237" s="28"/>
      <c r="F237" s="31"/>
      <c r="G237" s="31"/>
      <c r="H237" s="28"/>
    </row>
    <row r="238" spans="2:8" x14ac:dyDescent="0.2">
      <c r="B238" s="25"/>
      <c r="C238" s="29"/>
      <c r="D238" s="28"/>
      <c r="E238" s="28"/>
      <c r="F238" s="31"/>
      <c r="G238" s="31"/>
      <c r="H238" s="28"/>
    </row>
    <row r="239" spans="2:8" x14ac:dyDescent="0.2">
      <c r="B239" s="25"/>
      <c r="C239" s="29"/>
      <c r="D239" s="28"/>
      <c r="E239" s="28"/>
      <c r="F239" s="31"/>
      <c r="G239" s="31"/>
      <c r="H239" s="28"/>
    </row>
    <row r="240" spans="2:8" x14ac:dyDescent="0.2">
      <c r="B240" s="25"/>
      <c r="C240" s="29"/>
      <c r="D240" s="28"/>
      <c r="E240" s="28"/>
      <c r="F240" s="31"/>
      <c r="G240" s="31"/>
      <c r="H240" s="28"/>
    </row>
    <row r="241" spans="2:8" x14ac:dyDescent="0.2">
      <c r="B241" s="25"/>
      <c r="C241" s="29"/>
      <c r="D241" s="28"/>
      <c r="E241" s="28"/>
      <c r="F241" s="31"/>
      <c r="G241" s="31"/>
      <c r="H241" s="28"/>
    </row>
    <row r="242" spans="2:8" x14ac:dyDescent="0.2">
      <c r="B242" s="25"/>
      <c r="C242" s="29"/>
      <c r="D242" s="28"/>
      <c r="E242" s="28"/>
      <c r="F242" s="31"/>
      <c r="G242" s="31"/>
      <c r="H242" s="28"/>
    </row>
    <row r="243" spans="2:8" x14ac:dyDescent="0.2">
      <c r="B243" s="25"/>
      <c r="C243" s="29"/>
      <c r="D243" s="28"/>
      <c r="E243" s="28"/>
      <c r="F243" s="31"/>
      <c r="G243" s="31"/>
      <c r="H243" s="28"/>
    </row>
    <row r="244" spans="2:8" x14ac:dyDescent="0.2">
      <c r="B244" s="25"/>
      <c r="C244" s="29"/>
      <c r="D244" s="28"/>
      <c r="E244" s="28"/>
      <c r="F244" s="31"/>
      <c r="G244" s="31"/>
      <c r="H244" s="28"/>
    </row>
    <row r="245" spans="2:8" x14ac:dyDescent="0.2">
      <c r="B245" s="25"/>
      <c r="C245" s="29"/>
      <c r="D245" s="28"/>
      <c r="E245" s="28"/>
      <c r="F245" s="31"/>
      <c r="G245" s="31"/>
      <c r="H245" s="28"/>
    </row>
    <row r="246" spans="2:8" x14ac:dyDescent="0.2">
      <c r="B246" s="25"/>
      <c r="C246" s="29"/>
      <c r="D246" s="28"/>
      <c r="E246" s="28"/>
      <c r="F246" s="31"/>
      <c r="G246" s="31"/>
      <c r="H246" s="28"/>
    </row>
    <row r="247" spans="2:8" x14ac:dyDescent="0.2">
      <c r="B247" s="25"/>
      <c r="C247" s="29"/>
      <c r="D247" s="28"/>
      <c r="E247" s="28"/>
      <c r="F247" s="31"/>
      <c r="G247" s="31"/>
      <c r="H247" s="28"/>
    </row>
    <row r="248" spans="2:8" x14ac:dyDescent="0.2">
      <c r="B248" s="25"/>
      <c r="C248" s="29"/>
      <c r="D248" s="28"/>
      <c r="E248" s="28"/>
      <c r="F248" s="31"/>
      <c r="G248" s="31"/>
      <c r="H248" s="28"/>
    </row>
    <row r="249" spans="2:8" x14ac:dyDescent="0.2">
      <c r="B249" s="25"/>
      <c r="C249" s="29"/>
      <c r="D249" s="28"/>
      <c r="E249" s="28"/>
      <c r="F249" s="31"/>
      <c r="G249" s="31"/>
      <c r="H249" s="28"/>
    </row>
    <row r="250" spans="2:8" x14ac:dyDescent="0.2">
      <c r="B250" s="25"/>
      <c r="C250" s="29"/>
      <c r="D250" s="28"/>
      <c r="E250" s="28"/>
      <c r="F250" s="31"/>
      <c r="G250" s="31"/>
      <c r="H250" s="28"/>
    </row>
    <row r="251" spans="2:8" x14ac:dyDescent="0.2">
      <c r="B251" s="25"/>
      <c r="C251" s="29"/>
      <c r="D251" s="28"/>
      <c r="E251" s="28"/>
      <c r="F251" s="31"/>
      <c r="G251" s="31"/>
      <c r="H251" s="28"/>
    </row>
    <row r="252" spans="2:8" x14ac:dyDescent="0.2">
      <c r="B252" s="25"/>
      <c r="C252" s="29"/>
      <c r="D252" s="28"/>
      <c r="E252" s="28"/>
      <c r="F252" s="31"/>
      <c r="G252" s="31"/>
      <c r="H252" s="28"/>
    </row>
    <row r="253" spans="2:8" x14ac:dyDescent="0.2">
      <c r="B253" s="25"/>
      <c r="C253" s="29"/>
      <c r="D253" s="28"/>
      <c r="E253" s="28"/>
      <c r="F253" s="31"/>
      <c r="G253" s="31"/>
      <c r="H253" s="28"/>
    </row>
  </sheetData>
  <autoFilter ref="A1:L253" xr:uid="{EACFE543-FF2B-0B4A-AC58-432810FDE959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F56E-E9D9-F34F-AB6B-BA5262DDDE04}">
  <dimension ref="A1:H819"/>
  <sheetViews>
    <sheetView workbookViewId="0">
      <selection sqref="A1:H1"/>
    </sheetView>
  </sheetViews>
  <sheetFormatPr baseColWidth="10" defaultRowHeight="16" x14ac:dyDescent="0.2"/>
  <cols>
    <col min="7" max="8" width="10.83203125" style="35"/>
  </cols>
  <sheetData>
    <row r="1" spans="1:8" s="1" customFormat="1" x14ac:dyDescent="0.2">
      <c r="A1" s="1" t="s">
        <v>0</v>
      </c>
      <c r="B1" s="1" t="s">
        <v>17</v>
      </c>
      <c r="C1" s="32" t="s">
        <v>38</v>
      </c>
      <c r="D1" s="32" t="s">
        <v>5</v>
      </c>
      <c r="E1" s="32" t="s">
        <v>4</v>
      </c>
      <c r="F1" s="32" t="s">
        <v>6</v>
      </c>
      <c r="G1" s="34" t="s">
        <v>56</v>
      </c>
      <c r="H1" s="34" t="s">
        <v>57</v>
      </c>
    </row>
    <row r="2" spans="1:8" x14ac:dyDescent="0.2">
      <c r="A2" s="25" t="str">
        <f>IF(F2&lt;3, "26/04/2025", "01/04/2025")</f>
        <v>26/04/2025</v>
      </c>
      <c r="B2" t="str">
        <f>IF(F2&lt;3, "D", "E")</f>
        <v>D</v>
      </c>
      <c r="C2">
        <v>1</v>
      </c>
      <c r="D2" t="s">
        <v>11</v>
      </c>
      <c r="E2">
        <v>1</v>
      </c>
      <c r="F2">
        <v>1</v>
      </c>
      <c r="G2">
        <v>3.4430000000000001</v>
      </c>
      <c r="H2">
        <v>2.5529999999999999</v>
      </c>
    </row>
    <row r="3" spans="1:8" x14ac:dyDescent="0.2">
      <c r="A3" s="25" t="str">
        <f t="shared" ref="A3:A66" si="0">IF(F3&lt;3, "26/04/2025", "01/04/2025")</f>
        <v>26/04/2025</v>
      </c>
      <c r="B3" t="str">
        <f t="shared" ref="B3:B66" si="1">IF(F3&lt;3, "D", "E")</f>
        <v>D</v>
      </c>
      <c r="C3">
        <v>2</v>
      </c>
      <c r="D3" t="s">
        <v>11</v>
      </c>
      <c r="E3">
        <v>1</v>
      </c>
      <c r="F3">
        <v>1</v>
      </c>
      <c r="G3">
        <v>3.641</v>
      </c>
      <c r="H3">
        <v>2.948</v>
      </c>
    </row>
    <row r="4" spans="1:8" x14ac:dyDescent="0.2">
      <c r="A4" s="25" t="str">
        <f t="shared" si="0"/>
        <v>26/04/2025</v>
      </c>
      <c r="B4" t="str">
        <f t="shared" si="1"/>
        <v>D</v>
      </c>
      <c r="C4">
        <v>3</v>
      </c>
      <c r="D4" t="s">
        <v>11</v>
      </c>
      <c r="E4">
        <v>1</v>
      </c>
      <c r="F4">
        <v>1</v>
      </c>
      <c r="G4">
        <v>3.3050000000000002</v>
      </c>
      <c r="H4">
        <v>2.677</v>
      </c>
    </row>
    <row r="5" spans="1:8" x14ac:dyDescent="0.2">
      <c r="A5" s="25" t="str">
        <f t="shared" si="0"/>
        <v>26/04/2025</v>
      </c>
      <c r="B5" t="str">
        <f t="shared" si="1"/>
        <v>D</v>
      </c>
      <c r="C5">
        <v>4</v>
      </c>
      <c r="D5" t="s">
        <v>11</v>
      </c>
      <c r="E5">
        <v>1</v>
      </c>
      <c r="F5">
        <v>1</v>
      </c>
      <c r="G5">
        <v>3.1890000000000001</v>
      </c>
      <c r="H5">
        <v>2.7250000000000001</v>
      </c>
    </row>
    <row r="6" spans="1:8" x14ac:dyDescent="0.2">
      <c r="A6" s="25" t="str">
        <f t="shared" si="0"/>
        <v>26/04/2025</v>
      </c>
      <c r="B6" t="str">
        <f t="shared" si="1"/>
        <v>D</v>
      </c>
      <c r="C6">
        <v>5</v>
      </c>
      <c r="D6" t="s">
        <v>11</v>
      </c>
      <c r="E6">
        <v>1</v>
      </c>
      <c r="F6">
        <v>1</v>
      </c>
      <c r="G6">
        <v>3.097</v>
      </c>
      <c r="H6">
        <v>2.399</v>
      </c>
    </row>
    <row r="7" spans="1:8" x14ac:dyDescent="0.2">
      <c r="A7" s="25" t="str">
        <f t="shared" si="0"/>
        <v>26/04/2025</v>
      </c>
      <c r="B7" t="str">
        <f t="shared" si="1"/>
        <v>D</v>
      </c>
      <c r="C7">
        <v>6</v>
      </c>
      <c r="D7" t="s">
        <v>11</v>
      </c>
      <c r="E7">
        <v>1</v>
      </c>
      <c r="F7">
        <v>1</v>
      </c>
      <c r="G7">
        <v>3.629</v>
      </c>
      <c r="H7">
        <v>2.516</v>
      </c>
    </row>
    <row r="8" spans="1:8" x14ac:dyDescent="0.2">
      <c r="A8" s="25" t="str">
        <f t="shared" si="0"/>
        <v>26/04/2025</v>
      </c>
      <c r="B8" t="str">
        <f t="shared" si="1"/>
        <v>D</v>
      </c>
      <c r="C8">
        <v>7</v>
      </c>
      <c r="D8" t="s">
        <v>11</v>
      </c>
      <c r="E8">
        <v>1</v>
      </c>
      <c r="F8">
        <v>1</v>
      </c>
      <c r="G8">
        <v>3.113</v>
      </c>
      <c r="H8">
        <v>2.492</v>
      </c>
    </row>
    <row r="9" spans="1:8" x14ac:dyDescent="0.2">
      <c r="A9" s="25" t="str">
        <f t="shared" si="0"/>
        <v>26/04/2025</v>
      </c>
      <c r="B9" t="str">
        <f t="shared" si="1"/>
        <v>D</v>
      </c>
      <c r="C9">
        <v>8</v>
      </c>
      <c r="D9" t="s">
        <v>11</v>
      </c>
      <c r="E9">
        <v>1</v>
      </c>
      <c r="F9">
        <v>1</v>
      </c>
      <c r="G9">
        <v>3.6909999999999998</v>
      </c>
      <c r="H9">
        <v>2.847</v>
      </c>
    </row>
    <row r="10" spans="1:8" x14ac:dyDescent="0.2">
      <c r="A10" s="25" t="str">
        <f t="shared" si="0"/>
        <v>26/04/2025</v>
      </c>
      <c r="B10" t="str">
        <f t="shared" si="1"/>
        <v>D</v>
      </c>
      <c r="C10">
        <v>9</v>
      </c>
      <c r="D10" t="s">
        <v>11</v>
      </c>
      <c r="E10">
        <v>1</v>
      </c>
      <c r="F10">
        <v>1</v>
      </c>
      <c r="G10">
        <v>3.0329999999999999</v>
      </c>
      <c r="H10">
        <v>2.379</v>
      </c>
    </row>
    <row r="11" spans="1:8" x14ac:dyDescent="0.2">
      <c r="A11" s="25" t="str">
        <f t="shared" si="0"/>
        <v>26/04/2025</v>
      </c>
      <c r="B11" t="str">
        <f t="shared" si="1"/>
        <v>D</v>
      </c>
      <c r="C11">
        <v>10</v>
      </c>
      <c r="D11" t="s">
        <v>11</v>
      </c>
      <c r="E11">
        <v>1</v>
      </c>
      <c r="F11">
        <v>1</v>
      </c>
      <c r="G11">
        <v>3.4510000000000001</v>
      </c>
      <c r="H11">
        <v>2.734</v>
      </c>
    </row>
    <row r="12" spans="1:8" x14ac:dyDescent="0.2">
      <c r="A12" s="25" t="str">
        <f t="shared" si="0"/>
        <v>26/04/2025</v>
      </c>
      <c r="B12" t="str">
        <f t="shared" si="1"/>
        <v>D</v>
      </c>
      <c r="C12">
        <v>11</v>
      </c>
      <c r="D12" t="s">
        <v>11</v>
      </c>
      <c r="E12">
        <v>1</v>
      </c>
      <c r="F12">
        <v>1</v>
      </c>
      <c r="G12">
        <v>2.8</v>
      </c>
      <c r="H12">
        <v>2.4969999999999999</v>
      </c>
    </row>
    <row r="13" spans="1:8" x14ac:dyDescent="0.2">
      <c r="A13" s="25" t="str">
        <f t="shared" si="0"/>
        <v>26/04/2025</v>
      </c>
      <c r="B13" t="str">
        <f t="shared" si="1"/>
        <v>D</v>
      </c>
      <c r="C13">
        <v>12</v>
      </c>
      <c r="D13" t="s">
        <v>11</v>
      </c>
      <c r="E13">
        <v>1</v>
      </c>
      <c r="F13">
        <v>1</v>
      </c>
      <c r="G13">
        <v>3.2309999999999999</v>
      </c>
      <c r="H13">
        <v>2.5680000000000001</v>
      </c>
    </row>
    <row r="14" spans="1:8" x14ac:dyDescent="0.2">
      <c r="A14" s="25" t="str">
        <f t="shared" si="0"/>
        <v>26/04/2025</v>
      </c>
      <c r="B14" t="str">
        <f t="shared" si="1"/>
        <v>D</v>
      </c>
      <c r="C14">
        <v>13</v>
      </c>
      <c r="D14" t="s">
        <v>11</v>
      </c>
      <c r="E14">
        <v>1</v>
      </c>
      <c r="F14">
        <v>1</v>
      </c>
      <c r="G14">
        <v>3.0350000000000001</v>
      </c>
      <c r="H14">
        <v>2.234</v>
      </c>
    </row>
    <row r="15" spans="1:8" x14ac:dyDescent="0.2">
      <c r="A15" s="25" t="str">
        <f t="shared" si="0"/>
        <v>26/04/2025</v>
      </c>
      <c r="B15" t="str">
        <f t="shared" si="1"/>
        <v>D</v>
      </c>
      <c r="C15">
        <v>14</v>
      </c>
      <c r="D15" t="s">
        <v>11</v>
      </c>
      <c r="E15">
        <v>1</v>
      </c>
      <c r="F15">
        <v>1</v>
      </c>
      <c r="G15">
        <v>3.05</v>
      </c>
      <c r="H15">
        <v>2.403</v>
      </c>
    </row>
    <row r="16" spans="1:8" x14ac:dyDescent="0.2">
      <c r="A16" s="25" t="str">
        <f t="shared" si="0"/>
        <v>26/04/2025</v>
      </c>
      <c r="B16" t="str">
        <f t="shared" si="1"/>
        <v>D</v>
      </c>
      <c r="C16">
        <v>15</v>
      </c>
      <c r="D16" t="s">
        <v>11</v>
      </c>
      <c r="E16">
        <v>1</v>
      </c>
      <c r="F16">
        <v>1</v>
      </c>
      <c r="G16">
        <v>3.3570000000000002</v>
      </c>
      <c r="H16">
        <v>2.786</v>
      </c>
    </row>
    <row r="17" spans="1:8" x14ac:dyDescent="0.2">
      <c r="A17" s="25" t="str">
        <f t="shared" si="0"/>
        <v>26/04/2025</v>
      </c>
      <c r="B17" t="str">
        <f t="shared" si="1"/>
        <v>D</v>
      </c>
      <c r="C17">
        <v>16</v>
      </c>
      <c r="D17" t="s">
        <v>11</v>
      </c>
      <c r="E17">
        <v>1</v>
      </c>
      <c r="F17">
        <v>1</v>
      </c>
      <c r="G17">
        <v>3.1989999999999998</v>
      </c>
      <c r="H17">
        <v>2.3239999999999998</v>
      </c>
    </row>
    <row r="18" spans="1:8" x14ac:dyDescent="0.2">
      <c r="A18" s="25" t="str">
        <f t="shared" si="0"/>
        <v>26/04/2025</v>
      </c>
      <c r="B18" t="str">
        <f t="shared" si="1"/>
        <v>D</v>
      </c>
      <c r="C18">
        <v>17</v>
      </c>
      <c r="D18" t="s">
        <v>11</v>
      </c>
      <c r="E18">
        <v>1</v>
      </c>
      <c r="F18">
        <v>1</v>
      </c>
      <c r="G18">
        <v>3.2370000000000001</v>
      </c>
      <c r="H18">
        <v>2.4649999999999999</v>
      </c>
    </row>
    <row r="19" spans="1:8" x14ac:dyDescent="0.2">
      <c r="A19" s="25" t="str">
        <f t="shared" si="0"/>
        <v>26/04/2025</v>
      </c>
      <c r="B19" t="str">
        <f t="shared" si="1"/>
        <v>D</v>
      </c>
      <c r="C19">
        <v>18</v>
      </c>
      <c r="D19" t="s">
        <v>11</v>
      </c>
      <c r="E19">
        <v>1</v>
      </c>
      <c r="F19">
        <v>1</v>
      </c>
      <c r="G19">
        <v>3.3839999999999999</v>
      </c>
      <c r="H19">
        <v>2.5169999999999999</v>
      </c>
    </row>
    <row r="20" spans="1:8" x14ac:dyDescent="0.2">
      <c r="A20" s="25" t="str">
        <f t="shared" si="0"/>
        <v>26/04/2025</v>
      </c>
      <c r="B20" t="str">
        <f t="shared" si="1"/>
        <v>D</v>
      </c>
      <c r="C20">
        <v>19</v>
      </c>
      <c r="D20" t="s">
        <v>11</v>
      </c>
      <c r="E20">
        <v>1</v>
      </c>
      <c r="F20">
        <v>1</v>
      </c>
      <c r="G20">
        <v>2.3410000000000002</v>
      </c>
      <c r="H20">
        <v>2.8119999999999998</v>
      </c>
    </row>
    <row r="21" spans="1:8" x14ac:dyDescent="0.2">
      <c r="A21" s="25" t="str">
        <f t="shared" si="0"/>
        <v>26/04/2025</v>
      </c>
      <c r="B21" t="str">
        <f t="shared" si="1"/>
        <v>D</v>
      </c>
      <c r="C21">
        <v>20</v>
      </c>
      <c r="D21" t="s">
        <v>11</v>
      </c>
      <c r="E21">
        <v>1</v>
      </c>
      <c r="F21">
        <v>2</v>
      </c>
      <c r="G21">
        <v>3.5489999999999999</v>
      </c>
      <c r="H21">
        <v>2.8370000000000002</v>
      </c>
    </row>
    <row r="22" spans="1:8" x14ac:dyDescent="0.2">
      <c r="A22" s="25" t="str">
        <f t="shared" si="0"/>
        <v>26/04/2025</v>
      </c>
      <c r="B22" t="str">
        <f t="shared" si="1"/>
        <v>D</v>
      </c>
      <c r="C22">
        <v>21</v>
      </c>
      <c r="D22" t="s">
        <v>11</v>
      </c>
      <c r="E22">
        <v>1</v>
      </c>
      <c r="F22">
        <v>2</v>
      </c>
      <c r="G22">
        <v>3.2109999999999999</v>
      </c>
      <c r="H22">
        <v>2.7</v>
      </c>
    </row>
    <row r="23" spans="1:8" x14ac:dyDescent="0.2">
      <c r="A23" s="25" t="str">
        <f t="shared" si="0"/>
        <v>26/04/2025</v>
      </c>
      <c r="B23" t="str">
        <f t="shared" si="1"/>
        <v>D</v>
      </c>
      <c r="C23">
        <v>22</v>
      </c>
      <c r="D23" t="s">
        <v>11</v>
      </c>
      <c r="E23">
        <v>1</v>
      </c>
      <c r="F23">
        <v>2</v>
      </c>
      <c r="G23">
        <v>3.3690000000000002</v>
      </c>
      <c r="H23">
        <v>2.488</v>
      </c>
    </row>
    <row r="24" spans="1:8" x14ac:dyDescent="0.2">
      <c r="A24" s="25" t="str">
        <f t="shared" si="0"/>
        <v>26/04/2025</v>
      </c>
      <c r="B24" t="str">
        <f t="shared" si="1"/>
        <v>D</v>
      </c>
      <c r="C24">
        <v>23</v>
      </c>
      <c r="D24" t="s">
        <v>11</v>
      </c>
      <c r="E24">
        <v>1</v>
      </c>
      <c r="F24">
        <v>2</v>
      </c>
      <c r="G24">
        <v>4.1710000000000003</v>
      </c>
      <c r="H24">
        <v>3.036</v>
      </c>
    </row>
    <row r="25" spans="1:8" x14ac:dyDescent="0.2">
      <c r="A25" s="25" t="str">
        <f t="shared" si="0"/>
        <v>26/04/2025</v>
      </c>
      <c r="B25" t="str">
        <f t="shared" si="1"/>
        <v>D</v>
      </c>
      <c r="C25">
        <v>24</v>
      </c>
      <c r="D25" t="s">
        <v>11</v>
      </c>
      <c r="E25">
        <v>1</v>
      </c>
      <c r="F25">
        <v>2</v>
      </c>
      <c r="G25">
        <v>3.6669999999999998</v>
      </c>
      <c r="H25">
        <v>2.7930000000000001</v>
      </c>
    </row>
    <row r="26" spans="1:8" x14ac:dyDescent="0.2">
      <c r="A26" s="25" t="str">
        <f t="shared" si="0"/>
        <v>26/04/2025</v>
      </c>
      <c r="B26" t="str">
        <f t="shared" si="1"/>
        <v>D</v>
      </c>
      <c r="C26">
        <v>25</v>
      </c>
      <c r="D26" t="s">
        <v>11</v>
      </c>
      <c r="E26">
        <v>1</v>
      </c>
      <c r="F26">
        <v>2</v>
      </c>
      <c r="G26">
        <v>3.1859999999999999</v>
      </c>
      <c r="H26">
        <v>2.5569999999999999</v>
      </c>
    </row>
    <row r="27" spans="1:8" x14ac:dyDescent="0.2">
      <c r="A27" s="25" t="str">
        <f t="shared" si="0"/>
        <v>26/04/2025</v>
      </c>
      <c r="B27" t="str">
        <f t="shared" si="1"/>
        <v>D</v>
      </c>
      <c r="C27">
        <v>26</v>
      </c>
      <c r="D27" t="s">
        <v>11</v>
      </c>
      <c r="E27">
        <v>1</v>
      </c>
      <c r="F27">
        <v>2</v>
      </c>
      <c r="G27">
        <v>3.1619999999999999</v>
      </c>
      <c r="H27">
        <v>2.581</v>
      </c>
    </row>
    <row r="28" spans="1:8" x14ac:dyDescent="0.2">
      <c r="A28" s="25" t="str">
        <f t="shared" si="0"/>
        <v>26/04/2025</v>
      </c>
      <c r="B28" t="str">
        <f t="shared" si="1"/>
        <v>D</v>
      </c>
      <c r="C28">
        <v>27</v>
      </c>
      <c r="D28" t="s">
        <v>11</v>
      </c>
      <c r="E28">
        <v>1</v>
      </c>
      <c r="F28">
        <v>2</v>
      </c>
      <c r="G28">
        <v>3.4369999999999998</v>
      </c>
      <c r="H28">
        <v>2.5</v>
      </c>
    </row>
    <row r="29" spans="1:8" x14ac:dyDescent="0.2">
      <c r="A29" s="25" t="str">
        <f t="shared" si="0"/>
        <v>26/04/2025</v>
      </c>
      <c r="B29" t="str">
        <f t="shared" si="1"/>
        <v>D</v>
      </c>
      <c r="C29">
        <v>28</v>
      </c>
      <c r="D29" t="s">
        <v>11</v>
      </c>
      <c r="E29">
        <v>1</v>
      </c>
      <c r="F29">
        <v>2</v>
      </c>
      <c r="G29">
        <v>3.47</v>
      </c>
      <c r="H29">
        <v>2.66</v>
      </c>
    </row>
    <row r="30" spans="1:8" x14ac:dyDescent="0.2">
      <c r="A30" s="25" t="str">
        <f t="shared" si="0"/>
        <v>26/04/2025</v>
      </c>
      <c r="B30" t="str">
        <f t="shared" si="1"/>
        <v>D</v>
      </c>
      <c r="C30">
        <v>29</v>
      </c>
      <c r="D30" t="s">
        <v>11</v>
      </c>
      <c r="E30">
        <v>1</v>
      </c>
      <c r="F30">
        <v>2</v>
      </c>
      <c r="G30">
        <v>3.6560000000000001</v>
      </c>
      <c r="H30">
        <v>2.8540000000000001</v>
      </c>
    </row>
    <row r="31" spans="1:8" x14ac:dyDescent="0.2">
      <c r="A31" s="25" t="str">
        <f t="shared" si="0"/>
        <v>01/04/2025</v>
      </c>
      <c r="B31" t="str">
        <f t="shared" si="1"/>
        <v>E</v>
      </c>
      <c r="C31">
        <v>30</v>
      </c>
      <c r="D31" t="s">
        <v>11</v>
      </c>
      <c r="E31">
        <v>1</v>
      </c>
      <c r="F31">
        <v>3</v>
      </c>
      <c r="G31">
        <v>3.1070000000000002</v>
      </c>
      <c r="H31">
        <v>2.62</v>
      </c>
    </row>
    <row r="32" spans="1:8" x14ac:dyDescent="0.2">
      <c r="A32" s="25" t="str">
        <f t="shared" si="0"/>
        <v>01/04/2025</v>
      </c>
      <c r="B32" t="str">
        <f t="shared" si="1"/>
        <v>E</v>
      </c>
      <c r="C32">
        <v>31</v>
      </c>
      <c r="D32" t="s">
        <v>11</v>
      </c>
      <c r="E32">
        <v>1</v>
      </c>
      <c r="F32">
        <v>3</v>
      </c>
      <c r="G32">
        <v>3.0270000000000001</v>
      </c>
      <c r="H32">
        <v>2.3170000000000002</v>
      </c>
    </row>
    <row r="33" spans="1:8" x14ac:dyDescent="0.2">
      <c r="A33" s="25" t="str">
        <f t="shared" si="0"/>
        <v>01/04/2025</v>
      </c>
      <c r="B33" t="str">
        <f t="shared" si="1"/>
        <v>E</v>
      </c>
      <c r="C33">
        <v>32</v>
      </c>
      <c r="D33" t="s">
        <v>11</v>
      </c>
      <c r="E33">
        <v>1</v>
      </c>
      <c r="F33">
        <v>3</v>
      </c>
      <c r="G33">
        <v>3.4020000000000001</v>
      </c>
      <c r="H33">
        <v>2.714</v>
      </c>
    </row>
    <row r="34" spans="1:8" x14ac:dyDescent="0.2">
      <c r="A34" s="25" t="str">
        <f t="shared" si="0"/>
        <v>01/04/2025</v>
      </c>
      <c r="B34" t="str">
        <f t="shared" si="1"/>
        <v>E</v>
      </c>
      <c r="C34">
        <v>33</v>
      </c>
      <c r="D34" t="s">
        <v>11</v>
      </c>
      <c r="E34">
        <v>1</v>
      </c>
      <c r="F34">
        <v>3</v>
      </c>
      <c r="G34">
        <v>3.1309999999999998</v>
      </c>
      <c r="H34">
        <v>2.4</v>
      </c>
    </row>
    <row r="35" spans="1:8" x14ac:dyDescent="0.2">
      <c r="A35" s="25" t="str">
        <f t="shared" si="0"/>
        <v>01/04/2025</v>
      </c>
      <c r="B35" t="str">
        <f t="shared" si="1"/>
        <v>E</v>
      </c>
      <c r="C35">
        <v>34</v>
      </c>
      <c r="D35" t="s">
        <v>11</v>
      </c>
      <c r="E35">
        <v>1</v>
      </c>
      <c r="F35">
        <v>3</v>
      </c>
      <c r="G35">
        <v>3.4689999999999999</v>
      </c>
      <c r="H35">
        <v>2.617</v>
      </c>
    </row>
    <row r="36" spans="1:8" x14ac:dyDescent="0.2">
      <c r="A36" s="25" t="str">
        <f t="shared" si="0"/>
        <v>01/04/2025</v>
      </c>
      <c r="B36" t="str">
        <f t="shared" si="1"/>
        <v>E</v>
      </c>
      <c r="C36">
        <v>35</v>
      </c>
      <c r="D36" t="s">
        <v>11</v>
      </c>
      <c r="E36">
        <v>1</v>
      </c>
      <c r="F36">
        <v>3</v>
      </c>
      <c r="G36">
        <v>2.83</v>
      </c>
      <c r="H36">
        <v>2.5070000000000001</v>
      </c>
    </row>
    <row r="37" spans="1:8" x14ac:dyDescent="0.2">
      <c r="A37" s="25" t="str">
        <f t="shared" si="0"/>
        <v>01/04/2025</v>
      </c>
      <c r="B37" t="str">
        <f t="shared" si="1"/>
        <v>E</v>
      </c>
      <c r="C37">
        <v>36</v>
      </c>
      <c r="D37" t="s">
        <v>11</v>
      </c>
      <c r="E37">
        <v>1</v>
      </c>
      <c r="F37">
        <v>3</v>
      </c>
      <c r="G37">
        <v>3.3530000000000002</v>
      </c>
      <c r="H37">
        <v>2.1509999999999998</v>
      </c>
    </row>
    <row r="38" spans="1:8" x14ac:dyDescent="0.2">
      <c r="A38" s="25" t="str">
        <f t="shared" si="0"/>
        <v>01/04/2025</v>
      </c>
      <c r="B38" t="str">
        <f t="shared" si="1"/>
        <v>E</v>
      </c>
      <c r="C38">
        <v>37</v>
      </c>
      <c r="D38" t="s">
        <v>11</v>
      </c>
      <c r="E38">
        <v>1</v>
      </c>
      <c r="F38">
        <v>3</v>
      </c>
      <c r="G38">
        <v>3.0859999999999999</v>
      </c>
      <c r="H38">
        <v>2.383</v>
      </c>
    </row>
    <row r="39" spans="1:8" x14ac:dyDescent="0.2">
      <c r="A39" s="25" t="str">
        <f t="shared" si="0"/>
        <v>01/04/2025</v>
      </c>
      <c r="B39" t="str">
        <f t="shared" si="1"/>
        <v>E</v>
      </c>
      <c r="C39">
        <v>38</v>
      </c>
      <c r="D39" t="s">
        <v>11</v>
      </c>
      <c r="E39">
        <v>1</v>
      </c>
      <c r="F39">
        <v>3</v>
      </c>
      <c r="G39">
        <v>3.58</v>
      </c>
      <c r="H39">
        <v>2.4910000000000001</v>
      </c>
    </row>
    <row r="40" spans="1:8" x14ac:dyDescent="0.2">
      <c r="A40" s="25" t="str">
        <f t="shared" si="0"/>
        <v>26/04/2025</v>
      </c>
      <c r="B40" t="str">
        <f t="shared" si="1"/>
        <v>D</v>
      </c>
      <c r="C40">
        <v>39</v>
      </c>
      <c r="D40" t="s">
        <v>11</v>
      </c>
      <c r="E40">
        <v>2</v>
      </c>
      <c r="F40">
        <v>1</v>
      </c>
      <c r="G40">
        <v>3.1880000000000002</v>
      </c>
      <c r="H40">
        <v>2.5219999999999998</v>
      </c>
    </row>
    <row r="41" spans="1:8" x14ac:dyDescent="0.2">
      <c r="A41" s="25" t="str">
        <f t="shared" si="0"/>
        <v>26/04/2025</v>
      </c>
      <c r="B41" t="str">
        <f t="shared" si="1"/>
        <v>D</v>
      </c>
      <c r="C41">
        <v>40</v>
      </c>
      <c r="D41" t="s">
        <v>11</v>
      </c>
      <c r="E41">
        <v>2</v>
      </c>
      <c r="F41">
        <v>1</v>
      </c>
      <c r="G41">
        <v>3.45</v>
      </c>
      <c r="H41">
        <v>2.3919999999999999</v>
      </c>
    </row>
    <row r="42" spans="1:8" x14ac:dyDescent="0.2">
      <c r="A42" s="25" t="str">
        <f t="shared" si="0"/>
        <v>26/04/2025</v>
      </c>
      <c r="B42" t="str">
        <f t="shared" si="1"/>
        <v>D</v>
      </c>
      <c r="C42">
        <v>41</v>
      </c>
      <c r="D42" t="s">
        <v>11</v>
      </c>
      <c r="E42">
        <v>2</v>
      </c>
      <c r="F42">
        <v>1</v>
      </c>
      <c r="G42">
        <v>3.1779999999999999</v>
      </c>
      <c r="H42">
        <v>2.282</v>
      </c>
    </row>
    <row r="43" spans="1:8" x14ac:dyDescent="0.2">
      <c r="A43" s="25" t="str">
        <f t="shared" si="0"/>
        <v>26/04/2025</v>
      </c>
      <c r="B43" t="str">
        <f t="shared" si="1"/>
        <v>D</v>
      </c>
      <c r="C43">
        <v>42</v>
      </c>
      <c r="D43" t="s">
        <v>11</v>
      </c>
      <c r="E43">
        <v>2</v>
      </c>
      <c r="F43">
        <v>1</v>
      </c>
      <c r="G43">
        <v>2.88</v>
      </c>
      <c r="H43">
        <v>2.3490000000000002</v>
      </c>
    </row>
    <row r="44" spans="1:8" x14ac:dyDescent="0.2">
      <c r="A44" s="25" t="str">
        <f t="shared" si="0"/>
        <v>26/04/2025</v>
      </c>
      <c r="B44" t="str">
        <f t="shared" si="1"/>
        <v>D</v>
      </c>
      <c r="C44">
        <v>43</v>
      </c>
      <c r="D44" t="s">
        <v>11</v>
      </c>
      <c r="E44">
        <v>2</v>
      </c>
      <c r="F44">
        <v>1</v>
      </c>
      <c r="G44">
        <v>3.1779999999999999</v>
      </c>
      <c r="H44">
        <v>2.577</v>
      </c>
    </row>
    <row r="45" spans="1:8" x14ac:dyDescent="0.2">
      <c r="A45" s="25" t="str">
        <f t="shared" si="0"/>
        <v>26/04/2025</v>
      </c>
      <c r="B45" t="str">
        <f t="shared" si="1"/>
        <v>D</v>
      </c>
      <c r="C45">
        <v>44</v>
      </c>
      <c r="D45" t="s">
        <v>11</v>
      </c>
      <c r="E45">
        <v>2</v>
      </c>
      <c r="F45">
        <v>1</v>
      </c>
      <c r="G45">
        <v>3.5009999999999999</v>
      </c>
      <c r="H45">
        <v>2.847</v>
      </c>
    </row>
    <row r="46" spans="1:8" x14ac:dyDescent="0.2">
      <c r="A46" s="25" t="str">
        <f t="shared" si="0"/>
        <v>26/04/2025</v>
      </c>
      <c r="B46" t="str">
        <f t="shared" si="1"/>
        <v>D</v>
      </c>
      <c r="C46">
        <v>45</v>
      </c>
      <c r="D46" t="s">
        <v>11</v>
      </c>
      <c r="E46">
        <v>2</v>
      </c>
      <c r="F46">
        <v>1</v>
      </c>
      <c r="G46">
        <v>3.1179999999999999</v>
      </c>
      <c r="H46">
        <v>2.395</v>
      </c>
    </row>
    <row r="47" spans="1:8" x14ac:dyDescent="0.2">
      <c r="A47" s="25" t="str">
        <f t="shared" si="0"/>
        <v>26/04/2025</v>
      </c>
      <c r="B47" t="str">
        <f t="shared" si="1"/>
        <v>D</v>
      </c>
      <c r="C47">
        <v>46</v>
      </c>
      <c r="D47" t="s">
        <v>11</v>
      </c>
      <c r="E47">
        <v>2</v>
      </c>
      <c r="F47">
        <v>1</v>
      </c>
      <c r="G47">
        <v>3.2570000000000001</v>
      </c>
      <c r="H47">
        <v>2.3370000000000002</v>
      </c>
    </row>
    <row r="48" spans="1:8" x14ac:dyDescent="0.2">
      <c r="A48" s="25" t="str">
        <f t="shared" si="0"/>
        <v>26/04/2025</v>
      </c>
      <c r="B48" t="str">
        <f t="shared" si="1"/>
        <v>D</v>
      </c>
      <c r="C48">
        <v>47</v>
      </c>
      <c r="D48" t="s">
        <v>11</v>
      </c>
      <c r="E48">
        <v>2</v>
      </c>
      <c r="F48">
        <v>1</v>
      </c>
      <c r="G48">
        <v>3.3050000000000002</v>
      </c>
      <c r="H48">
        <v>2.6629999999999998</v>
      </c>
    </row>
    <row r="49" spans="1:8" x14ac:dyDescent="0.2">
      <c r="A49" s="25" t="str">
        <f t="shared" si="0"/>
        <v>26/04/2025</v>
      </c>
      <c r="B49" t="str">
        <f t="shared" si="1"/>
        <v>D</v>
      </c>
      <c r="C49">
        <v>48</v>
      </c>
      <c r="D49" t="s">
        <v>11</v>
      </c>
      <c r="E49">
        <v>2</v>
      </c>
      <c r="F49">
        <v>1</v>
      </c>
      <c r="G49">
        <v>3.2730000000000001</v>
      </c>
      <c r="H49">
        <v>2.7749999999999999</v>
      </c>
    </row>
    <row r="50" spans="1:8" x14ac:dyDescent="0.2">
      <c r="A50" s="25" t="str">
        <f t="shared" si="0"/>
        <v>26/04/2025</v>
      </c>
      <c r="B50" t="str">
        <f t="shared" si="1"/>
        <v>D</v>
      </c>
      <c r="C50">
        <v>49</v>
      </c>
      <c r="D50" t="s">
        <v>11</v>
      </c>
      <c r="E50">
        <v>2</v>
      </c>
      <c r="F50">
        <v>1</v>
      </c>
      <c r="G50">
        <v>3.0640000000000001</v>
      </c>
      <c r="H50">
        <v>2.2400000000000002</v>
      </c>
    </row>
    <row r="51" spans="1:8" x14ac:dyDescent="0.2">
      <c r="A51" s="25" t="str">
        <f t="shared" si="0"/>
        <v>26/04/2025</v>
      </c>
      <c r="B51" t="str">
        <f t="shared" si="1"/>
        <v>D</v>
      </c>
      <c r="C51">
        <v>50</v>
      </c>
      <c r="D51" t="s">
        <v>11</v>
      </c>
      <c r="E51">
        <v>2</v>
      </c>
      <c r="F51">
        <v>1</v>
      </c>
      <c r="G51">
        <v>3.0379999999999998</v>
      </c>
      <c r="H51">
        <v>2.5310000000000001</v>
      </c>
    </row>
    <row r="52" spans="1:8" x14ac:dyDescent="0.2">
      <c r="A52" s="25" t="str">
        <f t="shared" si="0"/>
        <v>26/04/2025</v>
      </c>
      <c r="B52" t="str">
        <f t="shared" si="1"/>
        <v>D</v>
      </c>
      <c r="C52">
        <v>51</v>
      </c>
      <c r="D52" t="s">
        <v>11</v>
      </c>
      <c r="E52">
        <v>2</v>
      </c>
      <c r="F52">
        <v>1</v>
      </c>
      <c r="G52">
        <v>3.2280000000000002</v>
      </c>
      <c r="H52">
        <v>2.5960000000000001</v>
      </c>
    </row>
    <row r="53" spans="1:8" x14ac:dyDescent="0.2">
      <c r="A53" s="25" t="str">
        <f t="shared" si="0"/>
        <v>26/04/2025</v>
      </c>
      <c r="B53" t="str">
        <f t="shared" si="1"/>
        <v>D</v>
      </c>
      <c r="C53">
        <v>52</v>
      </c>
      <c r="D53" t="s">
        <v>11</v>
      </c>
      <c r="E53">
        <v>2</v>
      </c>
      <c r="F53">
        <v>1</v>
      </c>
      <c r="G53">
        <v>3.16</v>
      </c>
      <c r="H53">
        <v>2.464</v>
      </c>
    </row>
    <row r="54" spans="1:8" x14ac:dyDescent="0.2">
      <c r="A54" s="25" t="str">
        <f t="shared" si="0"/>
        <v>26/04/2025</v>
      </c>
      <c r="B54" t="str">
        <f t="shared" si="1"/>
        <v>D</v>
      </c>
      <c r="C54">
        <v>53</v>
      </c>
      <c r="D54" t="s">
        <v>11</v>
      </c>
      <c r="E54">
        <v>2</v>
      </c>
      <c r="F54">
        <v>1</v>
      </c>
      <c r="G54">
        <v>3.3530000000000002</v>
      </c>
      <c r="H54">
        <v>2.464</v>
      </c>
    </row>
    <row r="55" spans="1:8" x14ac:dyDescent="0.2">
      <c r="A55" s="25" t="str">
        <f t="shared" si="0"/>
        <v>26/04/2025</v>
      </c>
      <c r="B55" t="str">
        <f t="shared" si="1"/>
        <v>D</v>
      </c>
      <c r="C55">
        <v>54</v>
      </c>
      <c r="D55" t="s">
        <v>11</v>
      </c>
      <c r="E55">
        <v>2</v>
      </c>
      <c r="F55">
        <v>1</v>
      </c>
      <c r="G55">
        <v>3.05</v>
      </c>
      <c r="H55">
        <v>2.56</v>
      </c>
    </row>
    <row r="56" spans="1:8" x14ac:dyDescent="0.2">
      <c r="A56" s="25" t="str">
        <f t="shared" si="0"/>
        <v>26/04/2025</v>
      </c>
      <c r="B56" t="str">
        <f t="shared" si="1"/>
        <v>D</v>
      </c>
      <c r="C56">
        <v>55</v>
      </c>
      <c r="D56" t="s">
        <v>11</v>
      </c>
      <c r="E56">
        <v>2</v>
      </c>
      <c r="F56">
        <v>1</v>
      </c>
      <c r="G56">
        <v>3.3050000000000002</v>
      </c>
      <c r="H56">
        <v>2.5579999999999998</v>
      </c>
    </row>
    <row r="57" spans="1:8" x14ac:dyDescent="0.2">
      <c r="A57" s="25" t="str">
        <f t="shared" si="0"/>
        <v>26/04/2025</v>
      </c>
      <c r="B57" t="str">
        <f t="shared" si="1"/>
        <v>D</v>
      </c>
      <c r="C57">
        <v>56</v>
      </c>
      <c r="D57" t="s">
        <v>11</v>
      </c>
      <c r="E57">
        <v>2</v>
      </c>
      <c r="F57">
        <v>1</v>
      </c>
      <c r="G57">
        <v>3.1739999999999999</v>
      </c>
      <c r="H57">
        <v>2.903</v>
      </c>
    </row>
    <row r="58" spans="1:8" x14ac:dyDescent="0.2">
      <c r="A58" s="25" t="str">
        <f t="shared" si="0"/>
        <v>26/04/2025</v>
      </c>
      <c r="B58" t="str">
        <f t="shared" si="1"/>
        <v>D</v>
      </c>
      <c r="C58">
        <v>57</v>
      </c>
      <c r="D58" t="s">
        <v>11</v>
      </c>
      <c r="E58">
        <v>2</v>
      </c>
      <c r="F58">
        <v>2</v>
      </c>
      <c r="G58">
        <v>3.2269999999999999</v>
      </c>
      <c r="H58">
        <v>2.609</v>
      </c>
    </row>
    <row r="59" spans="1:8" x14ac:dyDescent="0.2">
      <c r="A59" s="25" t="str">
        <f t="shared" si="0"/>
        <v>26/04/2025</v>
      </c>
      <c r="B59" t="str">
        <f t="shared" si="1"/>
        <v>D</v>
      </c>
      <c r="C59">
        <v>58</v>
      </c>
      <c r="D59" t="s">
        <v>11</v>
      </c>
      <c r="E59">
        <v>2</v>
      </c>
      <c r="F59">
        <v>2</v>
      </c>
      <c r="G59">
        <v>3.347</v>
      </c>
      <c r="H59">
        <v>2.3879999999999999</v>
      </c>
    </row>
    <row r="60" spans="1:8" x14ac:dyDescent="0.2">
      <c r="A60" s="25" t="str">
        <f t="shared" si="0"/>
        <v>26/04/2025</v>
      </c>
      <c r="B60" t="str">
        <f t="shared" si="1"/>
        <v>D</v>
      </c>
      <c r="C60">
        <v>59</v>
      </c>
      <c r="D60" t="s">
        <v>11</v>
      </c>
      <c r="E60">
        <v>2</v>
      </c>
      <c r="F60">
        <v>2</v>
      </c>
      <c r="G60">
        <v>3.867</v>
      </c>
      <c r="H60">
        <v>3.06</v>
      </c>
    </row>
    <row r="61" spans="1:8" x14ac:dyDescent="0.2">
      <c r="A61" s="25" t="str">
        <f t="shared" si="0"/>
        <v>26/04/2025</v>
      </c>
      <c r="B61" t="str">
        <f t="shared" si="1"/>
        <v>D</v>
      </c>
      <c r="C61">
        <v>60</v>
      </c>
      <c r="D61" t="s">
        <v>11</v>
      </c>
      <c r="E61">
        <v>2</v>
      </c>
      <c r="F61">
        <v>2</v>
      </c>
      <c r="G61">
        <v>3.121</v>
      </c>
      <c r="H61">
        <v>2.3660000000000001</v>
      </c>
    </row>
    <row r="62" spans="1:8" x14ac:dyDescent="0.2">
      <c r="A62" s="25" t="str">
        <f t="shared" si="0"/>
        <v>26/04/2025</v>
      </c>
      <c r="B62" t="str">
        <f t="shared" si="1"/>
        <v>D</v>
      </c>
      <c r="C62">
        <v>61</v>
      </c>
      <c r="D62" t="s">
        <v>11</v>
      </c>
      <c r="E62">
        <v>2</v>
      </c>
      <c r="F62">
        <v>2</v>
      </c>
      <c r="G62">
        <v>2.9260000000000002</v>
      </c>
      <c r="H62">
        <v>2.1829999999999998</v>
      </c>
    </row>
    <row r="63" spans="1:8" x14ac:dyDescent="0.2">
      <c r="A63" s="25" t="str">
        <f t="shared" si="0"/>
        <v>26/04/2025</v>
      </c>
      <c r="B63" t="str">
        <f t="shared" si="1"/>
        <v>D</v>
      </c>
      <c r="C63">
        <v>62</v>
      </c>
      <c r="D63" t="s">
        <v>11</v>
      </c>
      <c r="E63">
        <v>2</v>
      </c>
      <c r="F63">
        <v>2</v>
      </c>
      <c r="G63">
        <v>3.41</v>
      </c>
      <c r="H63">
        <v>2.7570000000000001</v>
      </c>
    </row>
    <row r="64" spans="1:8" x14ac:dyDescent="0.2">
      <c r="A64" s="25" t="str">
        <f t="shared" si="0"/>
        <v>26/04/2025</v>
      </c>
      <c r="B64" t="str">
        <f t="shared" si="1"/>
        <v>D</v>
      </c>
      <c r="C64">
        <v>63</v>
      </c>
      <c r="D64" t="s">
        <v>11</v>
      </c>
      <c r="E64">
        <v>2</v>
      </c>
      <c r="F64">
        <v>2</v>
      </c>
      <c r="G64">
        <v>3.3079999999999998</v>
      </c>
      <c r="H64">
        <v>2.5670000000000002</v>
      </c>
    </row>
    <row r="65" spans="1:8" x14ac:dyDescent="0.2">
      <c r="A65" s="25" t="str">
        <f t="shared" si="0"/>
        <v>26/04/2025</v>
      </c>
      <c r="B65" t="str">
        <f t="shared" si="1"/>
        <v>D</v>
      </c>
      <c r="C65">
        <v>64</v>
      </c>
      <c r="D65" t="s">
        <v>11</v>
      </c>
      <c r="E65">
        <v>2</v>
      </c>
      <c r="F65">
        <v>2</v>
      </c>
      <c r="G65">
        <v>2.9929999999999999</v>
      </c>
      <c r="H65">
        <v>2.1859999999999999</v>
      </c>
    </row>
    <row r="66" spans="1:8" x14ac:dyDescent="0.2">
      <c r="A66" s="25" t="str">
        <f t="shared" si="0"/>
        <v>26/04/2025</v>
      </c>
      <c r="B66" t="str">
        <f t="shared" si="1"/>
        <v>D</v>
      </c>
      <c r="C66">
        <v>65</v>
      </c>
      <c r="D66" t="s">
        <v>11</v>
      </c>
      <c r="E66">
        <v>2</v>
      </c>
      <c r="F66">
        <v>2</v>
      </c>
      <c r="G66">
        <v>3.4670000000000001</v>
      </c>
      <c r="H66">
        <v>2.8769999999999998</v>
      </c>
    </row>
    <row r="67" spans="1:8" x14ac:dyDescent="0.2">
      <c r="A67" s="25" t="str">
        <f t="shared" ref="A67:A130" si="2">IF(F67&lt;3, "26/04/2025", "01/04/2025")</f>
        <v>26/04/2025</v>
      </c>
      <c r="B67" t="str">
        <f t="shared" ref="B67:B130" si="3">IF(F67&lt;3, "D", "E")</f>
        <v>D</v>
      </c>
      <c r="C67">
        <v>66</v>
      </c>
      <c r="D67" t="s">
        <v>11</v>
      </c>
      <c r="E67">
        <v>2</v>
      </c>
      <c r="F67">
        <v>2</v>
      </c>
      <c r="G67">
        <v>3.7029999999999998</v>
      </c>
      <c r="H67">
        <v>2.5459999999999998</v>
      </c>
    </row>
    <row r="68" spans="1:8" x14ac:dyDescent="0.2">
      <c r="A68" s="25" t="str">
        <f t="shared" si="2"/>
        <v>26/04/2025</v>
      </c>
      <c r="B68" t="str">
        <f t="shared" si="3"/>
        <v>D</v>
      </c>
      <c r="C68">
        <v>67</v>
      </c>
      <c r="D68" t="s">
        <v>11</v>
      </c>
      <c r="E68">
        <v>2</v>
      </c>
      <c r="F68">
        <v>2</v>
      </c>
      <c r="G68">
        <v>3.4020000000000001</v>
      </c>
      <c r="H68">
        <v>2.7</v>
      </c>
    </row>
    <row r="69" spans="1:8" x14ac:dyDescent="0.2">
      <c r="A69" s="25" t="str">
        <f t="shared" si="2"/>
        <v>26/04/2025</v>
      </c>
      <c r="B69" t="str">
        <f t="shared" si="3"/>
        <v>D</v>
      </c>
      <c r="C69">
        <v>68</v>
      </c>
      <c r="D69" t="s">
        <v>11</v>
      </c>
      <c r="E69">
        <v>2</v>
      </c>
      <c r="F69">
        <v>2</v>
      </c>
      <c r="G69">
        <v>3.6360000000000001</v>
      </c>
      <c r="H69">
        <v>2.798</v>
      </c>
    </row>
    <row r="70" spans="1:8" x14ac:dyDescent="0.2">
      <c r="A70" s="25" t="str">
        <f t="shared" si="2"/>
        <v>26/04/2025</v>
      </c>
      <c r="B70" t="str">
        <f t="shared" si="3"/>
        <v>D</v>
      </c>
      <c r="C70">
        <v>69</v>
      </c>
      <c r="D70" t="s">
        <v>11</v>
      </c>
      <c r="E70">
        <v>2</v>
      </c>
      <c r="F70">
        <v>2</v>
      </c>
      <c r="G70">
        <v>3.371</v>
      </c>
      <c r="H70">
        <v>2.452</v>
      </c>
    </row>
    <row r="71" spans="1:8" x14ac:dyDescent="0.2">
      <c r="A71" s="25" t="str">
        <f t="shared" si="2"/>
        <v>26/04/2025</v>
      </c>
      <c r="B71" t="str">
        <f t="shared" si="3"/>
        <v>D</v>
      </c>
      <c r="C71">
        <v>70</v>
      </c>
      <c r="D71" t="s">
        <v>11</v>
      </c>
      <c r="E71">
        <v>2</v>
      </c>
      <c r="F71">
        <v>2</v>
      </c>
      <c r="G71">
        <v>3.0169999999999999</v>
      </c>
      <c r="H71">
        <v>2.76</v>
      </c>
    </row>
    <row r="72" spans="1:8" x14ac:dyDescent="0.2">
      <c r="A72" s="25" t="str">
        <f t="shared" si="2"/>
        <v>26/04/2025</v>
      </c>
      <c r="B72" t="str">
        <f t="shared" si="3"/>
        <v>D</v>
      </c>
      <c r="C72">
        <v>71</v>
      </c>
      <c r="D72" t="s">
        <v>11</v>
      </c>
      <c r="E72">
        <v>2</v>
      </c>
      <c r="F72">
        <v>2</v>
      </c>
      <c r="G72">
        <v>3.36</v>
      </c>
      <c r="H72">
        <v>2.7669999999999999</v>
      </c>
    </row>
    <row r="73" spans="1:8" x14ac:dyDescent="0.2">
      <c r="A73" s="25" t="str">
        <f t="shared" si="2"/>
        <v>26/04/2025</v>
      </c>
      <c r="B73" t="str">
        <f t="shared" si="3"/>
        <v>D</v>
      </c>
      <c r="C73">
        <v>72</v>
      </c>
      <c r="D73" t="s">
        <v>11</v>
      </c>
      <c r="E73">
        <v>2</v>
      </c>
      <c r="F73">
        <v>2</v>
      </c>
      <c r="G73">
        <v>3.069</v>
      </c>
      <c r="H73">
        <v>2.7109999999999999</v>
      </c>
    </row>
    <row r="74" spans="1:8" x14ac:dyDescent="0.2">
      <c r="A74" s="25" t="str">
        <f t="shared" si="2"/>
        <v>26/04/2025</v>
      </c>
      <c r="B74" t="str">
        <f t="shared" si="3"/>
        <v>D</v>
      </c>
      <c r="C74">
        <v>73</v>
      </c>
      <c r="D74" t="s">
        <v>11</v>
      </c>
      <c r="E74">
        <v>2</v>
      </c>
      <c r="F74">
        <v>2</v>
      </c>
      <c r="G74">
        <v>3.0779999999999998</v>
      </c>
      <c r="H74">
        <v>2.258</v>
      </c>
    </row>
    <row r="75" spans="1:8" x14ac:dyDescent="0.2">
      <c r="A75" s="25" t="str">
        <f t="shared" si="2"/>
        <v>26/04/2025</v>
      </c>
      <c r="B75" t="str">
        <f t="shared" si="3"/>
        <v>D</v>
      </c>
      <c r="C75">
        <v>74</v>
      </c>
      <c r="D75" t="s">
        <v>11</v>
      </c>
      <c r="E75">
        <v>2</v>
      </c>
      <c r="F75">
        <v>2</v>
      </c>
      <c r="G75">
        <v>2.835</v>
      </c>
      <c r="H75">
        <v>2.5619999999999998</v>
      </c>
    </row>
    <row r="76" spans="1:8" x14ac:dyDescent="0.2">
      <c r="A76" s="25" t="str">
        <f t="shared" si="2"/>
        <v>01/04/2025</v>
      </c>
      <c r="B76" t="str">
        <f t="shared" si="3"/>
        <v>E</v>
      </c>
      <c r="C76">
        <v>75</v>
      </c>
      <c r="D76" t="s">
        <v>11</v>
      </c>
      <c r="E76">
        <v>2</v>
      </c>
      <c r="F76">
        <v>3</v>
      </c>
      <c r="G76">
        <v>2.9660000000000002</v>
      </c>
      <c r="H76">
        <v>2.2879999999999998</v>
      </c>
    </row>
    <row r="77" spans="1:8" x14ac:dyDescent="0.2">
      <c r="A77" s="25" t="str">
        <f t="shared" si="2"/>
        <v>01/04/2025</v>
      </c>
      <c r="B77" t="str">
        <f t="shared" si="3"/>
        <v>E</v>
      </c>
      <c r="C77">
        <v>76</v>
      </c>
      <c r="D77" t="s">
        <v>11</v>
      </c>
      <c r="E77">
        <v>2</v>
      </c>
      <c r="F77">
        <v>3</v>
      </c>
      <c r="G77">
        <v>2.79</v>
      </c>
      <c r="H77">
        <v>2.6280000000000001</v>
      </c>
    </row>
    <row r="78" spans="1:8" x14ac:dyDescent="0.2">
      <c r="A78" s="25" t="str">
        <f t="shared" si="2"/>
        <v>01/04/2025</v>
      </c>
      <c r="B78" t="str">
        <f t="shared" si="3"/>
        <v>E</v>
      </c>
      <c r="C78">
        <v>77</v>
      </c>
      <c r="D78" t="s">
        <v>11</v>
      </c>
      <c r="E78">
        <v>2</v>
      </c>
      <c r="F78">
        <v>3</v>
      </c>
      <c r="G78">
        <v>3.258</v>
      </c>
      <c r="H78">
        <v>2.5579999999999998</v>
      </c>
    </row>
    <row r="79" spans="1:8" x14ac:dyDescent="0.2">
      <c r="A79" s="25" t="str">
        <f t="shared" si="2"/>
        <v>01/04/2025</v>
      </c>
      <c r="B79" t="str">
        <f t="shared" si="3"/>
        <v>E</v>
      </c>
      <c r="C79">
        <v>78</v>
      </c>
      <c r="D79" t="s">
        <v>11</v>
      </c>
      <c r="E79">
        <v>2</v>
      </c>
      <c r="F79">
        <v>3</v>
      </c>
      <c r="G79">
        <v>3.3279999999999998</v>
      </c>
      <c r="H79">
        <v>2.5009999999999999</v>
      </c>
    </row>
    <row r="80" spans="1:8" x14ac:dyDescent="0.2">
      <c r="A80" s="25" t="str">
        <f t="shared" si="2"/>
        <v>01/04/2025</v>
      </c>
      <c r="B80" t="str">
        <f t="shared" si="3"/>
        <v>E</v>
      </c>
      <c r="C80">
        <v>79</v>
      </c>
      <c r="D80" t="s">
        <v>11</v>
      </c>
      <c r="E80">
        <v>2</v>
      </c>
      <c r="F80">
        <v>3</v>
      </c>
      <c r="G80">
        <v>3.282</v>
      </c>
      <c r="H80">
        <v>2.5609999999999999</v>
      </c>
    </row>
    <row r="81" spans="1:8" x14ac:dyDescent="0.2">
      <c r="A81" s="25" t="str">
        <f t="shared" si="2"/>
        <v>01/04/2025</v>
      </c>
      <c r="B81" t="str">
        <f t="shared" si="3"/>
        <v>E</v>
      </c>
      <c r="C81">
        <v>80</v>
      </c>
      <c r="D81" t="s">
        <v>11</v>
      </c>
      <c r="E81">
        <v>2</v>
      </c>
      <c r="F81">
        <v>3</v>
      </c>
      <c r="G81">
        <v>3.536</v>
      </c>
      <c r="H81">
        <v>2.617</v>
      </c>
    </row>
    <row r="82" spans="1:8" x14ac:dyDescent="0.2">
      <c r="A82" s="25" t="str">
        <f t="shared" si="2"/>
        <v>01/04/2025</v>
      </c>
      <c r="B82" t="str">
        <f t="shared" si="3"/>
        <v>E</v>
      </c>
      <c r="C82">
        <v>81</v>
      </c>
      <c r="D82" t="s">
        <v>11</v>
      </c>
      <c r="E82">
        <v>2</v>
      </c>
      <c r="F82">
        <v>3</v>
      </c>
      <c r="G82">
        <v>3.5680000000000001</v>
      </c>
      <c r="H82">
        <v>2.5350000000000001</v>
      </c>
    </row>
    <row r="83" spans="1:8" x14ac:dyDescent="0.2">
      <c r="A83" s="25" t="str">
        <f t="shared" si="2"/>
        <v>01/04/2025</v>
      </c>
      <c r="B83" t="str">
        <f t="shared" si="3"/>
        <v>E</v>
      </c>
      <c r="C83">
        <v>82</v>
      </c>
      <c r="D83" t="s">
        <v>11</v>
      </c>
      <c r="E83">
        <v>2</v>
      </c>
      <c r="F83">
        <v>3</v>
      </c>
      <c r="G83">
        <v>3.4950000000000001</v>
      </c>
      <c r="H83">
        <v>2.3580000000000001</v>
      </c>
    </row>
    <row r="84" spans="1:8" x14ac:dyDescent="0.2">
      <c r="A84" s="25" t="str">
        <f t="shared" si="2"/>
        <v>01/04/2025</v>
      </c>
      <c r="B84" t="str">
        <f t="shared" si="3"/>
        <v>E</v>
      </c>
      <c r="C84">
        <v>83</v>
      </c>
      <c r="D84" t="s">
        <v>11</v>
      </c>
      <c r="E84">
        <v>2</v>
      </c>
      <c r="F84">
        <v>3</v>
      </c>
      <c r="G84">
        <v>3.4780000000000002</v>
      </c>
      <c r="H84">
        <v>2.4540000000000002</v>
      </c>
    </row>
    <row r="85" spans="1:8" x14ac:dyDescent="0.2">
      <c r="A85" s="25" t="str">
        <f t="shared" si="2"/>
        <v>01/04/2025</v>
      </c>
      <c r="B85" t="str">
        <f t="shared" si="3"/>
        <v>E</v>
      </c>
      <c r="C85">
        <v>84</v>
      </c>
      <c r="D85" t="s">
        <v>11</v>
      </c>
      <c r="E85">
        <v>2</v>
      </c>
      <c r="F85">
        <v>3</v>
      </c>
      <c r="G85">
        <v>3.302</v>
      </c>
      <c r="H85">
        <v>2.629</v>
      </c>
    </row>
    <row r="86" spans="1:8" x14ac:dyDescent="0.2">
      <c r="A86" s="25" t="str">
        <f t="shared" si="2"/>
        <v>01/04/2025</v>
      </c>
      <c r="B86" t="str">
        <f t="shared" si="3"/>
        <v>E</v>
      </c>
      <c r="C86">
        <v>85</v>
      </c>
      <c r="D86" t="s">
        <v>11</v>
      </c>
      <c r="E86">
        <v>2</v>
      </c>
      <c r="F86">
        <v>3</v>
      </c>
      <c r="G86">
        <v>3.71</v>
      </c>
      <c r="H86">
        <v>2.7290000000000001</v>
      </c>
    </row>
    <row r="87" spans="1:8" x14ac:dyDescent="0.2">
      <c r="A87" s="25" t="str">
        <f t="shared" si="2"/>
        <v>26/04/2025</v>
      </c>
      <c r="B87" t="str">
        <f t="shared" si="3"/>
        <v>D</v>
      </c>
      <c r="C87">
        <v>86</v>
      </c>
      <c r="D87" t="s">
        <v>11</v>
      </c>
      <c r="E87">
        <v>3</v>
      </c>
      <c r="F87">
        <v>1</v>
      </c>
      <c r="G87">
        <v>3.1619999999999999</v>
      </c>
      <c r="H87">
        <v>2.5070000000000001</v>
      </c>
    </row>
    <row r="88" spans="1:8" x14ac:dyDescent="0.2">
      <c r="A88" s="25" t="str">
        <f t="shared" si="2"/>
        <v>26/04/2025</v>
      </c>
      <c r="B88" t="str">
        <f t="shared" si="3"/>
        <v>D</v>
      </c>
      <c r="C88">
        <v>87</v>
      </c>
      <c r="D88" t="s">
        <v>11</v>
      </c>
      <c r="E88">
        <v>3</v>
      </c>
      <c r="F88">
        <v>1</v>
      </c>
      <c r="G88">
        <v>3.19</v>
      </c>
      <c r="H88">
        <v>2.399</v>
      </c>
    </row>
    <row r="89" spans="1:8" x14ac:dyDescent="0.2">
      <c r="A89" s="25" t="str">
        <f t="shared" si="2"/>
        <v>26/04/2025</v>
      </c>
      <c r="B89" t="str">
        <f t="shared" si="3"/>
        <v>D</v>
      </c>
      <c r="C89">
        <v>88</v>
      </c>
      <c r="D89" t="s">
        <v>11</v>
      </c>
      <c r="E89">
        <v>3</v>
      </c>
      <c r="F89">
        <v>1</v>
      </c>
      <c r="G89">
        <v>3.45</v>
      </c>
      <c r="H89">
        <v>2.464</v>
      </c>
    </row>
    <row r="90" spans="1:8" x14ac:dyDescent="0.2">
      <c r="A90" s="25" t="str">
        <f t="shared" si="2"/>
        <v>26/04/2025</v>
      </c>
      <c r="B90" t="str">
        <f t="shared" si="3"/>
        <v>D</v>
      </c>
      <c r="C90">
        <v>89</v>
      </c>
      <c r="D90" t="s">
        <v>11</v>
      </c>
      <c r="E90">
        <v>3</v>
      </c>
      <c r="F90">
        <v>1</v>
      </c>
      <c r="G90">
        <v>3.1349999999999998</v>
      </c>
      <c r="H90">
        <v>2.09</v>
      </c>
    </row>
    <row r="91" spans="1:8" x14ac:dyDescent="0.2">
      <c r="A91" s="25" t="str">
        <f t="shared" si="2"/>
        <v>26/04/2025</v>
      </c>
      <c r="B91" t="str">
        <f t="shared" si="3"/>
        <v>D</v>
      </c>
      <c r="C91">
        <v>90</v>
      </c>
      <c r="D91" t="s">
        <v>11</v>
      </c>
      <c r="E91">
        <v>3</v>
      </c>
      <c r="F91">
        <v>1</v>
      </c>
      <c r="G91">
        <v>3.081</v>
      </c>
      <c r="H91">
        <v>2.5169999999999999</v>
      </c>
    </row>
    <row r="92" spans="1:8" x14ac:dyDescent="0.2">
      <c r="A92" s="25" t="str">
        <f t="shared" si="2"/>
        <v>26/04/2025</v>
      </c>
      <c r="B92" t="str">
        <f t="shared" si="3"/>
        <v>D</v>
      </c>
      <c r="C92">
        <v>91</v>
      </c>
      <c r="D92" t="s">
        <v>11</v>
      </c>
      <c r="E92">
        <v>3</v>
      </c>
      <c r="F92">
        <v>1</v>
      </c>
      <c r="G92">
        <v>3.2810000000000001</v>
      </c>
      <c r="H92">
        <v>2.512</v>
      </c>
    </row>
    <row r="93" spans="1:8" x14ac:dyDescent="0.2">
      <c r="A93" s="25" t="str">
        <f t="shared" si="2"/>
        <v>26/04/2025</v>
      </c>
      <c r="B93" t="str">
        <f t="shared" si="3"/>
        <v>D</v>
      </c>
      <c r="C93">
        <v>92</v>
      </c>
      <c r="D93" t="s">
        <v>11</v>
      </c>
      <c r="E93">
        <v>3</v>
      </c>
      <c r="F93">
        <v>1</v>
      </c>
      <c r="G93">
        <v>3.5179999999999998</v>
      </c>
      <c r="H93">
        <v>2.5289999999999999</v>
      </c>
    </row>
    <row r="94" spans="1:8" x14ac:dyDescent="0.2">
      <c r="A94" s="25" t="str">
        <f t="shared" si="2"/>
        <v>26/04/2025</v>
      </c>
      <c r="B94" t="str">
        <f t="shared" si="3"/>
        <v>D</v>
      </c>
      <c r="C94">
        <v>93</v>
      </c>
      <c r="D94" t="s">
        <v>11</v>
      </c>
      <c r="E94">
        <v>3</v>
      </c>
      <c r="F94">
        <v>1</v>
      </c>
      <c r="G94">
        <v>3.1339999999999999</v>
      </c>
      <c r="H94">
        <v>2.1819999999999999</v>
      </c>
    </row>
    <row r="95" spans="1:8" x14ac:dyDescent="0.2">
      <c r="A95" s="25" t="str">
        <f t="shared" si="2"/>
        <v>26/04/2025</v>
      </c>
      <c r="B95" t="str">
        <f t="shared" si="3"/>
        <v>D</v>
      </c>
      <c r="C95">
        <v>94</v>
      </c>
      <c r="D95" t="s">
        <v>11</v>
      </c>
      <c r="E95">
        <v>3</v>
      </c>
      <c r="F95">
        <v>1</v>
      </c>
      <c r="G95">
        <v>3.1179999999999999</v>
      </c>
      <c r="H95">
        <v>2.1440000000000001</v>
      </c>
    </row>
    <row r="96" spans="1:8" x14ac:dyDescent="0.2">
      <c r="A96" s="25" t="str">
        <f t="shared" si="2"/>
        <v>26/04/2025</v>
      </c>
      <c r="B96" t="str">
        <f t="shared" si="3"/>
        <v>D</v>
      </c>
      <c r="C96">
        <v>95</v>
      </c>
      <c r="D96" t="s">
        <v>11</v>
      </c>
      <c r="E96">
        <v>3</v>
      </c>
      <c r="F96">
        <v>1</v>
      </c>
      <c r="G96">
        <v>3.528</v>
      </c>
      <c r="H96">
        <v>2.6850000000000001</v>
      </c>
    </row>
    <row r="97" spans="1:8" x14ac:dyDescent="0.2">
      <c r="A97" s="25" t="str">
        <f t="shared" si="2"/>
        <v>26/04/2025</v>
      </c>
      <c r="B97" t="str">
        <f t="shared" si="3"/>
        <v>D</v>
      </c>
      <c r="C97">
        <v>96</v>
      </c>
      <c r="D97" t="s">
        <v>11</v>
      </c>
      <c r="E97">
        <v>3</v>
      </c>
      <c r="F97">
        <v>2</v>
      </c>
      <c r="G97">
        <v>2.8980000000000001</v>
      </c>
      <c r="H97">
        <v>2.5129999999999999</v>
      </c>
    </row>
    <row r="98" spans="1:8" x14ac:dyDescent="0.2">
      <c r="A98" s="25" t="str">
        <f t="shared" si="2"/>
        <v>26/04/2025</v>
      </c>
      <c r="B98" t="str">
        <f t="shared" si="3"/>
        <v>D</v>
      </c>
      <c r="C98">
        <v>97</v>
      </c>
      <c r="D98" t="s">
        <v>11</v>
      </c>
      <c r="E98">
        <v>3</v>
      </c>
      <c r="F98">
        <v>2</v>
      </c>
      <c r="G98">
        <v>3.069</v>
      </c>
      <c r="H98">
        <v>2.5219999999999998</v>
      </c>
    </row>
    <row r="99" spans="1:8" x14ac:dyDescent="0.2">
      <c r="A99" s="25" t="str">
        <f t="shared" si="2"/>
        <v>26/04/2025</v>
      </c>
      <c r="B99" t="str">
        <f t="shared" si="3"/>
        <v>D</v>
      </c>
      <c r="C99">
        <v>98</v>
      </c>
      <c r="D99" t="s">
        <v>11</v>
      </c>
      <c r="E99">
        <v>3</v>
      </c>
      <c r="F99">
        <v>2</v>
      </c>
      <c r="G99">
        <v>3.2549999999999999</v>
      </c>
      <c r="H99">
        <v>2.6389999999999998</v>
      </c>
    </row>
    <row r="100" spans="1:8" x14ac:dyDescent="0.2">
      <c r="A100" s="25" t="str">
        <f t="shared" si="2"/>
        <v>26/04/2025</v>
      </c>
      <c r="B100" t="str">
        <f t="shared" si="3"/>
        <v>D</v>
      </c>
      <c r="C100">
        <v>99</v>
      </c>
      <c r="D100" t="s">
        <v>11</v>
      </c>
      <c r="E100">
        <v>3</v>
      </c>
      <c r="F100">
        <v>2</v>
      </c>
      <c r="G100">
        <v>2.9769999999999999</v>
      </c>
      <c r="H100">
        <v>2.6840000000000002</v>
      </c>
    </row>
    <row r="101" spans="1:8" x14ac:dyDescent="0.2">
      <c r="A101" s="25" t="str">
        <f t="shared" si="2"/>
        <v>26/04/2025</v>
      </c>
      <c r="B101" t="str">
        <f t="shared" si="3"/>
        <v>D</v>
      </c>
      <c r="C101">
        <v>100</v>
      </c>
      <c r="D101" t="s">
        <v>11</v>
      </c>
      <c r="E101">
        <v>3</v>
      </c>
      <c r="F101">
        <v>2</v>
      </c>
      <c r="G101">
        <v>4.05</v>
      </c>
      <c r="H101">
        <v>2.5169999999999999</v>
      </c>
    </row>
    <row r="102" spans="1:8" x14ac:dyDescent="0.2">
      <c r="A102" s="25" t="str">
        <f t="shared" si="2"/>
        <v>26/04/2025</v>
      </c>
      <c r="B102" t="str">
        <f t="shared" si="3"/>
        <v>D</v>
      </c>
      <c r="C102">
        <v>101</v>
      </c>
      <c r="D102" t="s">
        <v>11</v>
      </c>
      <c r="E102">
        <v>3</v>
      </c>
      <c r="F102">
        <v>2</v>
      </c>
      <c r="G102">
        <v>3.0619999999999998</v>
      </c>
      <c r="H102">
        <v>2.5880000000000001</v>
      </c>
    </row>
    <row r="103" spans="1:8" x14ac:dyDescent="0.2">
      <c r="A103" s="25" t="str">
        <f t="shared" si="2"/>
        <v>26/04/2025</v>
      </c>
      <c r="B103" t="str">
        <f t="shared" si="3"/>
        <v>D</v>
      </c>
      <c r="C103">
        <v>102</v>
      </c>
      <c r="D103" t="s">
        <v>11</v>
      </c>
      <c r="E103">
        <v>3</v>
      </c>
      <c r="F103">
        <v>2</v>
      </c>
      <c r="G103">
        <v>3.1110000000000002</v>
      </c>
      <c r="H103">
        <v>2.476</v>
      </c>
    </row>
    <row r="104" spans="1:8" x14ac:dyDescent="0.2">
      <c r="A104" s="25" t="str">
        <f t="shared" si="2"/>
        <v>26/04/2025</v>
      </c>
      <c r="B104" t="str">
        <f t="shared" si="3"/>
        <v>D</v>
      </c>
      <c r="C104">
        <v>103</v>
      </c>
      <c r="D104" t="s">
        <v>11</v>
      </c>
      <c r="E104">
        <v>3</v>
      </c>
      <c r="F104">
        <v>2</v>
      </c>
      <c r="G104">
        <v>3.359</v>
      </c>
      <c r="H104">
        <v>2.665</v>
      </c>
    </row>
    <row r="105" spans="1:8" x14ac:dyDescent="0.2">
      <c r="A105" s="25" t="str">
        <f t="shared" si="2"/>
        <v>26/04/2025</v>
      </c>
      <c r="B105" t="str">
        <f t="shared" si="3"/>
        <v>D</v>
      </c>
      <c r="C105">
        <v>104</v>
      </c>
      <c r="D105" t="s">
        <v>11</v>
      </c>
      <c r="E105">
        <v>3</v>
      </c>
      <c r="F105">
        <v>2</v>
      </c>
      <c r="G105">
        <v>3.0409999999999999</v>
      </c>
      <c r="H105">
        <v>2.29</v>
      </c>
    </row>
    <row r="106" spans="1:8" x14ac:dyDescent="0.2">
      <c r="A106" s="25" t="str">
        <f t="shared" si="2"/>
        <v>26/04/2025</v>
      </c>
      <c r="B106" t="str">
        <f t="shared" si="3"/>
        <v>D</v>
      </c>
      <c r="C106">
        <v>105</v>
      </c>
      <c r="D106" t="s">
        <v>11</v>
      </c>
      <c r="E106">
        <v>3</v>
      </c>
      <c r="F106">
        <v>2</v>
      </c>
      <c r="G106">
        <v>3.2360000000000002</v>
      </c>
      <c r="H106">
        <v>2.71</v>
      </c>
    </row>
    <row r="107" spans="1:8" x14ac:dyDescent="0.2">
      <c r="A107" s="25" t="str">
        <f t="shared" si="2"/>
        <v>26/04/2025</v>
      </c>
      <c r="B107" t="str">
        <f t="shared" si="3"/>
        <v>D</v>
      </c>
      <c r="C107">
        <v>106</v>
      </c>
      <c r="D107" t="s">
        <v>11</v>
      </c>
      <c r="E107">
        <v>3</v>
      </c>
      <c r="F107">
        <v>2</v>
      </c>
      <c r="G107">
        <v>2.819</v>
      </c>
      <c r="H107">
        <v>2.5950000000000002</v>
      </c>
    </row>
    <row r="108" spans="1:8" x14ac:dyDescent="0.2">
      <c r="A108" s="25" t="str">
        <f t="shared" si="2"/>
        <v>01/04/2025</v>
      </c>
      <c r="B108" t="str">
        <f t="shared" si="3"/>
        <v>E</v>
      </c>
      <c r="C108">
        <v>107</v>
      </c>
      <c r="D108" t="s">
        <v>11</v>
      </c>
      <c r="E108">
        <v>3</v>
      </c>
      <c r="F108">
        <v>3</v>
      </c>
      <c r="G108">
        <v>3.47</v>
      </c>
      <c r="H108">
        <v>2.6429999999999998</v>
      </c>
    </row>
    <row r="109" spans="1:8" x14ac:dyDescent="0.2">
      <c r="A109" s="25" t="str">
        <f t="shared" si="2"/>
        <v>01/04/2025</v>
      </c>
      <c r="B109" t="str">
        <f t="shared" si="3"/>
        <v>E</v>
      </c>
      <c r="C109">
        <v>108</v>
      </c>
      <c r="D109" t="s">
        <v>11</v>
      </c>
      <c r="E109">
        <v>3</v>
      </c>
      <c r="F109">
        <v>3</v>
      </c>
      <c r="G109">
        <v>3.617</v>
      </c>
      <c r="H109">
        <v>2.8479999999999999</v>
      </c>
    </row>
    <row r="110" spans="1:8" x14ac:dyDescent="0.2">
      <c r="A110" s="25" t="str">
        <f t="shared" si="2"/>
        <v>01/04/2025</v>
      </c>
      <c r="B110" t="str">
        <f t="shared" si="3"/>
        <v>E</v>
      </c>
      <c r="C110">
        <v>109</v>
      </c>
      <c r="D110" t="s">
        <v>11</v>
      </c>
      <c r="E110">
        <v>3</v>
      </c>
      <c r="F110">
        <v>3</v>
      </c>
      <c r="G110">
        <v>3.5529999999999999</v>
      </c>
      <c r="H110">
        <v>2.6139999999999999</v>
      </c>
    </row>
    <row r="111" spans="1:8" x14ac:dyDescent="0.2">
      <c r="A111" s="25" t="str">
        <f t="shared" si="2"/>
        <v>01/04/2025</v>
      </c>
      <c r="B111" t="str">
        <f t="shared" si="3"/>
        <v>E</v>
      </c>
      <c r="C111">
        <v>110</v>
      </c>
      <c r="D111" t="s">
        <v>11</v>
      </c>
      <c r="E111">
        <v>3</v>
      </c>
      <c r="F111">
        <v>3</v>
      </c>
      <c r="G111">
        <v>3.2570000000000001</v>
      </c>
      <c r="H111">
        <v>2.3860000000000001</v>
      </c>
    </row>
    <row r="112" spans="1:8" x14ac:dyDescent="0.2">
      <c r="A112" s="25" t="str">
        <f t="shared" si="2"/>
        <v>01/04/2025</v>
      </c>
      <c r="B112" t="str">
        <f t="shared" si="3"/>
        <v>E</v>
      </c>
      <c r="C112">
        <v>111</v>
      </c>
      <c r="D112" t="s">
        <v>11</v>
      </c>
      <c r="E112">
        <v>3</v>
      </c>
      <c r="F112">
        <v>3</v>
      </c>
      <c r="G112">
        <v>3.8279999999999998</v>
      </c>
      <c r="H112">
        <v>2.6280000000000001</v>
      </c>
    </row>
    <row r="113" spans="1:8" x14ac:dyDescent="0.2">
      <c r="A113" s="25" t="str">
        <f t="shared" si="2"/>
        <v>01/04/2025</v>
      </c>
      <c r="B113" t="str">
        <f t="shared" si="3"/>
        <v>E</v>
      </c>
      <c r="C113">
        <v>112</v>
      </c>
      <c r="D113" t="s">
        <v>11</v>
      </c>
      <c r="E113">
        <v>3</v>
      </c>
      <c r="F113">
        <v>3</v>
      </c>
      <c r="G113">
        <v>3.448</v>
      </c>
      <c r="H113">
        <v>2.61</v>
      </c>
    </row>
    <row r="114" spans="1:8" x14ac:dyDescent="0.2">
      <c r="A114" s="25" t="str">
        <f t="shared" si="2"/>
        <v>01/04/2025</v>
      </c>
      <c r="B114" t="str">
        <f t="shared" si="3"/>
        <v>E</v>
      </c>
      <c r="C114">
        <v>113</v>
      </c>
      <c r="D114" t="s">
        <v>11</v>
      </c>
      <c r="E114">
        <v>3</v>
      </c>
      <c r="F114">
        <v>3</v>
      </c>
      <c r="G114">
        <v>3.923</v>
      </c>
      <c r="H114">
        <v>2.7149999999999999</v>
      </c>
    </row>
    <row r="115" spans="1:8" x14ac:dyDescent="0.2">
      <c r="A115" s="25" t="str">
        <f t="shared" si="2"/>
        <v>01/04/2025</v>
      </c>
      <c r="B115" t="str">
        <f t="shared" si="3"/>
        <v>E</v>
      </c>
      <c r="C115">
        <v>114</v>
      </c>
      <c r="D115" t="s">
        <v>11</v>
      </c>
      <c r="E115">
        <v>3</v>
      </c>
      <c r="F115">
        <v>3</v>
      </c>
      <c r="G115">
        <v>3.18</v>
      </c>
      <c r="H115">
        <v>2.2919999999999998</v>
      </c>
    </row>
    <row r="116" spans="1:8" x14ac:dyDescent="0.2">
      <c r="A116" s="25" t="str">
        <f t="shared" si="2"/>
        <v>01/04/2025</v>
      </c>
      <c r="B116" t="str">
        <f t="shared" si="3"/>
        <v>E</v>
      </c>
      <c r="C116">
        <v>115</v>
      </c>
      <c r="D116" t="s">
        <v>11</v>
      </c>
      <c r="E116">
        <v>3</v>
      </c>
      <c r="F116">
        <v>3</v>
      </c>
      <c r="G116">
        <v>3.6309999999999998</v>
      </c>
      <c r="H116">
        <v>2.6760000000000002</v>
      </c>
    </row>
    <row r="117" spans="1:8" x14ac:dyDescent="0.2">
      <c r="A117" s="25" t="str">
        <f t="shared" si="2"/>
        <v>26/04/2025</v>
      </c>
      <c r="B117" t="str">
        <f t="shared" si="3"/>
        <v>D</v>
      </c>
      <c r="C117">
        <v>116</v>
      </c>
      <c r="D117" t="s">
        <v>11</v>
      </c>
      <c r="E117">
        <v>4</v>
      </c>
      <c r="F117">
        <v>1</v>
      </c>
      <c r="G117">
        <v>3.2389999999999999</v>
      </c>
      <c r="H117">
        <v>2.3450000000000002</v>
      </c>
    </row>
    <row r="118" spans="1:8" x14ac:dyDescent="0.2">
      <c r="A118" s="25" t="str">
        <f t="shared" si="2"/>
        <v>26/04/2025</v>
      </c>
      <c r="B118" t="str">
        <f t="shared" si="3"/>
        <v>D</v>
      </c>
      <c r="C118">
        <v>117</v>
      </c>
      <c r="D118" t="s">
        <v>11</v>
      </c>
      <c r="E118">
        <v>4</v>
      </c>
      <c r="F118">
        <v>1</v>
      </c>
      <c r="G118">
        <v>2.8769999999999998</v>
      </c>
      <c r="H118">
        <v>2.39</v>
      </c>
    </row>
    <row r="119" spans="1:8" x14ac:dyDescent="0.2">
      <c r="A119" s="25" t="str">
        <f t="shared" si="2"/>
        <v>26/04/2025</v>
      </c>
      <c r="B119" t="str">
        <f t="shared" si="3"/>
        <v>D</v>
      </c>
      <c r="C119">
        <v>118</v>
      </c>
      <c r="D119" t="s">
        <v>11</v>
      </c>
      <c r="E119">
        <v>4</v>
      </c>
      <c r="F119">
        <v>1</v>
      </c>
      <c r="G119">
        <v>3.5270000000000001</v>
      </c>
      <c r="H119">
        <v>2.5310000000000001</v>
      </c>
    </row>
    <row r="120" spans="1:8" x14ac:dyDescent="0.2">
      <c r="A120" s="25" t="str">
        <f t="shared" si="2"/>
        <v>26/04/2025</v>
      </c>
      <c r="B120" t="str">
        <f t="shared" si="3"/>
        <v>D</v>
      </c>
      <c r="C120">
        <v>119</v>
      </c>
      <c r="D120" t="s">
        <v>11</v>
      </c>
      <c r="E120">
        <v>4</v>
      </c>
      <c r="F120">
        <v>1</v>
      </c>
      <c r="G120">
        <v>3.4329999999999998</v>
      </c>
      <c r="H120">
        <v>2.4359999999999999</v>
      </c>
    </row>
    <row r="121" spans="1:8" x14ac:dyDescent="0.2">
      <c r="A121" s="25" t="str">
        <f t="shared" si="2"/>
        <v>26/04/2025</v>
      </c>
      <c r="B121" t="str">
        <f t="shared" si="3"/>
        <v>D</v>
      </c>
      <c r="C121">
        <v>120</v>
      </c>
      <c r="D121" t="s">
        <v>11</v>
      </c>
      <c r="E121">
        <v>4</v>
      </c>
      <c r="F121">
        <v>1</v>
      </c>
      <c r="G121">
        <v>3.5579999999999998</v>
      </c>
      <c r="H121">
        <v>2.6240000000000001</v>
      </c>
    </row>
    <row r="122" spans="1:8" x14ac:dyDescent="0.2">
      <c r="A122" s="25" t="str">
        <f t="shared" si="2"/>
        <v>26/04/2025</v>
      </c>
      <c r="B122" t="str">
        <f t="shared" si="3"/>
        <v>D</v>
      </c>
      <c r="C122">
        <v>121</v>
      </c>
      <c r="D122" t="s">
        <v>11</v>
      </c>
      <c r="E122">
        <v>4</v>
      </c>
      <c r="F122">
        <v>1</v>
      </c>
      <c r="G122">
        <v>3.1819999999999999</v>
      </c>
      <c r="H122">
        <v>2.6920000000000002</v>
      </c>
    </row>
    <row r="123" spans="1:8" x14ac:dyDescent="0.2">
      <c r="A123" s="25" t="str">
        <f t="shared" si="2"/>
        <v>26/04/2025</v>
      </c>
      <c r="B123" t="str">
        <f t="shared" si="3"/>
        <v>D</v>
      </c>
      <c r="C123">
        <v>122</v>
      </c>
      <c r="D123" t="s">
        <v>11</v>
      </c>
      <c r="E123">
        <v>4</v>
      </c>
      <c r="F123">
        <v>1</v>
      </c>
      <c r="G123">
        <v>2.99</v>
      </c>
      <c r="H123">
        <v>2.4649999999999999</v>
      </c>
    </row>
    <row r="124" spans="1:8" x14ac:dyDescent="0.2">
      <c r="A124" s="25" t="str">
        <f t="shared" si="2"/>
        <v>26/04/2025</v>
      </c>
      <c r="B124" t="str">
        <f t="shared" si="3"/>
        <v>D</v>
      </c>
      <c r="C124">
        <v>123</v>
      </c>
      <c r="D124" t="s">
        <v>11</v>
      </c>
      <c r="E124">
        <v>4</v>
      </c>
      <c r="F124">
        <v>1</v>
      </c>
      <c r="G124">
        <v>3.375</v>
      </c>
      <c r="H124">
        <v>2.5659999999999998</v>
      </c>
    </row>
    <row r="125" spans="1:8" x14ac:dyDescent="0.2">
      <c r="A125" s="25" t="str">
        <f t="shared" si="2"/>
        <v>26/04/2025</v>
      </c>
      <c r="B125" t="str">
        <f t="shared" si="3"/>
        <v>D</v>
      </c>
      <c r="C125">
        <v>124</v>
      </c>
      <c r="D125" t="s">
        <v>11</v>
      </c>
      <c r="E125">
        <v>4</v>
      </c>
      <c r="F125">
        <v>1</v>
      </c>
      <c r="G125">
        <v>3.242</v>
      </c>
      <c r="H125">
        <v>2.3170000000000002</v>
      </c>
    </row>
    <row r="126" spans="1:8" x14ac:dyDescent="0.2">
      <c r="A126" s="25" t="str">
        <f t="shared" si="2"/>
        <v>26/04/2025</v>
      </c>
      <c r="B126" t="str">
        <f t="shared" si="3"/>
        <v>D</v>
      </c>
      <c r="C126">
        <v>125</v>
      </c>
      <c r="D126" t="s">
        <v>11</v>
      </c>
      <c r="E126">
        <v>4</v>
      </c>
      <c r="F126">
        <v>1</v>
      </c>
      <c r="G126">
        <v>2.9359999999999999</v>
      </c>
      <c r="H126">
        <v>2.2200000000000002</v>
      </c>
    </row>
    <row r="127" spans="1:8" x14ac:dyDescent="0.2">
      <c r="A127" s="25" t="str">
        <f t="shared" si="2"/>
        <v>26/04/2025</v>
      </c>
      <c r="B127" t="str">
        <f t="shared" si="3"/>
        <v>D</v>
      </c>
      <c r="C127">
        <v>126</v>
      </c>
      <c r="D127" t="s">
        <v>11</v>
      </c>
      <c r="E127">
        <v>4</v>
      </c>
      <c r="F127">
        <v>1</v>
      </c>
      <c r="G127">
        <v>2.6419999999999999</v>
      </c>
      <c r="H127">
        <v>2.448</v>
      </c>
    </row>
    <row r="128" spans="1:8" x14ac:dyDescent="0.2">
      <c r="A128" s="25" t="str">
        <f t="shared" si="2"/>
        <v>26/04/2025</v>
      </c>
      <c r="B128" t="str">
        <f t="shared" si="3"/>
        <v>D</v>
      </c>
      <c r="C128">
        <v>127</v>
      </c>
      <c r="D128" t="s">
        <v>11</v>
      </c>
      <c r="E128">
        <v>4</v>
      </c>
      <c r="F128">
        <v>1</v>
      </c>
      <c r="G128">
        <v>3.16</v>
      </c>
      <c r="H128">
        <v>2.4209999999999998</v>
      </c>
    </row>
    <row r="129" spans="1:8" x14ac:dyDescent="0.2">
      <c r="A129" s="25" t="str">
        <f t="shared" si="2"/>
        <v>26/04/2025</v>
      </c>
      <c r="B129" t="str">
        <f t="shared" si="3"/>
        <v>D</v>
      </c>
      <c r="C129">
        <v>128</v>
      </c>
      <c r="D129" t="s">
        <v>11</v>
      </c>
      <c r="E129">
        <v>4</v>
      </c>
      <c r="F129">
        <v>1</v>
      </c>
      <c r="G129">
        <v>2.9350000000000001</v>
      </c>
      <c r="H129">
        <v>2.1429999999999998</v>
      </c>
    </row>
    <row r="130" spans="1:8" x14ac:dyDescent="0.2">
      <c r="A130" s="25" t="str">
        <f t="shared" si="2"/>
        <v>26/04/2025</v>
      </c>
      <c r="B130" t="str">
        <f t="shared" si="3"/>
        <v>D</v>
      </c>
      <c r="C130">
        <v>129</v>
      </c>
      <c r="D130" t="s">
        <v>11</v>
      </c>
      <c r="E130">
        <v>4</v>
      </c>
      <c r="F130">
        <v>1</v>
      </c>
      <c r="G130">
        <v>3.101</v>
      </c>
      <c r="H130">
        <v>1.833</v>
      </c>
    </row>
    <row r="131" spans="1:8" x14ac:dyDescent="0.2">
      <c r="A131" s="25" t="str">
        <f t="shared" ref="A131:A194" si="4">IF(F131&lt;3, "26/04/2025", "01/04/2025")</f>
        <v>26/04/2025</v>
      </c>
      <c r="B131" t="str">
        <f t="shared" ref="B131:B194" si="5">IF(F131&lt;3, "D", "E")</f>
        <v>D</v>
      </c>
      <c r="C131">
        <v>130</v>
      </c>
      <c r="D131" t="s">
        <v>11</v>
      </c>
      <c r="E131">
        <v>4</v>
      </c>
      <c r="F131">
        <v>2</v>
      </c>
      <c r="G131">
        <v>3.508</v>
      </c>
      <c r="H131">
        <v>2.37</v>
      </c>
    </row>
    <row r="132" spans="1:8" x14ac:dyDescent="0.2">
      <c r="A132" s="25" t="str">
        <f t="shared" si="4"/>
        <v>26/04/2025</v>
      </c>
      <c r="B132" t="str">
        <f t="shared" si="5"/>
        <v>D</v>
      </c>
      <c r="C132">
        <v>131</v>
      </c>
      <c r="D132" t="s">
        <v>11</v>
      </c>
      <c r="E132">
        <v>4</v>
      </c>
      <c r="F132">
        <v>2</v>
      </c>
      <c r="G132">
        <v>3.3690000000000002</v>
      </c>
      <c r="H132">
        <v>2.5169999999999999</v>
      </c>
    </row>
    <row r="133" spans="1:8" x14ac:dyDescent="0.2">
      <c r="A133" s="25" t="str">
        <f t="shared" si="4"/>
        <v>26/04/2025</v>
      </c>
      <c r="B133" t="str">
        <f t="shared" si="5"/>
        <v>D</v>
      </c>
      <c r="C133">
        <v>132</v>
      </c>
      <c r="D133" t="s">
        <v>11</v>
      </c>
      <c r="E133">
        <v>4</v>
      </c>
      <c r="F133">
        <v>2</v>
      </c>
      <c r="G133">
        <v>3.016</v>
      </c>
      <c r="H133">
        <v>2.34</v>
      </c>
    </row>
    <row r="134" spans="1:8" x14ac:dyDescent="0.2">
      <c r="A134" s="25" t="str">
        <f t="shared" si="4"/>
        <v>26/04/2025</v>
      </c>
      <c r="B134" t="str">
        <f t="shared" si="5"/>
        <v>D</v>
      </c>
      <c r="C134">
        <v>133</v>
      </c>
      <c r="D134" t="s">
        <v>11</v>
      </c>
      <c r="E134">
        <v>4</v>
      </c>
      <c r="F134">
        <v>2</v>
      </c>
      <c r="G134">
        <v>3.0350000000000001</v>
      </c>
      <c r="H134">
        <v>2.327</v>
      </c>
    </row>
    <row r="135" spans="1:8" x14ac:dyDescent="0.2">
      <c r="A135" s="25" t="str">
        <f t="shared" si="4"/>
        <v>01/04/2025</v>
      </c>
      <c r="B135" t="str">
        <f t="shared" si="5"/>
        <v>E</v>
      </c>
      <c r="C135">
        <v>134</v>
      </c>
      <c r="D135" t="s">
        <v>11</v>
      </c>
      <c r="E135">
        <v>4</v>
      </c>
      <c r="F135">
        <v>3</v>
      </c>
      <c r="G135">
        <v>3.1070000000000002</v>
      </c>
      <c r="H135">
        <v>2.6349999999999998</v>
      </c>
    </row>
    <row r="136" spans="1:8" x14ac:dyDescent="0.2">
      <c r="A136" s="25" t="str">
        <f t="shared" si="4"/>
        <v>01/04/2025</v>
      </c>
      <c r="B136" t="str">
        <f t="shared" si="5"/>
        <v>E</v>
      </c>
      <c r="C136">
        <v>135</v>
      </c>
      <c r="D136" t="s">
        <v>11</v>
      </c>
      <c r="E136">
        <v>4</v>
      </c>
      <c r="F136">
        <v>3</v>
      </c>
      <c r="G136">
        <v>3.714</v>
      </c>
      <c r="H136">
        <v>2.3340000000000001</v>
      </c>
    </row>
    <row r="137" spans="1:8" x14ac:dyDescent="0.2">
      <c r="A137" s="25" t="str">
        <f t="shared" si="4"/>
        <v>01/04/2025</v>
      </c>
      <c r="B137" t="str">
        <f t="shared" si="5"/>
        <v>E</v>
      </c>
      <c r="C137">
        <v>136</v>
      </c>
      <c r="D137" t="s">
        <v>11</v>
      </c>
      <c r="E137">
        <v>4</v>
      </c>
      <c r="F137">
        <v>3</v>
      </c>
      <c r="G137">
        <v>3.0619999999999998</v>
      </c>
      <c r="H137">
        <v>2.302</v>
      </c>
    </row>
    <row r="138" spans="1:8" x14ac:dyDescent="0.2">
      <c r="A138" s="25" t="str">
        <f t="shared" si="4"/>
        <v>01/04/2025</v>
      </c>
      <c r="B138" t="str">
        <f t="shared" si="5"/>
        <v>E</v>
      </c>
      <c r="C138">
        <v>137</v>
      </c>
      <c r="D138" t="s">
        <v>11</v>
      </c>
      <c r="E138">
        <v>4</v>
      </c>
      <c r="F138">
        <v>3</v>
      </c>
      <c r="G138">
        <v>3.198</v>
      </c>
      <c r="H138">
        <v>2.5190000000000001</v>
      </c>
    </row>
    <row r="139" spans="1:8" x14ac:dyDescent="0.2">
      <c r="A139" s="25" t="str">
        <f t="shared" si="4"/>
        <v>01/04/2025</v>
      </c>
      <c r="B139" t="str">
        <f t="shared" si="5"/>
        <v>E</v>
      </c>
      <c r="C139">
        <v>138</v>
      </c>
      <c r="D139" t="s">
        <v>11</v>
      </c>
      <c r="E139">
        <v>4</v>
      </c>
      <c r="F139">
        <v>3</v>
      </c>
      <c r="G139">
        <v>3.5070000000000001</v>
      </c>
      <c r="H139">
        <v>2.6139999999999999</v>
      </c>
    </row>
    <row r="140" spans="1:8" x14ac:dyDescent="0.2">
      <c r="A140" s="25" t="str">
        <f t="shared" si="4"/>
        <v>01/04/2025</v>
      </c>
      <c r="B140" t="str">
        <f t="shared" si="5"/>
        <v>E</v>
      </c>
      <c r="C140">
        <v>139</v>
      </c>
      <c r="D140" t="s">
        <v>11</v>
      </c>
      <c r="E140">
        <v>4</v>
      </c>
      <c r="F140">
        <v>3</v>
      </c>
      <c r="G140">
        <v>3.492</v>
      </c>
      <c r="H140">
        <v>2.6</v>
      </c>
    </row>
    <row r="141" spans="1:8" x14ac:dyDescent="0.2">
      <c r="A141" s="25" t="str">
        <f t="shared" si="4"/>
        <v>01/04/2025</v>
      </c>
      <c r="B141" t="str">
        <f t="shared" si="5"/>
        <v>E</v>
      </c>
      <c r="C141">
        <v>140</v>
      </c>
      <c r="D141" t="s">
        <v>11</v>
      </c>
      <c r="E141">
        <v>4</v>
      </c>
      <c r="F141">
        <v>3</v>
      </c>
      <c r="G141">
        <v>3.2879999999999998</v>
      </c>
      <c r="H141">
        <v>2.3490000000000002</v>
      </c>
    </row>
    <row r="142" spans="1:8" x14ac:dyDescent="0.2">
      <c r="A142" s="25" t="str">
        <f t="shared" si="4"/>
        <v>01/04/2025</v>
      </c>
      <c r="B142" t="str">
        <f t="shared" si="5"/>
        <v>E</v>
      </c>
      <c r="C142">
        <v>141</v>
      </c>
      <c r="D142" t="s">
        <v>11</v>
      </c>
      <c r="E142">
        <v>4</v>
      </c>
      <c r="F142">
        <v>3</v>
      </c>
      <c r="G142">
        <v>2.9750000000000001</v>
      </c>
      <c r="H142">
        <v>2.56</v>
      </c>
    </row>
    <row r="143" spans="1:8" x14ac:dyDescent="0.2">
      <c r="A143" s="25" t="str">
        <f t="shared" si="4"/>
        <v>01/04/2025</v>
      </c>
      <c r="B143" t="str">
        <f t="shared" si="5"/>
        <v>E</v>
      </c>
      <c r="C143">
        <v>142</v>
      </c>
      <c r="D143" t="s">
        <v>11</v>
      </c>
      <c r="E143">
        <v>4</v>
      </c>
      <c r="F143">
        <v>3</v>
      </c>
      <c r="G143">
        <v>3.2509999999999999</v>
      </c>
      <c r="H143">
        <v>2.0470000000000002</v>
      </c>
    </row>
    <row r="144" spans="1:8" x14ac:dyDescent="0.2">
      <c r="A144" s="25" t="str">
        <f t="shared" si="4"/>
        <v>01/04/2025</v>
      </c>
      <c r="B144" t="str">
        <f t="shared" si="5"/>
        <v>E</v>
      </c>
      <c r="C144">
        <v>143</v>
      </c>
      <c r="D144" t="s">
        <v>11</v>
      </c>
      <c r="E144">
        <v>4</v>
      </c>
      <c r="F144">
        <v>3</v>
      </c>
      <c r="G144">
        <v>2.9390000000000001</v>
      </c>
      <c r="H144">
        <v>2.6749999999999998</v>
      </c>
    </row>
    <row r="145" spans="1:8" x14ac:dyDescent="0.2">
      <c r="A145" s="25" t="str">
        <f t="shared" si="4"/>
        <v>01/04/2025</v>
      </c>
      <c r="B145" t="str">
        <f t="shared" si="5"/>
        <v>E</v>
      </c>
      <c r="C145">
        <v>144</v>
      </c>
      <c r="D145" t="s">
        <v>11</v>
      </c>
      <c r="E145">
        <v>4</v>
      </c>
      <c r="F145">
        <v>3</v>
      </c>
      <c r="G145">
        <v>3.03</v>
      </c>
      <c r="H145">
        <v>2.5880000000000001</v>
      </c>
    </row>
    <row r="146" spans="1:8" x14ac:dyDescent="0.2">
      <c r="A146" s="25" t="str">
        <f t="shared" si="4"/>
        <v>01/04/2025</v>
      </c>
      <c r="B146" t="str">
        <f t="shared" si="5"/>
        <v>E</v>
      </c>
      <c r="C146">
        <v>145</v>
      </c>
      <c r="D146" t="s">
        <v>11</v>
      </c>
      <c r="E146">
        <v>4</v>
      </c>
      <c r="F146">
        <v>3</v>
      </c>
      <c r="G146">
        <v>3.2410000000000001</v>
      </c>
      <c r="H146">
        <v>2.56</v>
      </c>
    </row>
    <row r="147" spans="1:8" x14ac:dyDescent="0.2">
      <c r="A147" s="25" t="str">
        <f t="shared" si="4"/>
        <v>01/04/2025</v>
      </c>
      <c r="B147" t="str">
        <f t="shared" si="5"/>
        <v>E</v>
      </c>
      <c r="C147">
        <v>146</v>
      </c>
      <c r="D147" t="s">
        <v>11</v>
      </c>
      <c r="E147">
        <v>4</v>
      </c>
      <c r="F147">
        <v>3</v>
      </c>
      <c r="G147">
        <v>3.3679999999999999</v>
      </c>
      <c r="H147">
        <v>2.66</v>
      </c>
    </row>
    <row r="148" spans="1:8" x14ac:dyDescent="0.2">
      <c r="A148" s="25" t="str">
        <f t="shared" si="4"/>
        <v>26/04/2025</v>
      </c>
      <c r="B148" t="str">
        <f t="shared" si="5"/>
        <v>D</v>
      </c>
      <c r="C148">
        <v>147</v>
      </c>
      <c r="D148" t="s">
        <v>11</v>
      </c>
      <c r="E148">
        <v>5</v>
      </c>
      <c r="F148">
        <v>1</v>
      </c>
      <c r="G148">
        <v>3.22</v>
      </c>
      <c r="H148">
        <v>2.4489999999999998</v>
      </c>
    </row>
    <row r="149" spans="1:8" x14ac:dyDescent="0.2">
      <c r="A149" s="25" t="str">
        <f t="shared" si="4"/>
        <v>26/04/2025</v>
      </c>
      <c r="B149" t="str">
        <f t="shared" si="5"/>
        <v>D</v>
      </c>
      <c r="C149">
        <v>148</v>
      </c>
      <c r="D149" t="s">
        <v>11</v>
      </c>
      <c r="E149">
        <v>5</v>
      </c>
      <c r="F149">
        <v>1</v>
      </c>
      <c r="G149">
        <v>3.3180000000000001</v>
      </c>
      <c r="H149">
        <v>2.585</v>
      </c>
    </row>
    <row r="150" spans="1:8" x14ac:dyDescent="0.2">
      <c r="A150" s="25" t="str">
        <f t="shared" si="4"/>
        <v>26/04/2025</v>
      </c>
      <c r="B150" t="str">
        <f t="shared" si="5"/>
        <v>D</v>
      </c>
      <c r="C150">
        <v>149</v>
      </c>
      <c r="D150" t="s">
        <v>11</v>
      </c>
      <c r="E150">
        <v>5</v>
      </c>
      <c r="F150">
        <v>1</v>
      </c>
      <c r="G150">
        <v>3.5960000000000001</v>
      </c>
      <c r="H150">
        <v>2.585</v>
      </c>
    </row>
    <row r="151" spans="1:8" x14ac:dyDescent="0.2">
      <c r="A151" s="25" t="str">
        <f t="shared" si="4"/>
        <v>26/04/2025</v>
      </c>
      <c r="B151" t="str">
        <f t="shared" si="5"/>
        <v>D</v>
      </c>
      <c r="C151">
        <v>150</v>
      </c>
      <c r="D151" t="s">
        <v>11</v>
      </c>
      <c r="E151">
        <v>5</v>
      </c>
      <c r="F151">
        <v>1</v>
      </c>
      <c r="G151">
        <v>3.39</v>
      </c>
      <c r="H151">
        <v>2.536</v>
      </c>
    </row>
    <row r="152" spans="1:8" x14ac:dyDescent="0.2">
      <c r="A152" s="25" t="str">
        <f t="shared" si="4"/>
        <v>26/04/2025</v>
      </c>
      <c r="B152" t="str">
        <f t="shared" si="5"/>
        <v>D</v>
      </c>
      <c r="C152">
        <v>151</v>
      </c>
      <c r="D152" t="s">
        <v>11</v>
      </c>
      <c r="E152">
        <v>5</v>
      </c>
      <c r="F152">
        <v>1</v>
      </c>
      <c r="G152">
        <v>3.4140000000000001</v>
      </c>
      <c r="H152">
        <v>2.7090000000000001</v>
      </c>
    </row>
    <row r="153" spans="1:8" x14ac:dyDescent="0.2">
      <c r="A153" s="25" t="str">
        <f t="shared" si="4"/>
        <v>26/04/2025</v>
      </c>
      <c r="B153" t="str">
        <f t="shared" si="5"/>
        <v>D</v>
      </c>
      <c r="C153">
        <v>152</v>
      </c>
      <c r="D153" t="s">
        <v>11</v>
      </c>
      <c r="E153">
        <v>5</v>
      </c>
      <c r="F153">
        <v>1</v>
      </c>
      <c r="G153">
        <v>3.5569999999999999</v>
      </c>
      <c r="H153">
        <v>2.6909999999999998</v>
      </c>
    </row>
    <row r="154" spans="1:8" x14ac:dyDescent="0.2">
      <c r="A154" s="25" t="str">
        <f t="shared" si="4"/>
        <v>26/04/2025</v>
      </c>
      <c r="B154" t="str">
        <f t="shared" si="5"/>
        <v>D</v>
      </c>
      <c r="C154">
        <v>153</v>
      </c>
      <c r="D154" t="s">
        <v>11</v>
      </c>
      <c r="E154">
        <v>5</v>
      </c>
      <c r="F154">
        <v>1</v>
      </c>
      <c r="G154">
        <v>2.984</v>
      </c>
      <c r="H154">
        <v>2.5470000000000002</v>
      </c>
    </row>
    <row r="155" spans="1:8" x14ac:dyDescent="0.2">
      <c r="A155" s="25" t="str">
        <f t="shared" si="4"/>
        <v>26/04/2025</v>
      </c>
      <c r="B155" t="str">
        <f t="shared" si="5"/>
        <v>D</v>
      </c>
      <c r="C155">
        <v>154</v>
      </c>
      <c r="D155" t="s">
        <v>11</v>
      </c>
      <c r="E155">
        <v>5</v>
      </c>
      <c r="F155">
        <v>1</v>
      </c>
      <c r="G155">
        <v>3.6819999999999999</v>
      </c>
      <c r="H155">
        <v>2.1960000000000002</v>
      </c>
    </row>
    <row r="156" spans="1:8" x14ac:dyDescent="0.2">
      <c r="A156" s="25" t="str">
        <f t="shared" si="4"/>
        <v>26/04/2025</v>
      </c>
      <c r="B156" t="str">
        <f t="shared" si="5"/>
        <v>D</v>
      </c>
      <c r="C156">
        <v>155</v>
      </c>
      <c r="D156" t="s">
        <v>11</v>
      </c>
      <c r="E156">
        <v>5</v>
      </c>
      <c r="F156">
        <v>1</v>
      </c>
      <c r="G156">
        <v>3.7360000000000002</v>
      </c>
      <c r="H156">
        <v>2.379</v>
      </c>
    </row>
    <row r="157" spans="1:8" x14ac:dyDescent="0.2">
      <c r="A157" s="25" t="str">
        <f t="shared" si="4"/>
        <v>26/04/2025</v>
      </c>
      <c r="B157" t="str">
        <f t="shared" si="5"/>
        <v>D</v>
      </c>
      <c r="C157">
        <v>156</v>
      </c>
      <c r="D157" t="s">
        <v>11</v>
      </c>
      <c r="E157">
        <v>5</v>
      </c>
      <c r="F157">
        <v>1</v>
      </c>
      <c r="G157">
        <v>3.2810000000000001</v>
      </c>
      <c r="H157">
        <v>2.6859999999999999</v>
      </c>
    </row>
    <row r="158" spans="1:8" x14ac:dyDescent="0.2">
      <c r="A158" s="25" t="str">
        <f t="shared" si="4"/>
        <v>26/04/2025</v>
      </c>
      <c r="B158" t="str">
        <f t="shared" si="5"/>
        <v>D</v>
      </c>
      <c r="C158">
        <v>157</v>
      </c>
      <c r="D158" t="s">
        <v>11</v>
      </c>
      <c r="E158">
        <v>5</v>
      </c>
      <c r="F158">
        <v>1</v>
      </c>
      <c r="G158">
        <v>3.48</v>
      </c>
      <c r="H158">
        <v>2.589</v>
      </c>
    </row>
    <row r="159" spans="1:8" x14ac:dyDescent="0.2">
      <c r="A159" s="25" t="str">
        <f t="shared" si="4"/>
        <v>26/04/2025</v>
      </c>
      <c r="B159" t="str">
        <f t="shared" si="5"/>
        <v>D</v>
      </c>
      <c r="C159">
        <v>158</v>
      </c>
      <c r="D159" t="s">
        <v>11</v>
      </c>
      <c r="E159">
        <v>5</v>
      </c>
      <c r="F159">
        <v>1</v>
      </c>
      <c r="G159">
        <v>3.516</v>
      </c>
      <c r="H159">
        <v>2.399</v>
      </c>
    </row>
    <row r="160" spans="1:8" x14ac:dyDescent="0.2">
      <c r="A160" s="25" t="str">
        <f t="shared" si="4"/>
        <v>26/04/2025</v>
      </c>
      <c r="B160" t="str">
        <f t="shared" si="5"/>
        <v>D</v>
      </c>
      <c r="C160">
        <v>159</v>
      </c>
      <c r="D160" t="s">
        <v>11</v>
      </c>
      <c r="E160">
        <v>5</v>
      </c>
      <c r="F160">
        <v>2</v>
      </c>
      <c r="G160">
        <v>2.831</v>
      </c>
      <c r="H160">
        <v>2.395</v>
      </c>
    </row>
    <row r="161" spans="1:8" x14ac:dyDescent="0.2">
      <c r="A161" s="25" t="str">
        <f t="shared" si="4"/>
        <v>26/04/2025</v>
      </c>
      <c r="B161" t="str">
        <f t="shared" si="5"/>
        <v>D</v>
      </c>
      <c r="C161">
        <v>160</v>
      </c>
      <c r="D161" t="s">
        <v>11</v>
      </c>
      <c r="E161">
        <v>5</v>
      </c>
      <c r="F161">
        <v>2</v>
      </c>
      <c r="G161">
        <v>3.2290000000000001</v>
      </c>
      <c r="H161">
        <v>2.3519999999999999</v>
      </c>
    </row>
    <row r="162" spans="1:8" x14ac:dyDescent="0.2">
      <c r="A162" s="25" t="str">
        <f t="shared" si="4"/>
        <v>26/04/2025</v>
      </c>
      <c r="B162" t="str">
        <f t="shared" si="5"/>
        <v>D</v>
      </c>
      <c r="C162">
        <v>161</v>
      </c>
      <c r="D162" t="s">
        <v>11</v>
      </c>
      <c r="E162">
        <v>5</v>
      </c>
      <c r="F162">
        <v>2</v>
      </c>
      <c r="G162">
        <v>3.3370000000000002</v>
      </c>
      <c r="H162">
        <v>2.2090000000000001</v>
      </c>
    </row>
    <row r="163" spans="1:8" x14ac:dyDescent="0.2">
      <c r="A163" s="25" t="str">
        <f t="shared" si="4"/>
        <v>26/04/2025</v>
      </c>
      <c r="B163" t="str">
        <f t="shared" si="5"/>
        <v>D</v>
      </c>
      <c r="C163">
        <v>162</v>
      </c>
      <c r="D163" t="s">
        <v>11</v>
      </c>
      <c r="E163">
        <v>5</v>
      </c>
      <c r="F163">
        <v>2</v>
      </c>
      <c r="G163">
        <v>3.1720000000000002</v>
      </c>
      <c r="H163">
        <v>2.4049999999999998</v>
      </c>
    </row>
    <row r="164" spans="1:8" x14ac:dyDescent="0.2">
      <c r="A164" s="25" t="str">
        <f t="shared" si="4"/>
        <v>26/04/2025</v>
      </c>
      <c r="B164" t="str">
        <f t="shared" si="5"/>
        <v>D</v>
      </c>
      <c r="C164">
        <v>163</v>
      </c>
      <c r="D164" t="s">
        <v>11</v>
      </c>
      <c r="E164">
        <v>5</v>
      </c>
      <c r="F164">
        <v>2</v>
      </c>
      <c r="G164">
        <v>2.944</v>
      </c>
      <c r="H164">
        <v>2.3519999999999999</v>
      </c>
    </row>
    <row r="165" spans="1:8" x14ac:dyDescent="0.2">
      <c r="A165" s="25" t="str">
        <f t="shared" si="4"/>
        <v>26/04/2025</v>
      </c>
      <c r="B165" t="str">
        <f t="shared" si="5"/>
        <v>D</v>
      </c>
      <c r="C165">
        <v>164</v>
      </c>
      <c r="D165" t="s">
        <v>11</v>
      </c>
      <c r="E165">
        <v>5</v>
      </c>
      <c r="F165">
        <v>2</v>
      </c>
      <c r="G165">
        <v>3.173</v>
      </c>
      <c r="H165">
        <v>2.4870000000000001</v>
      </c>
    </row>
    <row r="166" spans="1:8" x14ac:dyDescent="0.2">
      <c r="A166" s="25" t="str">
        <f t="shared" si="4"/>
        <v>26/04/2025</v>
      </c>
      <c r="B166" t="str">
        <f t="shared" si="5"/>
        <v>D</v>
      </c>
      <c r="C166">
        <v>165</v>
      </c>
      <c r="D166" t="s">
        <v>11</v>
      </c>
      <c r="E166">
        <v>5</v>
      </c>
      <c r="F166">
        <v>2</v>
      </c>
      <c r="G166">
        <v>3.2130000000000001</v>
      </c>
      <c r="H166">
        <v>2.327</v>
      </c>
    </row>
    <row r="167" spans="1:8" x14ac:dyDescent="0.2">
      <c r="A167" s="25" t="str">
        <f t="shared" si="4"/>
        <v>26/04/2025</v>
      </c>
      <c r="B167" t="str">
        <f t="shared" si="5"/>
        <v>D</v>
      </c>
      <c r="C167">
        <v>166</v>
      </c>
      <c r="D167" t="s">
        <v>11</v>
      </c>
      <c r="E167">
        <v>5</v>
      </c>
      <c r="F167">
        <v>2</v>
      </c>
      <c r="G167">
        <v>3.2719999999999998</v>
      </c>
      <c r="H167">
        <v>2.411</v>
      </c>
    </row>
    <row r="168" spans="1:8" x14ac:dyDescent="0.2">
      <c r="A168" s="25" t="str">
        <f t="shared" si="4"/>
        <v>26/04/2025</v>
      </c>
      <c r="B168" t="str">
        <f t="shared" si="5"/>
        <v>D</v>
      </c>
      <c r="C168">
        <v>167</v>
      </c>
      <c r="D168" t="s">
        <v>11</v>
      </c>
      <c r="E168">
        <v>5</v>
      </c>
      <c r="F168">
        <v>2</v>
      </c>
      <c r="G168">
        <v>3.0779999999999998</v>
      </c>
      <c r="H168">
        <v>2.5129999999999999</v>
      </c>
    </row>
    <row r="169" spans="1:8" x14ac:dyDescent="0.2">
      <c r="A169" s="25" t="str">
        <f t="shared" si="4"/>
        <v>26/04/2025</v>
      </c>
      <c r="B169" t="str">
        <f t="shared" si="5"/>
        <v>D</v>
      </c>
      <c r="C169">
        <v>168</v>
      </c>
      <c r="D169" t="s">
        <v>11</v>
      </c>
      <c r="E169">
        <v>5</v>
      </c>
      <c r="F169">
        <v>2</v>
      </c>
      <c r="G169">
        <v>3.4590000000000001</v>
      </c>
      <c r="H169">
        <v>2.7149999999999999</v>
      </c>
    </row>
    <row r="170" spans="1:8" x14ac:dyDescent="0.2">
      <c r="A170" s="25" t="str">
        <f t="shared" si="4"/>
        <v>26/04/2025</v>
      </c>
      <c r="B170" t="str">
        <f t="shared" si="5"/>
        <v>D</v>
      </c>
      <c r="C170">
        <v>169</v>
      </c>
      <c r="D170" t="s">
        <v>11</v>
      </c>
      <c r="E170">
        <v>5</v>
      </c>
      <c r="F170">
        <v>2</v>
      </c>
      <c r="G170">
        <v>3.2679999999999998</v>
      </c>
      <c r="H170">
        <v>2.7509999999999999</v>
      </c>
    </row>
    <row r="171" spans="1:8" x14ac:dyDescent="0.2">
      <c r="A171" s="25" t="str">
        <f t="shared" si="4"/>
        <v>26/04/2025</v>
      </c>
      <c r="B171" t="str">
        <f t="shared" si="5"/>
        <v>D</v>
      </c>
      <c r="C171">
        <v>170</v>
      </c>
      <c r="D171" t="s">
        <v>11</v>
      </c>
      <c r="E171">
        <v>5</v>
      </c>
      <c r="F171">
        <v>2</v>
      </c>
      <c r="G171">
        <v>2.89</v>
      </c>
      <c r="H171">
        <v>2.8079999999999998</v>
      </c>
    </row>
    <row r="172" spans="1:8" x14ac:dyDescent="0.2">
      <c r="A172" s="25" t="str">
        <f t="shared" si="4"/>
        <v>26/04/2025</v>
      </c>
      <c r="B172" t="str">
        <f t="shared" si="5"/>
        <v>D</v>
      </c>
      <c r="C172">
        <v>171</v>
      </c>
      <c r="D172" t="s">
        <v>11</v>
      </c>
      <c r="E172">
        <v>5</v>
      </c>
      <c r="F172">
        <v>2</v>
      </c>
      <c r="G172">
        <v>3.3929999999999998</v>
      </c>
      <c r="H172">
        <v>2.34</v>
      </c>
    </row>
    <row r="173" spans="1:8" x14ac:dyDescent="0.2">
      <c r="A173" s="25" t="str">
        <f t="shared" si="4"/>
        <v>26/04/2025</v>
      </c>
      <c r="B173" t="str">
        <f t="shared" si="5"/>
        <v>D</v>
      </c>
      <c r="C173">
        <v>172</v>
      </c>
      <c r="D173" t="s">
        <v>11</v>
      </c>
      <c r="E173">
        <v>5</v>
      </c>
      <c r="F173">
        <v>2</v>
      </c>
      <c r="G173">
        <v>2.9369999999999998</v>
      </c>
      <c r="H173">
        <v>2.5339999999999998</v>
      </c>
    </row>
    <row r="174" spans="1:8" x14ac:dyDescent="0.2">
      <c r="A174" s="25" t="str">
        <f t="shared" si="4"/>
        <v>26/04/2025</v>
      </c>
      <c r="B174" t="str">
        <f t="shared" si="5"/>
        <v>D</v>
      </c>
      <c r="C174">
        <v>173</v>
      </c>
      <c r="D174" t="s">
        <v>11</v>
      </c>
      <c r="E174">
        <v>5</v>
      </c>
      <c r="F174">
        <v>2</v>
      </c>
      <c r="G174">
        <v>3.5950000000000002</v>
      </c>
      <c r="H174">
        <v>2.77</v>
      </c>
    </row>
    <row r="175" spans="1:8" x14ac:dyDescent="0.2">
      <c r="A175" s="25" t="str">
        <f t="shared" si="4"/>
        <v>01/04/2025</v>
      </c>
      <c r="B175" t="str">
        <f t="shared" si="5"/>
        <v>E</v>
      </c>
      <c r="C175">
        <v>174</v>
      </c>
      <c r="D175" t="s">
        <v>11</v>
      </c>
      <c r="E175">
        <v>5</v>
      </c>
      <c r="F175">
        <v>3</v>
      </c>
      <c r="G175">
        <v>3.1190000000000002</v>
      </c>
      <c r="H175">
        <v>2.7869999999999999</v>
      </c>
    </row>
    <row r="176" spans="1:8" x14ac:dyDescent="0.2">
      <c r="A176" s="25" t="str">
        <f t="shared" si="4"/>
        <v>01/04/2025</v>
      </c>
      <c r="B176" t="str">
        <f t="shared" si="5"/>
        <v>E</v>
      </c>
      <c r="C176">
        <v>175</v>
      </c>
      <c r="D176" t="s">
        <v>11</v>
      </c>
      <c r="E176">
        <v>5</v>
      </c>
      <c r="F176">
        <v>3</v>
      </c>
      <c r="G176">
        <v>3.2919999999999998</v>
      </c>
      <c r="H176">
        <v>2.456</v>
      </c>
    </row>
    <row r="177" spans="1:8" x14ac:dyDescent="0.2">
      <c r="A177" s="25" t="str">
        <f t="shared" si="4"/>
        <v>01/04/2025</v>
      </c>
      <c r="B177" t="str">
        <f t="shared" si="5"/>
        <v>E</v>
      </c>
      <c r="C177">
        <v>176</v>
      </c>
      <c r="D177" t="s">
        <v>11</v>
      </c>
      <c r="E177">
        <v>5</v>
      </c>
      <c r="F177">
        <v>3</v>
      </c>
      <c r="G177">
        <v>3.7839999999999998</v>
      </c>
      <c r="H177">
        <v>2.6360000000000001</v>
      </c>
    </row>
    <row r="178" spans="1:8" x14ac:dyDescent="0.2">
      <c r="A178" s="25" t="str">
        <f t="shared" si="4"/>
        <v>01/04/2025</v>
      </c>
      <c r="B178" t="str">
        <f t="shared" si="5"/>
        <v>E</v>
      </c>
      <c r="C178">
        <v>177</v>
      </c>
      <c r="D178" t="s">
        <v>11</v>
      </c>
      <c r="E178">
        <v>5</v>
      </c>
      <c r="F178">
        <v>3</v>
      </c>
      <c r="G178">
        <v>3.581</v>
      </c>
      <c r="H178">
        <v>2.8130000000000002</v>
      </c>
    </row>
    <row r="179" spans="1:8" x14ac:dyDescent="0.2">
      <c r="A179" s="25" t="str">
        <f t="shared" si="4"/>
        <v>01/04/2025</v>
      </c>
      <c r="B179" t="str">
        <f t="shared" si="5"/>
        <v>E</v>
      </c>
      <c r="C179">
        <v>178</v>
      </c>
      <c r="D179" t="s">
        <v>11</v>
      </c>
      <c r="E179">
        <v>5</v>
      </c>
      <c r="F179">
        <v>3</v>
      </c>
      <c r="G179">
        <v>3.17</v>
      </c>
      <c r="H179">
        <v>2.7010000000000001</v>
      </c>
    </row>
    <row r="180" spans="1:8" x14ac:dyDescent="0.2">
      <c r="A180" s="25" t="str">
        <f t="shared" si="4"/>
        <v>01/04/2025</v>
      </c>
      <c r="B180" t="str">
        <f t="shared" si="5"/>
        <v>E</v>
      </c>
      <c r="C180">
        <v>179</v>
      </c>
      <c r="D180" t="s">
        <v>11</v>
      </c>
      <c r="E180">
        <v>5</v>
      </c>
      <c r="F180">
        <v>3</v>
      </c>
      <c r="G180">
        <v>3.2229999999999999</v>
      </c>
      <c r="H180">
        <v>2.5</v>
      </c>
    </row>
    <row r="181" spans="1:8" x14ac:dyDescent="0.2">
      <c r="A181" s="25" t="str">
        <f t="shared" si="4"/>
        <v>01/04/2025</v>
      </c>
      <c r="B181" t="str">
        <f t="shared" si="5"/>
        <v>E</v>
      </c>
      <c r="C181">
        <v>180</v>
      </c>
      <c r="D181" t="s">
        <v>11</v>
      </c>
      <c r="E181">
        <v>5</v>
      </c>
      <c r="F181">
        <v>3</v>
      </c>
      <c r="G181">
        <v>3.399</v>
      </c>
      <c r="H181">
        <v>2.5609999999999999</v>
      </c>
    </row>
    <row r="182" spans="1:8" x14ac:dyDescent="0.2">
      <c r="A182" s="25" t="str">
        <f t="shared" si="4"/>
        <v>01/04/2025</v>
      </c>
      <c r="B182" t="str">
        <f t="shared" si="5"/>
        <v>E</v>
      </c>
      <c r="C182">
        <v>181</v>
      </c>
      <c r="D182" t="s">
        <v>11</v>
      </c>
      <c r="E182">
        <v>5</v>
      </c>
      <c r="F182">
        <v>3</v>
      </c>
      <c r="G182">
        <v>3.2029999999999998</v>
      </c>
      <c r="H182">
        <v>2.5510000000000002</v>
      </c>
    </row>
    <row r="183" spans="1:8" x14ac:dyDescent="0.2">
      <c r="A183" s="25" t="str">
        <f t="shared" si="4"/>
        <v>01/04/2025</v>
      </c>
      <c r="B183" t="str">
        <f t="shared" si="5"/>
        <v>E</v>
      </c>
      <c r="C183">
        <v>182</v>
      </c>
      <c r="D183" t="s">
        <v>11</v>
      </c>
      <c r="E183">
        <v>5</v>
      </c>
      <c r="F183">
        <v>3</v>
      </c>
      <c r="G183">
        <v>3.5</v>
      </c>
      <c r="H183">
        <v>2.6869999999999998</v>
      </c>
    </row>
    <row r="184" spans="1:8" x14ac:dyDescent="0.2">
      <c r="A184" s="25" t="str">
        <f t="shared" si="4"/>
        <v>01/04/2025</v>
      </c>
      <c r="B184" t="str">
        <f t="shared" si="5"/>
        <v>E</v>
      </c>
      <c r="C184">
        <v>183</v>
      </c>
      <c r="D184" t="s">
        <v>11</v>
      </c>
      <c r="E184">
        <v>5</v>
      </c>
      <c r="F184">
        <v>3</v>
      </c>
      <c r="G184">
        <v>2.9980000000000002</v>
      </c>
      <c r="H184">
        <v>2.6030000000000002</v>
      </c>
    </row>
    <row r="185" spans="1:8" x14ac:dyDescent="0.2">
      <c r="A185" s="25" t="str">
        <f t="shared" si="4"/>
        <v>01/04/2025</v>
      </c>
      <c r="B185" t="str">
        <f t="shared" si="5"/>
        <v>E</v>
      </c>
      <c r="C185">
        <v>184</v>
      </c>
      <c r="D185" t="s">
        <v>11</v>
      </c>
      <c r="E185">
        <v>5</v>
      </c>
      <c r="F185">
        <v>3</v>
      </c>
      <c r="G185">
        <v>3.1669999999999998</v>
      </c>
      <c r="H185">
        <v>2.4220000000000002</v>
      </c>
    </row>
    <row r="186" spans="1:8" x14ac:dyDescent="0.2">
      <c r="A186" s="25" t="str">
        <f t="shared" si="4"/>
        <v>26/04/2025</v>
      </c>
      <c r="B186" t="str">
        <f t="shared" si="5"/>
        <v>D</v>
      </c>
      <c r="C186">
        <v>185</v>
      </c>
      <c r="D186" t="s">
        <v>11</v>
      </c>
      <c r="E186">
        <v>6</v>
      </c>
      <c r="F186">
        <v>1</v>
      </c>
      <c r="G186">
        <v>3.653</v>
      </c>
      <c r="H186">
        <v>2.3050000000000002</v>
      </c>
    </row>
    <row r="187" spans="1:8" x14ac:dyDescent="0.2">
      <c r="A187" s="25" t="str">
        <f t="shared" si="4"/>
        <v>26/04/2025</v>
      </c>
      <c r="B187" t="str">
        <f t="shared" si="5"/>
        <v>D</v>
      </c>
      <c r="C187">
        <v>186</v>
      </c>
      <c r="D187" t="s">
        <v>11</v>
      </c>
      <c r="E187">
        <v>6</v>
      </c>
      <c r="F187">
        <v>1</v>
      </c>
      <c r="G187">
        <v>3.0019999999999998</v>
      </c>
      <c r="H187">
        <v>2.4660000000000002</v>
      </c>
    </row>
    <row r="188" spans="1:8" x14ac:dyDescent="0.2">
      <c r="A188" s="25" t="str">
        <f t="shared" si="4"/>
        <v>26/04/2025</v>
      </c>
      <c r="B188" t="str">
        <f t="shared" si="5"/>
        <v>D</v>
      </c>
      <c r="C188">
        <v>187</v>
      </c>
      <c r="D188" t="s">
        <v>11</v>
      </c>
      <c r="E188">
        <v>6</v>
      </c>
      <c r="F188">
        <v>1</v>
      </c>
      <c r="G188">
        <v>3.0609999999999999</v>
      </c>
      <c r="H188">
        <v>2.4140000000000001</v>
      </c>
    </row>
    <row r="189" spans="1:8" x14ac:dyDescent="0.2">
      <c r="A189" s="25" t="str">
        <f t="shared" si="4"/>
        <v>26/04/2025</v>
      </c>
      <c r="B189" t="str">
        <f t="shared" si="5"/>
        <v>D</v>
      </c>
      <c r="C189">
        <v>188</v>
      </c>
      <c r="D189" t="s">
        <v>11</v>
      </c>
      <c r="E189">
        <v>6</v>
      </c>
      <c r="F189">
        <v>1</v>
      </c>
      <c r="G189">
        <v>3.3220000000000001</v>
      </c>
      <c r="H189">
        <v>2.218</v>
      </c>
    </row>
    <row r="190" spans="1:8" x14ac:dyDescent="0.2">
      <c r="A190" s="25" t="str">
        <f t="shared" si="4"/>
        <v>26/04/2025</v>
      </c>
      <c r="B190" t="str">
        <f t="shared" si="5"/>
        <v>D</v>
      </c>
      <c r="C190">
        <v>189</v>
      </c>
      <c r="D190" t="s">
        <v>11</v>
      </c>
      <c r="E190">
        <v>6</v>
      </c>
      <c r="F190">
        <v>1</v>
      </c>
      <c r="G190">
        <v>3.13</v>
      </c>
      <c r="H190">
        <v>2.4830000000000001</v>
      </c>
    </row>
    <row r="191" spans="1:8" x14ac:dyDescent="0.2">
      <c r="A191" s="25" t="str">
        <f t="shared" si="4"/>
        <v>26/04/2025</v>
      </c>
      <c r="B191" t="str">
        <f t="shared" si="5"/>
        <v>D</v>
      </c>
      <c r="C191">
        <v>190</v>
      </c>
      <c r="D191" t="s">
        <v>11</v>
      </c>
      <c r="E191">
        <v>6</v>
      </c>
      <c r="F191">
        <v>1</v>
      </c>
      <c r="G191">
        <v>3.339</v>
      </c>
      <c r="H191">
        <v>2.177</v>
      </c>
    </row>
    <row r="192" spans="1:8" x14ac:dyDescent="0.2">
      <c r="A192" s="25" t="str">
        <f t="shared" si="4"/>
        <v>01/04/2025</v>
      </c>
      <c r="B192" t="str">
        <f t="shared" si="5"/>
        <v>E</v>
      </c>
      <c r="C192">
        <v>191</v>
      </c>
      <c r="D192" t="s">
        <v>11</v>
      </c>
      <c r="E192">
        <v>6</v>
      </c>
      <c r="F192">
        <v>3</v>
      </c>
      <c r="G192">
        <v>3.0870000000000002</v>
      </c>
      <c r="H192">
        <v>2.2679999999999998</v>
      </c>
    </row>
    <row r="193" spans="1:8" x14ac:dyDescent="0.2">
      <c r="A193" s="25" t="str">
        <f t="shared" si="4"/>
        <v>26/04/2025</v>
      </c>
      <c r="B193" t="str">
        <f t="shared" si="5"/>
        <v>D</v>
      </c>
      <c r="C193">
        <v>192</v>
      </c>
      <c r="D193" t="s">
        <v>11</v>
      </c>
      <c r="E193">
        <v>7</v>
      </c>
      <c r="F193">
        <v>1</v>
      </c>
      <c r="G193">
        <v>3.09</v>
      </c>
      <c r="H193">
        <v>2.359</v>
      </c>
    </row>
    <row r="194" spans="1:8" x14ac:dyDescent="0.2">
      <c r="A194" s="25" t="str">
        <f t="shared" si="4"/>
        <v>26/04/2025</v>
      </c>
      <c r="B194" t="str">
        <f t="shared" si="5"/>
        <v>D</v>
      </c>
      <c r="C194">
        <v>193</v>
      </c>
      <c r="D194" t="s">
        <v>11</v>
      </c>
      <c r="E194">
        <v>7</v>
      </c>
      <c r="F194">
        <v>2</v>
      </c>
      <c r="G194">
        <v>3.6459999999999999</v>
      </c>
      <c r="H194">
        <v>2.5299999999999998</v>
      </c>
    </row>
    <row r="195" spans="1:8" x14ac:dyDescent="0.2">
      <c r="A195" s="25" t="str">
        <f t="shared" ref="A195:A258" si="6">IF(F195&lt;3, "26/04/2025", "01/04/2025")</f>
        <v>26/04/2025</v>
      </c>
      <c r="B195" t="str">
        <f t="shared" ref="B195:B258" si="7">IF(F195&lt;3, "D", "E")</f>
        <v>D</v>
      </c>
      <c r="C195">
        <v>194</v>
      </c>
      <c r="D195" t="s">
        <v>11</v>
      </c>
      <c r="E195">
        <v>7</v>
      </c>
      <c r="F195">
        <v>2</v>
      </c>
      <c r="G195">
        <v>3.5310000000000001</v>
      </c>
      <c r="H195">
        <v>2.5539999999999998</v>
      </c>
    </row>
    <row r="196" spans="1:8" x14ac:dyDescent="0.2">
      <c r="A196" s="25" t="str">
        <f t="shared" si="6"/>
        <v>01/04/2025</v>
      </c>
      <c r="B196" t="str">
        <f t="shared" si="7"/>
        <v>E</v>
      </c>
      <c r="C196">
        <v>195</v>
      </c>
      <c r="D196" t="s">
        <v>11</v>
      </c>
      <c r="E196">
        <v>7</v>
      </c>
      <c r="F196">
        <v>3</v>
      </c>
      <c r="G196">
        <v>3.8239999999999998</v>
      </c>
      <c r="H196">
        <v>2.5590000000000002</v>
      </c>
    </row>
    <row r="197" spans="1:8" x14ac:dyDescent="0.2">
      <c r="A197" s="25" t="str">
        <f t="shared" si="6"/>
        <v>01/04/2025</v>
      </c>
      <c r="B197" t="str">
        <f t="shared" si="7"/>
        <v>E</v>
      </c>
      <c r="C197">
        <v>196</v>
      </c>
      <c r="D197" t="s">
        <v>11</v>
      </c>
      <c r="E197">
        <v>7</v>
      </c>
      <c r="F197">
        <v>3</v>
      </c>
      <c r="G197">
        <v>3.782</v>
      </c>
      <c r="H197">
        <v>2.5259999999999998</v>
      </c>
    </row>
    <row r="198" spans="1:8" x14ac:dyDescent="0.2">
      <c r="A198" s="25" t="str">
        <f t="shared" si="6"/>
        <v>01/04/2025</v>
      </c>
      <c r="B198" t="str">
        <f t="shared" si="7"/>
        <v>E</v>
      </c>
      <c r="C198">
        <v>197</v>
      </c>
      <c r="D198" t="s">
        <v>11</v>
      </c>
      <c r="E198">
        <v>7</v>
      </c>
      <c r="F198">
        <v>3</v>
      </c>
      <c r="G198">
        <v>3.976</v>
      </c>
      <c r="H198">
        <v>2.5499999999999998</v>
      </c>
    </row>
    <row r="199" spans="1:8" x14ac:dyDescent="0.2">
      <c r="A199" s="25" t="str">
        <f t="shared" si="6"/>
        <v>01/04/2025</v>
      </c>
      <c r="B199" t="str">
        <f t="shared" si="7"/>
        <v>E</v>
      </c>
      <c r="C199">
        <v>198</v>
      </c>
      <c r="D199" t="s">
        <v>11</v>
      </c>
      <c r="E199">
        <v>7</v>
      </c>
      <c r="F199">
        <v>3</v>
      </c>
      <c r="G199">
        <v>3.4079999999999999</v>
      </c>
      <c r="H199">
        <v>2.3780000000000001</v>
      </c>
    </row>
    <row r="200" spans="1:8" x14ac:dyDescent="0.2">
      <c r="A200" s="25" t="str">
        <f t="shared" si="6"/>
        <v>26/04/2025</v>
      </c>
      <c r="B200" t="str">
        <f t="shared" si="7"/>
        <v>D</v>
      </c>
      <c r="C200">
        <v>199</v>
      </c>
      <c r="D200" t="s">
        <v>12</v>
      </c>
      <c r="E200">
        <v>1</v>
      </c>
      <c r="F200">
        <v>1</v>
      </c>
      <c r="G200">
        <v>3.411</v>
      </c>
      <c r="H200">
        <v>2.1509999999999998</v>
      </c>
    </row>
    <row r="201" spans="1:8" x14ac:dyDescent="0.2">
      <c r="A201" s="25" t="str">
        <f t="shared" si="6"/>
        <v>26/04/2025</v>
      </c>
      <c r="B201" t="str">
        <f t="shared" si="7"/>
        <v>D</v>
      </c>
      <c r="C201">
        <v>200</v>
      </c>
      <c r="D201" t="s">
        <v>12</v>
      </c>
      <c r="E201">
        <v>1</v>
      </c>
      <c r="F201">
        <v>1</v>
      </c>
      <c r="G201">
        <v>3.3820000000000001</v>
      </c>
      <c r="H201">
        <v>2.4369999999999998</v>
      </c>
    </row>
    <row r="202" spans="1:8" x14ac:dyDescent="0.2">
      <c r="A202" s="25" t="str">
        <f t="shared" si="6"/>
        <v>26/04/2025</v>
      </c>
      <c r="B202" t="str">
        <f t="shared" si="7"/>
        <v>D</v>
      </c>
      <c r="C202">
        <v>201</v>
      </c>
      <c r="D202" t="s">
        <v>12</v>
      </c>
      <c r="E202">
        <v>1</v>
      </c>
      <c r="F202">
        <v>1</v>
      </c>
      <c r="G202">
        <v>3.3660000000000001</v>
      </c>
      <c r="H202">
        <v>2.1859999999999999</v>
      </c>
    </row>
    <row r="203" spans="1:8" x14ac:dyDescent="0.2">
      <c r="A203" s="25" t="str">
        <f t="shared" si="6"/>
        <v>26/04/2025</v>
      </c>
      <c r="B203" t="str">
        <f t="shared" si="7"/>
        <v>D</v>
      </c>
      <c r="C203">
        <v>202</v>
      </c>
      <c r="D203" t="s">
        <v>12</v>
      </c>
      <c r="E203">
        <v>1</v>
      </c>
      <c r="F203">
        <v>1</v>
      </c>
      <c r="G203">
        <v>3.327</v>
      </c>
      <c r="H203">
        <v>2.8119999999999998</v>
      </c>
    </row>
    <row r="204" spans="1:8" x14ac:dyDescent="0.2">
      <c r="A204" s="25" t="str">
        <f t="shared" si="6"/>
        <v>26/04/2025</v>
      </c>
      <c r="B204" t="str">
        <f t="shared" si="7"/>
        <v>D</v>
      </c>
      <c r="C204">
        <v>203</v>
      </c>
      <c r="D204" t="s">
        <v>12</v>
      </c>
      <c r="E204">
        <v>1</v>
      </c>
      <c r="F204">
        <v>1</v>
      </c>
      <c r="G204">
        <v>3.4340000000000002</v>
      </c>
      <c r="H204">
        <v>2.2869999999999999</v>
      </c>
    </row>
    <row r="205" spans="1:8" x14ac:dyDescent="0.2">
      <c r="A205" s="25" t="str">
        <f t="shared" si="6"/>
        <v>26/04/2025</v>
      </c>
      <c r="B205" t="str">
        <f t="shared" si="7"/>
        <v>D</v>
      </c>
      <c r="C205">
        <v>204</v>
      </c>
      <c r="D205" t="s">
        <v>12</v>
      </c>
      <c r="E205">
        <v>1</v>
      </c>
      <c r="F205">
        <v>1</v>
      </c>
      <c r="G205">
        <v>3.3250000000000002</v>
      </c>
      <c r="H205">
        <v>2.5430000000000001</v>
      </c>
    </row>
    <row r="206" spans="1:8" x14ac:dyDescent="0.2">
      <c r="A206" s="25" t="str">
        <f t="shared" si="6"/>
        <v>26/04/2025</v>
      </c>
      <c r="B206" t="str">
        <f t="shared" si="7"/>
        <v>D</v>
      </c>
      <c r="C206">
        <v>205</v>
      </c>
      <c r="D206" t="s">
        <v>12</v>
      </c>
      <c r="E206">
        <v>1</v>
      </c>
      <c r="F206">
        <v>1</v>
      </c>
      <c r="G206">
        <v>2.8340000000000001</v>
      </c>
      <c r="H206">
        <v>2.4129999999999998</v>
      </c>
    </row>
    <row r="207" spans="1:8" x14ac:dyDescent="0.2">
      <c r="A207" s="25" t="str">
        <f t="shared" si="6"/>
        <v>26/04/2025</v>
      </c>
      <c r="B207" t="str">
        <f t="shared" si="7"/>
        <v>D</v>
      </c>
      <c r="C207">
        <v>206</v>
      </c>
      <c r="D207" t="s">
        <v>12</v>
      </c>
      <c r="E207">
        <v>1</v>
      </c>
      <c r="F207">
        <v>1</v>
      </c>
      <c r="G207">
        <v>3.2290000000000001</v>
      </c>
      <c r="H207">
        <v>2.2240000000000002</v>
      </c>
    </row>
    <row r="208" spans="1:8" x14ac:dyDescent="0.2">
      <c r="A208" s="25" t="str">
        <f t="shared" si="6"/>
        <v>26/04/2025</v>
      </c>
      <c r="B208" t="str">
        <f t="shared" si="7"/>
        <v>D</v>
      </c>
      <c r="C208">
        <v>207</v>
      </c>
      <c r="D208" t="s">
        <v>12</v>
      </c>
      <c r="E208">
        <v>1</v>
      </c>
      <c r="F208">
        <v>1</v>
      </c>
      <c r="G208">
        <v>3.1680000000000001</v>
      </c>
      <c r="H208">
        <v>2.1819999999999999</v>
      </c>
    </row>
    <row r="209" spans="1:8" x14ac:dyDescent="0.2">
      <c r="A209" s="25" t="str">
        <f t="shared" si="6"/>
        <v>26/04/2025</v>
      </c>
      <c r="B209" t="str">
        <f t="shared" si="7"/>
        <v>D</v>
      </c>
      <c r="C209">
        <v>208</v>
      </c>
      <c r="D209" t="s">
        <v>12</v>
      </c>
      <c r="E209">
        <v>1</v>
      </c>
      <c r="F209">
        <v>1</v>
      </c>
      <c r="G209">
        <v>3.5710000000000002</v>
      </c>
      <c r="H209">
        <v>2.3279999999999998</v>
      </c>
    </row>
    <row r="210" spans="1:8" x14ac:dyDescent="0.2">
      <c r="A210" s="25" t="str">
        <f t="shared" si="6"/>
        <v>26/04/2025</v>
      </c>
      <c r="B210" t="str">
        <f t="shared" si="7"/>
        <v>D</v>
      </c>
      <c r="C210">
        <v>209</v>
      </c>
      <c r="D210" t="s">
        <v>12</v>
      </c>
      <c r="E210">
        <v>1</v>
      </c>
      <c r="F210">
        <v>1</v>
      </c>
      <c r="G210">
        <v>3.2309999999999999</v>
      </c>
      <c r="H210">
        <v>2.4500000000000002</v>
      </c>
    </row>
    <row r="211" spans="1:8" x14ac:dyDescent="0.2">
      <c r="A211" s="25" t="str">
        <f t="shared" si="6"/>
        <v>26/04/2025</v>
      </c>
      <c r="B211" t="str">
        <f t="shared" si="7"/>
        <v>D</v>
      </c>
      <c r="C211">
        <v>210</v>
      </c>
      <c r="D211" t="s">
        <v>12</v>
      </c>
      <c r="E211">
        <v>1</v>
      </c>
      <c r="F211">
        <v>1</v>
      </c>
      <c r="G211">
        <v>3.5219999999999998</v>
      </c>
      <c r="H211">
        <v>2.3069999999999999</v>
      </c>
    </row>
    <row r="212" spans="1:8" x14ac:dyDescent="0.2">
      <c r="A212" s="25" t="str">
        <f t="shared" si="6"/>
        <v>26/04/2025</v>
      </c>
      <c r="B212" t="str">
        <f t="shared" si="7"/>
        <v>D</v>
      </c>
      <c r="C212">
        <v>211</v>
      </c>
      <c r="D212" t="s">
        <v>12</v>
      </c>
      <c r="E212">
        <v>1</v>
      </c>
      <c r="F212">
        <v>1</v>
      </c>
      <c r="G212">
        <v>3.3650000000000002</v>
      </c>
      <c r="H212">
        <v>2.375</v>
      </c>
    </row>
    <row r="213" spans="1:8" x14ac:dyDescent="0.2">
      <c r="A213" s="25" t="str">
        <f t="shared" si="6"/>
        <v>26/04/2025</v>
      </c>
      <c r="B213" t="str">
        <f t="shared" si="7"/>
        <v>D</v>
      </c>
      <c r="C213">
        <v>212</v>
      </c>
      <c r="D213" t="s">
        <v>12</v>
      </c>
      <c r="E213">
        <v>1</v>
      </c>
      <c r="F213">
        <v>1</v>
      </c>
      <c r="G213">
        <v>3.43</v>
      </c>
      <c r="H213">
        <v>2.5449999999999999</v>
      </c>
    </row>
    <row r="214" spans="1:8" x14ac:dyDescent="0.2">
      <c r="A214" s="25" t="str">
        <f t="shared" si="6"/>
        <v>26/04/2025</v>
      </c>
      <c r="B214" t="str">
        <f t="shared" si="7"/>
        <v>D</v>
      </c>
      <c r="C214">
        <v>213</v>
      </c>
      <c r="D214" t="s">
        <v>12</v>
      </c>
      <c r="E214">
        <v>1</v>
      </c>
      <c r="F214">
        <v>1</v>
      </c>
      <c r="G214">
        <v>3.181</v>
      </c>
      <c r="H214">
        <v>2.63</v>
      </c>
    </row>
    <row r="215" spans="1:8" x14ac:dyDescent="0.2">
      <c r="A215" s="25" t="str">
        <f t="shared" si="6"/>
        <v>26/04/2025</v>
      </c>
      <c r="B215" t="str">
        <f t="shared" si="7"/>
        <v>D</v>
      </c>
      <c r="C215">
        <v>214</v>
      </c>
      <c r="D215" t="s">
        <v>12</v>
      </c>
      <c r="E215">
        <v>1</v>
      </c>
      <c r="F215">
        <v>2</v>
      </c>
      <c r="G215">
        <v>3.6179999999999999</v>
      </c>
      <c r="H215">
        <v>2.2549999999999999</v>
      </c>
    </row>
    <row r="216" spans="1:8" x14ac:dyDescent="0.2">
      <c r="A216" s="25" t="str">
        <f t="shared" si="6"/>
        <v>26/04/2025</v>
      </c>
      <c r="B216" t="str">
        <f t="shared" si="7"/>
        <v>D</v>
      </c>
      <c r="C216">
        <v>215</v>
      </c>
      <c r="D216" t="s">
        <v>12</v>
      </c>
      <c r="E216">
        <v>1</v>
      </c>
      <c r="F216">
        <v>2</v>
      </c>
      <c r="G216">
        <v>3.5019999999999998</v>
      </c>
      <c r="H216">
        <v>2.7280000000000002</v>
      </c>
    </row>
    <row r="217" spans="1:8" x14ac:dyDescent="0.2">
      <c r="A217" s="25" t="str">
        <f t="shared" si="6"/>
        <v>26/04/2025</v>
      </c>
      <c r="B217" t="str">
        <f t="shared" si="7"/>
        <v>D</v>
      </c>
      <c r="C217">
        <v>216</v>
      </c>
      <c r="D217" t="s">
        <v>12</v>
      </c>
      <c r="E217">
        <v>1</v>
      </c>
      <c r="F217">
        <v>2</v>
      </c>
      <c r="G217">
        <v>3.3610000000000002</v>
      </c>
      <c r="H217">
        <v>2.867</v>
      </c>
    </row>
    <row r="218" spans="1:8" x14ac:dyDescent="0.2">
      <c r="A218" s="25" t="str">
        <f t="shared" si="6"/>
        <v>26/04/2025</v>
      </c>
      <c r="B218" t="str">
        <f t="shared" si="7"/>
        <v>D</v>
      </c>
      <c r="C218">
        <v>217</v>
      </c>
      <c r="D218" t="s">
        <v>12</v>
      </c>
      <c r="E218">
        <v>1</v>
      </c>
      <c r="F218">
        <v>2</v>
      </c>
      <c r="G218">
        <v>3.2360000000000002</v>
      </c>
      <c r="H218">
        <v>2.63</v>
      </c>
    </row>
    <row r="219" spans="1:8" x14ac:dyDescent="0.2">
      <c r="A219" s="25" t="str">
        <f t="shared" si="6"/>
        <v>26/04/2025</v>
      </c>
      <c r="B219" t="str">
        <f t="shared" si="7"/>
        <v>D</v>
      </c>
      <c r="C219">
        <v>218</v>
      </c>
      <c r="D219" t="s">
        <v>12</v>
      </c>
      <c r="E219">
        <v>1</v>
      </c>
      <c r="F219">
        <v>2</v>
      </c>
      <c r="G219">
        <v>3.5289999999999999</v>
      </c>
      <c r="H219">
        <v>2.5310000000000001</v>
      </c>
    </row>
    <row r="220" spans="1:8" x14ac:dyDescent="0.2">
      <c r="A220" s="25" t="str">
        <f t="shared" si="6"/>
        <v>26/04/2025</v>
      </c>
      <c r="B220" t="str">
        <f t="shared" si="7"/>
        <v>D</v>
      </c>
      <c r="C220">
        <v>219</v>
      </c>
      <c r="D220" t="s">
        <v>12</v>
      </c>
      <c r="E220">
        <v>1</v>
      </c>
      <c r="F220">
        <v>2</v>
      </c>
      <c r="G220">
        <v>3.633</v>
      </c>
      <c r="H220">
        <v>2.6949999999999998</v>
      </c>
    </row>
    <row r="221" spans="1:8" x14ac:dyDescent="0.2">
      <c r="A221" s="25" t="str">
        <f t="shared" si="6"/>
        <v>26/04/2025</v>
      </c>
      <c r="B221" t="str">
        <f t="shared" si="7"/>
        <v>D</v>
      </c>
      <c r="C221">
        <v>220</v>
      </c>
      <c r="D221" t="s">
        <v>12</v>
      </c>
      <c r="E221">
        <v>1</v>
      </c>
      <c r="F221">
        <v>2</v>
      </c>
      <c r="G221">
        <v>3.8450000000000002</v>
      </c>
      <c r="H221">
        <v>2.6219999999999999</v>
      </c>
    </row>
    <row r="222" spans="1:8" x14ac:dyDescent="0.2">
      <c r="A222" s="25" t="str">
        <f t="shared" si="6"/>
        <v>01/04/2025</v>
      </c>
      <c r="B222" t="str">
        <f t="shared" si="7"/>
        <v>E</v>
      </c>
      <c r="C222">
        <v>221</v>
      </c>
      <c r="D222" t="s">
        <v>12</v>
      </c>
      <c r="E222">
        <v>1</v>
      </c>
      <c r="F222">
        <v>3</v>
      </c>
      <c r="G222">
        <v>3.2959999999999998</v>
      </c>
      <c r="H222">
        <v>2.4049999999999998</v>
      </c>
    </row>
    <row r="223" spans="1:8" x14ac:dyDescent="0.2">
      <c r="A223" s="25" t="str">
        <f t="shared" si="6"/>
        <v>01/04/2025</v>
      </c>
      <c r="B223" t="str">
        <f t="shared" si="7"/>
        <v>E</v>
      </c>
      <c r="C223">
        <v>222</v>
      </c>
      <c r="D223" t="s">
        <v>12</v>
      </c>
      <c r="E223">
        <v>1</v>
      </c>
      <c r="F223">
        <v>3</v>
      </c>
      <c r="G223">
        <v>3.0830000000000002</v>
      </c>
      <c r="H223">
        <v>2.2069999999999999</v>
      </c>
    </row>
    <row r="224" spans="1:8" x14ac:dyDescent="0.2">
      <c r="A224" s="25" t="str">
        <f t="shared" si="6"/>
        <v>01/04/2025</v>
      </c>
      <c r="B224" t="str">
        <f t="shared" si="7"/>
        <v>E</v>
      </c>
      <c r="C224">
        <v>223</v>
      </c>
      <c r="D224" t="s">
        <v>12</v>
      </c>
      <c r="E224">
        <v>1</v>
      </c>
      <c r="F224">
        <v>3</v>
      </c>
      <c r="G224">
        <v>2.9180000000000001</v>
      </c>
      <c r="H224">
        <v>2.16</v>
      </c>
    </row>
    <row r="225" spans="1:8" x14ac:dyDescent="0.2">
      <c r="A225" s="25" t="str">
        <f t="shared" si="6"/>
        <v>01/04/2025</v>
      </c>
      <c r="B225" t="str">
        <f t="shared" si="7"/>
        <v>E</v>
      </c>
      <c r="C225">
        <v>224</v>
      </c>
      <c r="D225" t="s">
        <v>12</v>
      </c>
      <c r="E225">
        <v>1</v>
      </c>
      <c r="F225">
        <v>3</v>
      </c>
      <c r="G225">
        <v>2.5739999999999998</v>
      </c>
      <c r="H225">
        <v>2.1560000000000001</v>
      </c>
    </row>
    <row r="226" spans="1:8" x14ac:dyDescent="0.2">
      <c r="A226" s="25" t="str">
        <f t="shared" si="6"/>
        <v>01/04/2025</v>
      </c>
      <c r="B226" t="str">
        <f t="shared" si="7"/>
        <v>E</v>
      </c>
      <c r="C226">
        <v>225</v>
      </c>
      <c r="D226" t="s">
        <v>12</v>
      </c>
      <c r="E226">
        <v>1</v>
      </c>
      <c r="F226">
        <v>3</v>
      </c>
      <c r="G226">
        <v>2.871</v>
      </c>
      <c r="H226">
        <v>2.5659999999999998</v>
      </c>
    </row>
    <row r="227" spans="1:8" x14ac:dyDescent="0.2">
      <c r="A227" s="25" t="str">
        <f t="shared" si="6"/>
        <v>01/04/2025</v>
      </c>
      <c r="B227" t="str">
        <f t="shared" si="7"/>
        <v>E</v>
      </c>
      <c r="C227">
        <v>226</v>
      </c>
      <c r="D227" t="s">
        <v>12</v>
      </c>
      <c r="E227">
        <v>1</v>
      </c>
      <c r="F227">
        <v>3</v>
      </c>
      <c r="G227">
        <v>2.7160000000000002</v>
      </c>
      <c r="H227">
        <v>2.387</v>
      </c>
    </row>
    <row r="228" spans="1:8" x14ac:dyDescent="0.2">
      <c r="A228" s="25" t="str">
        <f t="shared" si="6"/>
        <v>01/04/2025</v>
      </c>
      <c r="B228" t="str">
        <f t="shared" si="7"/>
        <v>E</v>
      </c>
      <c r="C228">
        <v>227</v>
      </c>
      <c r="D228" t="s">
        <v>12</v>
      </c>
      <c r="E228">
        <v>1</v>
      </c>
      <c r="F228">
        <v>3</v>
      </c>
      <c r="G228">
        <v>2.9780000000000002</v>
      </c>
      <c r="H228">
        <v>2.2709999999999999</v>
      </c>
    </row>
    <row r="229" spans="1:8" x14ac:dyDescent="0.2">
      <c r="A229" s="25" t="str">
        <f t="shared" si="6"/>
        <v>01/04/2025</v>
      </c>
      <c r="B229" t="str">
        <f t="shared" si="7"/>
        <v>E</v>
      </c>
      <c r="C229">
        <v>228</v>
      </c>
      <c r="D229" t="s">
        <v>12</v>
      </c>
      <c r="E229">
        <v>1</v>
      </c>
      <c r="F229">
        <v>3</v>
      </c>
      <c r="G229">
        <v>3.2829999999999999</v>
      </c>
      <c r="H229">
        <v>2.145</v>
      </c>
    </row>
    <row r="230" spans="1:8" x14ac:dyDescent="0.2">
      <c r="A230" s="25" t="str">
        <f t="shared" si="6"/>
        <v>01/04/2025</v>
      </c>
      <c r="B230" t="str">
        <f t="shared" si="7"/>
        <v>E</v>
      </c>
      <c r="C230">
        <v>229</v>
      </c>
      <c r="D230" t="s">
        <v>12</v>
      </c>
      <c r="E230">
        <v>1</v>
      </c>
      <c r="F230">
        <v>3</v>
      </c>
      <c r="G230">
        <v>3.347</v>
      </c>
      <c r="H230">
        <v>2.0419999999999998</v>
      </c>
    </row>
    <row r="231" spans="1:8" x14ac:dyDescent="0.2">
      <c r="A231" s="25" t="str">
        <f t="shared" si="6"/>
        <v>01/04/2025</v>
      </c>
      <c r="B231" t="str">
        <f t="shared" si="7"/>
        <v>E</v>
      </c>
      <c r="C231">
        <v>230</v>
      </c>
      <c r="D231" t="s">
        <v>12</v>
      </c>
      <c r="E231">
        <v>1</v>
      </c>
      <c r="F231">
        <v>3</v>
      </c>
      <c r="G231">
        <v>3.206</v>
      </c>
      <c r="H231">
        <v>2.3809999999999998</v>
      </c>
    </row>
    <row r="232" spans="1:8" x14ac:dyDescent="0.2">
      <c r="A232" s="25" t="str">
        <f t="shared" si="6"/>
        <v>01/04/2025</v>
      </c>
      <c r="B232" t="str">
        <f t="shared" si="7"/>
        <v>E</v>
      </c>
      <c r="C232">
        <v>231</v>
      </c>
      <c r="D232" t="s">
        <v>12</v>
      </c>
      <c r="E232">
        <v>1</v>
      </c>
      <c r="F232">
        <v>3</v>
      </c>
      <c r="G232">
        <v>3.4470000000000001</v>
      </c>
      <c r="H232">
        <v>2.6030000000000002</v>
      </c>
    </row>
    <row r="233" spans="1:8" x14ac:dyDescent="0.2">
      <c r="A233" s="25" t="str">
        <f t="shared" si="6"/>
        <v>26/04/2025</v>
      </c>
      <c r="B233" t="str">
        <f t="shared" si="7"/>
        <v>D</v>
      </c>
      <c r="C233">
        <v>232</v>
      </c>
      <c r="D233" t="s">
        <v>12</v>
      </c>
      <c r="E233">
        <v>2</v>
      </c>
      <c r="F233">
        <v>1</v>
      </c>
      <c r="G233">
        <v>3.2349999999999999</v>
      </c>
      <c r="H233">
        <v>2.5169999999999999</v>
      </c>
    </row>
    <row r="234" spans="1:8" x14ac:dyDescent="0.2">
      <c r="A234" s="25" t="str">
        <f t="shared" si="6"/>
        <v>26/04/2025</v>
      </c>
      <c r="B234" t="str">
        <f t="shared" si="7"/>
        <v>D</v>
      </c>
      <c r="C234">
        <v>233</v>
      </c>
      <c r="D234" t="s">
        <v>12</v>
      </c>
      <c r="E234">
        <v>2</v>
      </c>
      <c r="F234">
        <v>1</v>
      </c>
      <c r="G234">
        <v>3.367</v>
      </c>
      <c r="H234">
        <v>2.6160000000000001</v>
      </c>
    </row>
    <row r="235" spans="1:8" x14ac:dyDescent="0.2">
      <c r="A235" s="25" t="str">
        <f t="shared" si="6"/>
        <v>26/04/2025</v>
      </c>
      <c r="B235" t="str">
        <f t="shared" si="7"/>
        <v>D</v>
      </c>
      <c r="C235">
        <v>234</v>
      </c>
      <c r="D235" t="s">
        <v>12</v>
      </c>
      <c r="E235">
        <v>2</v>
      </c>
      <c r="F235">
        <v>1</v>
      </c>
      <c r="G235">
        <v>3.4929999999999999</v>
      </c>
      <c r="H235">
        <v>2.786</v>
      </c>
    </row>
    <row r="236" spans="1:8" x14ac:dyDescent="0.2">
      <c r="A236" s="25" t="str">
        <f t="shared" si="6"/>
        <v>26/04/2025</v>
      </c>
      <c r="B236" t="str">
        <f t="shared" si="7"/>
        <v>D</v>
      </c>
      <c r="C236">
        <v>235</v>
      </c>
      <c r="D236" t="s">
        <v>12</v>
      </c>
      <c r="E236">
        <v>2</v>
      </c>
      <c r="F236">
        <v>1</v>
      </c>
      <c r="G236">
        <v>3.056</v>
      </c>
      <c r="H236">
        <v>2.3929999999999998</v>
      </c>
    </row>
    <row r="237" spans="1:8" x14ac:dyDescent="0.2">
      <c r="A237" s="25" t="str">
        <f t="shared" si="6"/>
        <v>26/04/2025</v>
      </c>
      <c r="B237" t="str">
        <f t="shared" si="7"/>
        <v>D</v>
      </c>
      <c r="C237">
        <v>236</v>
      </c>
      <c r="D237" t="s">
        <v>12</v>
      </c>
      <c r="E237">
        <v>2</v>
      </c>
      <c r="F237">
        <v>1</v>
      </c>
      <c r="G237">
        <v>3.09</v>
      </c>
      <c r="H237">
        <v>2.54</v>
      </c>
    </row>
    <row r="238" spans="1:8" x14ac:dyDescent="0.2">
      <c r="A238" s="25" t="str">
        <f t="shared" si="6"/>
        <v>26/04/2025</v>
      </c>
      <c r="B238" t="str">
        <f t="shared" si="7"/>
        <v>D</v>
      </c>
      <c r="C238">
        <v>237</v>
      </c>
      <c r="D238" t="s">
        <v>12</v>
      </c>
      <c r="E238">
        <v>2</v>
      </c>
      <c r="F238">
        <v>1</v>
      </c>
      <c r="G238">
        <v>2.7759999999999998</v>
      </c>
      <c r="H238">
        <v>2.5880000000000001</v>
      </c>
    </row>
    <row r="239" spans="1:8" x14ac:dyDescent="0.2">
      <c r="A239" s="25" t="str">
        <f t="shared" si="6"/>
        <v>26/04/2025</v>
      </c>
      <c r="B239" t="str">
        <f t="shared" si="7"/>
        <v>D</v>
      </c>
      <c r="C239">
        <v>238</v>
      </c>
      <c r="D239" t="s">
        <v>12</v>
      </c>
      <c r="E239">
        <v>2</v>
      </c>
      <c r="F239">
        <v>1</v>
      </c>
      <c r="G239">
        <v>3.2690000000000001</v>
      </c>
      <c r="H239">
        <v>2.3319999999999999</v>
      </c>
    </row>
    <row r="240" spans="1:8" x14ac:dyDescent="0.2">
      <c r="A240" s="25" t="str">
        <f t="shared" si="6"/>
        <v>26/04/2025</v>
      </c>
      <c r="B240" t="str">
        <f t="shared" si="7"/>
        <v>D</v>
      </c>
      <c r="C240">
        <v>239</v>
      </c>
      <c r="D240" t="s">
        <v>12</v>
      </c>
      <c r="E240">
        <v>2</v>
      </c>
      <c r="F240">
        <v>1</v>
      </c>
      <c r="G240">
        <v>3.4129999999999998</v>
      </c>
      <c r="H240">
        <v>2.9409999999999998</v>
      </c>
    </row>
    <row r="241" spans="1:8" x14ac:dyDescent="0.2">
      <c r="A241" s="25" t="str">
        <f t="shared" si="6"/>
        <v>26/04/2025</v>
      </c>
      <c r="B241" t="str">
        <f t="shared" si="7"/>
        <v>D</v>
      </c>
      <c r="C241">
        <v>240</v>
      </c>
      <c r="D241" t="s">
        <v>12</v>
      </c>
      <c r="E241">
        <v>2</v>
      </c>
      <c r="F241">
        <v>1</v>
      </c>
      <c r="G241">
        <v>3.26</v>
      </c>
      <c r="H241">
        <v>2.282</v>
      </c>
    </row>
    <row r="242" spans="1:8" x14ac:dyDescent="0.2">
      <c r="A242" s="25" t="str">
        <f t="shared" si="6"/>
        <v>26/04/2025</v>
      </c>
      <c r="B242" t="str">
        <f t="shared" si="7"/>
        <v>D</v>
      </c>
      <c r="C242">
        <v>241</v>
      </c>
      <c r="D242" t="s">
        <v>12</v>
      </c>
      <c r="E242">
        <v>2</v>
      </c>
      <c r="F242">
        <v>1</v>
      </c>
      <c r="G242">
        <v>3.0779999999999998</v>
      </c>
      <c r="H242">
        <v>2.63</v>
      </c>
    </row>
    <row r="243" spans="1:8" x14ac:dyDescent="0.2">
      <c r="A243" s="25" t="str">
        <f t="shared" si="6"/>
        <v>26/04/2025</v>
      </c>
      <c r="B243" t="str">
        <f t="shared" si="7"/>
        <v>D</v>
      </c>
      <c r="C243">
        <v>242</v>
      </c>
      <c r="D243" t="s">
        <v>12</v>
      </c>
      <c r="E243">
        <v>2</v>
      </c>
      <c r="F243">
        <v>1</v>
      </c>
      <c r="G243">
        <v>3.512</v>
      </c>
      <c r="H243">
        <v>2.7519999999999998</v>
      </c>
    </row>
    <row r="244" spans="1:8" x14ac:dyDescent="0.2">
      <c r="A244" s="25" t="str">
        <f t="shared" si="6"/>
        <v>26/04/2025</v>
      </c>
      <c r="B244" t="str">
        <f t="shared" si="7"/>
        <v>D</v>
      </c>
      <c r="C244">
        <v>243</v>
      </c>
      <c r="D244" t="s">
        <v>12</v>
      </c>
      <c r="E244">
        <v>2</v>
      </c>
      <c r="F244">
        <v>1</v>
      </c>
      <c r="G244">
        <v>3.5739999999999998</v>
      </c>
      <c r="H244">
        <v>2.6459999999999999</v>
      </c>
    </row>
    <row r="245" spans="1:8" x14ac:dyDescent="0.2">
      <c r="A245" s="25" t="str">
        <f t="shared" si="6"/>
        <v>26/04/2025</v>
      </c>
      <c r="B245" t="str">
        <f t="shared" si="7"/>
        <v>D</v>
      </c>
      <c r="C245">
        <v>244</v>
      </c>
      <c r="D245" t="s">
        <v>12</v>
      </c>
      <c r="E245">
        <v>2</v>
      </c>
      <c r="F245">
        <v>1</v>
      </c>
      <c r="G245">
        <v>2.915</v>
      </c>
      <c r="H245">
        <v>1.98</v>
      </c>
    </row>
    <row r="246" spans="1:8" x14ac:dyDescent="0.2">
      <c r="A246" s="25" t="str">
        <f t="shared" si="6"/>
        <v>26/04/2025</v>
      </c>
      <c r="B246" t="str">
        <f t="shared" si="7"/>
        <v>D</v>
      </c>
      <c r="C246">
        <v>245</v>
      </c>
      <c r="D246" t="s">
        <v>12</v>
      </c>
      <c r="E246">
        <v>2</v>
      </c>
      <c r="F246">
        <v>1</v>
      </c>
      <c r="G246">
        <v>3.3820000000000001</v>
      </c>
      <c r="H246">
        <v>2.633</v>
      </c>
    </row>
    <row r="247" spans="1:8" x14ac:dyDescent="0.2">
      <c r="A247" s="25" t="str">
        <f t="shared" si="6"/>
        <v>26/04/2025</v>
      </c>
      <c r="B247" t="str">
        <f t="shared" si="7"/>
        <v>D</v>
      </c>
      <c r="C247">
        <v>246</v>
      </c>
      <c r="D247" t="s">
        <v>12</v>
      </c>
      <c r="E247">
        <v>2</v>
      </c>
      <c r="F247">
        <v>1</v>
      </c>
      <c r="G247">
        <v>3.2810000000000001</v>
      </c>
      <c r="H247">
        <v>2.7930000000000001</v>
      </c>
    </row>
    <row r="248" spans="1:8" x14ac:dyDescent="0.2">
      <c r="A248" s="25" t="str">
        <f t="shared" si="6"/>
        <v>26/04/2025</v>
      </c>
      <c r="B248" t="str">
        <f t="shared" si="7"/>
        <v>D</v>
      </c>
      <c r="C248">
        <v>247</v>
      </c>
      <c r="D248" t="s">
        <v>12</v>
      </c>
      <c r="E248">
        <v>2</v>
      </c>
      <c r="F248">
        <v>1</v>
      </c>
      <c r="G248">
        <v>3.1779999999999999</v>
      </c>
      <c r="H248">
        <v>2.44</v>
      </c>
    </row>
    <row r="249" spans="1:8" x14ac:dyDescent="0.2">
      <c r="A249" s="25" t="str">
        <f t="shared" si="6"/>
        <v>26/04/2025</v>
      </c>
      <c r="B249" t="str">
        <f t="shared" si="7"/>
        <v>D</v>
      </c>
      <c r="C249">
        <v>248</v>
      </c>
      <c r="D249" t="s">
        <v>12</v>
      </c>
      <c r="E249">
        <v>2</v>
      </c>
      <c r="F249">
        <v>2</v>
      </c>
      <c r="G249">
        <v>3.8580000000000001</v>
      </c>
      <c r="H249">
        <v>2.8380000000000001</v>
      </c>
    </row>
    <row r="250" spans="1:8" x14ac:dyDescent="0.2">
      <c r="A250" s="25" t="str">
        <f t="shared" si="6"/>
        <v>01/04/2025</v>
      </c>
      <c r="B250" t="str">
        <f t="shared" si="7"/>
        <v>E</v>
      </c>
      <c r="C250">
        <v>249</v>
      </c>
      <c r="D250" t="s">
        <v>12</v>
      </c>
      <c r="E250">
        <v>2</v>
      </c>
      <c r="F250">
        <v>3</v>
      </c>
      <c r="G250">
        <v>3.9350000000000001</v>
      </c>
      <c r="H250">
        <v>2.5499999999999998</v>
      </c>
    </row>
    <row r="251" spans="1:8" x14ac:dyDescent="0.2">
      <c r="A251" s="25" t="str">
        <f t="shared" si="6"/>
        <v>01/04/2025</v>
      </c>
      <c r="B251" t="str">
        <f t="shared" si="7"/>
        <v>E</v>
      </c>
      <c r="C251">
        <v>250</v>
      </c>
      <c r="D251" t="s">
        <v>12</v>
      </c>
      <c r="E251">
        <v>2</v>
      </c>
      <c r="F251">
        <v>3</v>
      </c>
      <c r="G251">
        <v>4.1399999999999997</v>
      </c>
      <c r="H251">
        <v>2.6970000000000001</v>
      </c>
    </row>
    <row r="252" spans="1:8" x14ac:dyDescent="0.2">
      <c r="A252" s="25" t="str">
        <f t="shared" si="6"/>
        <v>01/04/2025</v>
      </c>
      <c r="B252" t="str">
        <f t="shared" si="7"/>
        <v>E</v>
      </c>
      <c r="C252">
        <v>251</v>
      </c>
      <c r="D252" t="s">
        <v>12</v>
      </c>
      <c r="E252">
        <v>2</v>
      </c>
      <c r="F252">
        <v>3</v>
      </c>
      <c r="G252">
        <v>3.6019999999999999</v>
      </c>
      <c r="H252">
        <v>2.532</v>
      </c>
    </row>
    <row r="253" spans="1:8" x14ac:dyDescent="0.2">
      <c r="A253" s="25" t="str">
        <f t="shared" si="6"/>
        <v>01/04/2025</v>
      </c>
      <c r="B253" t="str">
        <f t="shared" si="7"/>
        <v>E</v>
      </c>
      <c r="C253">
        <v>252</v>
      </c>
      <c r="D253" t="s">
        <v>12</v>
      </c>
      <c r="E253">
        <v>2</v>
      </c>
      <c r="F253">
        <v>3</v>
      </c>
      <c r="G253">
        <v>3.7949999999999999</v>
      </c>
      <c r="H253">
        <v>2.5579999999999998</v>
      </c>
    </row>
    <row r="254" spans="1:8" x14ac:dyDescent="0.2">
      <c r="A254" s="25" t="str">
        <f t="shared" si="6"/>
        <v>01/04/2025</v>
      </c>
      <c r="B254" t="str">
        <f t="shared" si="7"/>
        <v>E</v>
      </c>
      <c r="C254">
        <v>253</v>
      </c>
      <c r="D254" t="s">
        <v>12</v>
      </c>
      <c r="E254">
        <v>2</v>
      </c>
      <c r="F254">
        <v>3</v>
      </c>
      <c r="G254">
        <v>3.9</v>
      </c>
      <c r="H254">
        <v>2.794</v>
      </c>
    </row>
    <row r="255" spans="1:8" x14ac:dyDescent="0.2">
      <c r="A255" s="25" t="str">
        <f t="shared" si="6"/>
        <v>01/04/2025</v>
      </c>
      <c r="B255" t="str">
        <f t="shared" si="7"/>
        <v>E</v>
      </c>
      <c r="C255">
        <v>254</v>
      </c>
      <c r="D255" t="s">
        <v>12</v>
      </c>
      <c r="E255">
        <v>2</v>
      </c>
      <c r="F255">
        <v>3</v>
      </c>
      <c r="G255">
        <v>3.7490000000000001</v>
      </c>
      <c r="H255">
        <v>2.867</v>
      </c>
    </row>
    <row r="256" spans="1:8" x14ac:dyDescent="0.2">
      <c r="A256" s="25" t="str">
        <f t="shared" si="6"/>
        <v>26/04/2025</v>
      </c>
      <c r="B256" t="str">
        <f t="shared" si="7"/>
        <v>D</v>
      </c>
      <c r="C256">
        <v>255</v>
      </c>
      <c r="D256" t="s">
        <v>12</v>
      </c>
      <c r="E256">
        <v>3</v>
      </c>
      <c r="F256">
        <v>1</v>
      </c>
      <c r="G256">
        <v>3.21</v>
      </c>
      <c r="H256">
        <v>2.9</v>
      </c>
    </row>
    <row r="257" spans="1:8" x14ac:dyDescent="0.2">
      <c r="A257" s="25" t="str">
        <f t="shared" si="6"/>
        <v>26/04/2025</v>
      </c>
      <c r="B257" t="str">
        <f t="shared" si="7"/>
        <v>D</v>
      </c>
      <c r="C257">
        <v>256</v>
      </c>
      <c r="D257" t="s">
        <v>12</v>
      </c>
      <c r="E257">
        <v>3</v>
      </c>
      <c r="F257">
        <v>1</v>
      </c>
      <c r="G257">
        <v>3.2829999999999999</v>
      </c>
      <c r="H257">
        <v>2.8319999999999999</v>
      </c>
    </row>
    <row r="258" spans="1:8" x14ac:dyDescent="0.2">
      <c r="A258" s="25" t="str">
        <f t="shared" si="6"/>
        <v>26/04/2025</v>
      </c>
      <c r="B258" t="str">
        <f t="shared" si="7"/>
        <v>D</v>
      </c>
      <c r="C258">
        <v>257</v>
      </c>
      <c r="D258" t="s">
        <v>12</v>
      </c>
      <c r="E258">
        <v>3</v>
      </c>
      <c r="F258">
        <v>1</v>
      </c>
      <c r="G258">
        <v>2.956</v>
      </c>
      <c r="H258">
        <v>2.3690000000000002</v>
      </c>
    </row>
    <row r="259" spans="1:8" x14ac:dyDescent="0.2">
      <c r="A259" s="25" t="str">
        <f t="shared" ref="A259:A322" si="8">IF(F259&lt;3, "26/04/2025", "01/04/2025")</f>
        <v>26/04/2025</v>
      </c>
      <c r="B259" t="str">
        <f t="shared" ref="B259:B322" si="9">IF(F259&lt;3, "D", "E")</f>
        <v>D</v>
      </c>
      <c r="C259">
        <v>258</v>
      </c>
      <c r="D259" t="s">
        <v>12</v>
      </c>
      <c r="E259">
        <v>3</v>
      </c>
      <c r="F259">
        <v>1</v>
      </c>
      <c r="G259">
        <v>2.9620000000000002</v>
      </c>
      <c r="H259">
        <v>2.6389999999999998</v>
      </c>
    </row>
    <row r="260" spans="1:8" x14ac:dyDescent="0.2">
      <c r="A260" s="25" t="str">
        <f t="shared" si="8"/>
        <v>26/04/2025</v>
      </c>
      <c r="B260" t="str">
        <f t="shared" si="9"/>
        <v>D</v>
      </c>
      <c r="C260">
        <v>259</v>
      </c>
      <c r="D260" t="s">
        <v>12</v>
      </c>
      <c r="E260">
        <v>3</v>
      </c>
      <c r="F260">
        <v>1</v>
      </c>
      <c r="G260">
        <v>3.2290000000000001</v>
      </c>
      <c r="H260">
        <v>2.3919999999999999</v>
      </c>
    </row>
    <row r="261" spans="1:8" x14ac:dyDescent="0.2">
      <c r="A261" s="25" t="str">
        <f t="shared" si="8"/>
        <v>26/04/2025</v>
      </c>
      <c r="B261" t="str">
        <f t="shared" si="9"/>
        <v>D</v>
      </c>
      <c r="C261">
        <v>260</v>
      </c>
      <c r="D261" t="s">
        <v>12</v>
      </c>
      <c r="E261">
        <v>3</v>
      </c>
      <c r="F261">
        <v>1</v>
      </c>
      <c r="G261">
        <v>3.403</v>
      </c>
      <c r="H261">
        <v>2.4649999999999999</v>
      </c>
    </row>
    <row r="262" spans="1:8" x14ac:dyDescent="0.2">
      <c r="A262" s="25" t="str">
        <f t="shared" si="8"/>
        <v>26/04/2025</v>
      </c>
      <c r="B262" t="str">
        <f t="shared" si="9"/>
        <v>D</v>
      </c>
      <c r="C262">
        <v>261</v>
      </c>
      <c r="D262" t="s">
        <v>12</v>
      </c>
      <c r="E262">
        <v>3</v>
      </c>
      <c r="F262">
        <v>1</v>
      </c>
      <c r="G262">
        <v>3.1339999999999999</v>
      </c>
      <c r="H262">
        <v>2.3340000000000001</v>
      </c>
    </row>
    <row r="263" spans="1:8" x14ac:dyDescent="0.2">
      <c r="A263" s="25" t="str">
        <f t="shared" si="8"/>
        <v>26/04/2025</v>
      </c>
      <c r="B263" t="str">
        <f t="shared" si="9"/>
        <v>D</v>
      </c>
      <c r="C263">
        <v>262</v>
      </c>
      <c r="D263" t="s">
        <v>12</v>
      </c>
      <c r="E263">
        <v>3</v>
      </c>
      <c r="F263">
        <v>1</v>
      </c>
      <c r="G263">
        <v>2.95</v>
      </c>
      <c r="H263">
        <v>2.7090000000000001</v>
      </c>
    </row>
    <row r="264" spans="1:8" x14ac:dyDescent="0.2">
      <c r="A264" s="25" t="str">
        <f t="shared" si="8"/>
        <v>26/04/2025</v>
      </c>
      <c r="B264" t="str">
        <f t="shared" si="9"/>
        <v>D</v>
      </c>
      <c r="C264">
        <v>263</v>
      </c>
      <c r="D264" t="s">
        <v>12</v>
      </c>
      <c r="E264">
        <v>3</v>
      </c>
      <c r="F264">
        <v>1</v>
      </c>
      <c r="G264">
        <v>3.3130000000000002</v>
      </c>
      <c r="H264">
        <v>2.6669999999999998</v>
      </c>
    </row>
    <row r="265" spans="1:8" x14ac:dyDescent="0.2">
      <c r="A265" s="25" t="str">
        <f t="shared" si="8"/>
        <v>26/04/2025</v>
      </c>
      <c r="B265" t="str">
        <f t="shared" si="9"/>
        <v>D</v>
      </c>
      <c r="C265">
        <v>264</v>
      </c>
      <c r="D265" t="s">
        <v>12</v>
      </c>
      <c r="E265">
        <v>3</v>
      </c>
      <c r="F265">
        <v>1</v>
      </c>
      <c r="G265">
        <v>3.1789999999999998</v>
      </c>
      <c r="H265">
        <v>2.5649999999999999</v>
      </c>
    </row>
    <row r="266" spans="1:8" x14ac:dyDescent="0.2">
      <c r="A266" s="25" t="str">
        <f t="shared" si="8"/>
        <v>26/04/2025</v>
      </c>
      <c r="B266" t="str">
        <f t="shared" si="9"/>
        <v>D</v>
      </c>
      <c r="C266">
        <v>265</v>
      </c>
      <c r="D266" t="s">
        <v>12</v>
      </c>
      <c r="E266">
        <v>3</v>
      </c>
      <c r="F266">
        <v>1</v>
      </c>
      <c r="G266">
        <v>3.117</v>
      </c>
      <c r="H266">
        <v>2.8650000000000002</v>
      </c>
    </row>
    <row r="267" spans="1:8" x14ac:dyDescent="0.2">
      <c r="A267" s="25" t="str">
        <f t="shared" si="8"/>
        <v>26/04/2025</v>
      </c>
      <c r="B267" t="str">
        <f t="shared" si="9"/>
        <v>D</v>
      </c>
      <c r="C267">
        <v>266</v>
      </c>
      <c r="D267" t="s">
        <v>12</v>
      </c>
      <c r="E267">
        <v>3</v>
      </c>
      <c r="F267">
        <v>1</v>
      </c>
      <c r="G267">
        <v>3.4689999999999999</v>
      </c>
      <c r="H267">
        <v>2.6240000000000001</v>
      </c>
    </row>
    <row r="268" spans="1:8" x14ac:dyDescent="0.2">
      <c r="A268" s="25" t="str">
        <f t="shared" si="8"/>
        <v>26/04/2025</v>
      </c>
      <c r="B268" t="str">
        <f t="shared" si="9"/>
        <v>D</v>
      </c>
      <c r="C268">
        <v>267</v>
      </c>
      <c r="D268" t="s">
        <v>12</v>
      </c>
      <c r="E268">
        <v>3</v>
      </c>
      <c r="F268">
        <v>1</v>
      </c>
      <c r="G268">
        <v>3.5259999999999998</v>
      </c>
      <c r="H268">
        <v>2.383</v>
      </c>
    </row>
    <row r="269" spans="1:8" x14ac:dyDescent="0.2">
      <c r="A269" s="25" t="str">
        <f t="shared" si="8"/>
        <v>26/04/2025</v>
      </c>
      <c r="B269" t="str">
        <f t="shared" si="9"/>
        <v>D</v>
      </c>
      <c r="C269">
        <v>268</v>
      </c>
      <c r="D269" t="s">
        <v>12</v>
      </c>
      <c r="E269">
        <v>3</v>
      </c>
      <c r="F269">
        <v>2</v>
      </c>
      <c r="G269">
        <v>3.9540000000000002</v>
      </c>
      <c r="H269">
        <v>2.653</v>
      </c>
    </row>
    <row r="270" spans="1:8" x14ac:dyDescent="0.2">
      <c r="A270" s="25" t="str">
        <f t="shared" si="8"/>
        <v>26/04/2025</v>
      </c>
      <c r="B270" t="str">
        <f t="shared" si="9"/>
        <v>D</v>
      </c>
      <c r="C270">
        <v>269</v>
      </c>
      <c r="D270" t="s">
        <v>12</v>
      </c>
      <c r="E270">
        <v>3</v>
      </c>
      <c r="F270">
        <v>2</v>
      </c>
      <c r="G270">
        <v>3.5169999999999999</v>
      </c>
      <c r="H270">
        <v>2.6659999999999999</v>
      </c>
    </row>
    <row r="271" spans="1:8" x14ac:dyDescent="0.2">
      <c r="A271" s="25" t="str">
        <f t="shared" si="8"/>
        <v>26/04/2025</v>
      </c>
      <c r="B271" t="str">
        <f t="shared" si="9"/>
        <v>D</v>
      </c>
      <c r="C271">
        <v>270</v>
      </c>
      <c r="D271" t="s">
        <v>12</v>
      </c>
      <c r="E271">
        <v>3</v>
      </c>
      <c r="F271">
        <v>2</v>
      </c>
      <c r="G271">
        <v>3.6909999999999998</v>
      </c>
      <c r="H271">
        <v>2.5870000000000002</v>
      </c>
    </row>
    <row r="272" spans="1:8" x14ac:dyDescent="0.2">
      <c r="A272" s="25" t="str">
        <f t="shared" si="8"/>
        <v>26/04/2025</v>
      </c>
      <c r="B272" t="str">
        <f t="shared" si="9"/>
        <v>D</v>
      </c>
      <c r="C272">
        <v>271</v>
      </c>
      <c r="D272" t="s">
        <v>12</v>
      </c>
      <c r="E272">
        <v>3</v>
      </c>
      <c r="F272">
        <v>2</v>
      </c>
      <c r="G272">
        <v>3.44</v>
      </c>
      <c r="H272">
        <v>2.3149999999999999</v>
      </c>
    </row>
    <row r="273" spans="1:8" x14ac:dyDescent="0.2">
      <c r="A273" s="25" t="str">
        <f t="shared" si="8"/>
        <v>26/04/2025</v>
      </c>
      <c r="B273" t="str">
        <f t="shared" si="9"/>
        <v>D</v>
      </c>
      <c r="C273">
        <v>272</v>
      </c>
      <c r="D273" t="s">
        <v>12</v>
      </c>
      <c r="E273">
        <v>3</v>
      </c>
      <c r="F273">
        <v>2</v>
      </c>
      <c r="G273">
        <v>3.21</v>
      </c>
      <c r="H273">
        <v>2.8079999999999998</v>
      </c>
    </row>
    <row r="274" spans="1:8" x14ac:dyDescent="0.2">
      <c r="A274" s="25" t="str">
        <f t="shared" si="8"/>
        <v>26/04/2025</v>
      </c>
      <c r="B274" t="str">
        <f t="shared" si="9"/>
        <v>D</v>
      </c>
      <c r="C274">
        <v>273</v>
      </c>
      <c r="D274" t="s">
        <v>12</v>
      </c>
      <c r="E274">
        <v>3</v>
      </c>
      <c r="F274">
        <v>2</v>
      </c>
      <c r="G274">
        <v>3.6150000000000002</v>
      </c>
      <c r="H274">
        <v>2.6960000000000002</v>
      </c>
    </row>
    <row r="275" spans="1:8" x14ac:dyDescent="0.2">
      <c r="A275" s="25" t="str">
        <f t="shared" si="8"/>
        <v>26/04/2025</v>
      </c>
      <c r="B275" t="str">
        <f t="shared" si="9"/>
        <v>D</v>
      </c>
      <c r="C275">
        <v>274</v>
      </c>
      <c r="D275" t="s">
        <v>12</v>
      </c>
      <c r="E275">
        <v>3</v>
      </c>
      <c r="F275">
        <v>2</v>
      </c>
      <c r="G275">
        <v>4.0419999999999998</v>
      </c>
      <c r="H275">
        <v>2.097</v>
      </c>
    </row>
    <row r="276" spans="1:8" x14ac:dyDescent="0.2">
      <c r="A276" s="25" t="str">
        <f t="shared" si="8"/>
        <v>26/04/2025</v>
      </c>
      <c r="B276" t="str">
        <f t="shared" si="9"/>
        <v>D</v>
      </c>
      <c r="C276">
        <v>275</v>
      </c>
      <c r="D276" t="s">
        <v>12</v>
      </c>
      <c r="E276">
        <v>3</v>
      </c>
      <c r="F276">
        <v>2</v>
      </c>
      <c r="G276">
        <v>3.4</v>
      </c>
      <c r="H276">
        <v>2.528</v>
      </c>
    </row>
    <row r="277" spans="1:8" x14ac:dyDescent="0.2">
      <c r="A277" s="25" t="str">
        <f t="shared" si="8"/>
        <v>01/04/2025</v>
      </c>
      <c r="B277" t="str">
        <f t="shared" si="9"/>
        <v>E</v>
      </c>
      <c r="C277">
        <v>276</v>
      </c>
      <c r="D277" t="s">
        <v>12</v>
      </c>
      <c r="E277">
        <v>3</v>
      </c>
      <c r="F277">
        <v>3</v>
      </c>
      <c r="G277">
        <v>2.9860000000000002</v>
      </c>
      <c r="H277">
        <v>2.4430000000000001</v>
      </c>
    </row>
    <row r="278" spans="1:8" x14ac:dyDescent="0.2">
      <c r="A278" s="25" t="str">
        <f t="shared" si="8"/>
        <v>01/04/2025</v>
      </c>
      <c r="B278" t="str">
        <f t="shared" si="9"/>
        <v>E</v>
      </c>
      <c r="C278">
        <v>277</v>
      </c>
      <c r="D278" t="s">
        <v>12</v>
      </c>
      <c r="E278">
        <v>3</v>
      </c>
      <c r="F278">
        <v>3</v>
      </c>
      <c r="G278">
        <v>3.12</v>
      </c>
      <c r="H278">
        <v>2.2120000000000002</v>
      </c>
    </row>
    <row r="279" spans="1:8" x14ac:dyDescent="0.2">
      <c r="A279" s="25" t="str">
        <f t="shared" si="8"/>
        <v>01/04/2025</v>
      </c>
      <c r="B279" t="str">
        <f t="shared" si="9"/>
        <v>E</v>
      </c>
      <c r="C279">
        <v>278</v>
      </c>
      <c r="D279" t="s">
        <v>12</v>
      </c>
      <c r="E279">
        <v>3</v>
      </c>
      <c r="F279">
        <v>3</v>
      </c>
      <c r="G279">
        <v>3.2829999999999999</v>
      </c>
      <c r="H279">
        <v>2.403</v>
      </c>
    </row>
    <row r="280" spans="1:8" x14ac:dyDescent="0.2">
      <c r="A280" s="25" t="str">
        <f t="shared" si="8"/>
        <v>01/04/2025</v>
      </c>
      <c r="B280" t="str">
        <f t="shared" si="9"/>
        <v>E</v>
      </c>
      <c r="C280">
        <v>279</v>
      </c>
      <c r="D280" t="s">
        <v>12</v>
      </c>
      <c r="E280">
        <v>3</v>
      </c>
      <c r="F280">
        <v>3</v>
      </c>
      <c r="G280">
        <v>2.8679999999999999</v>
      </c>
      <c r="H280">
        <v>2.5030000000000001</v>
      </c>
    </row>
    <row r="281" spans="1:8" x14ac:dyDescent="0.2">
      <c r="A281" s="25" t="str">
        <f t="shared" si="8"/>
        <v>01/04/2025</v>
      </c>
      <c r="B281" t="str">
        <f t="shared" si="9"/>
        <v>E</v>
      </c>
      <c r="C281">
        <v>280</v>
      </c>
      <c r="D281" t="s">
        <v>12</v>
      </c>
      <c r="E281">
        <v>3</v>
      </c>
      <c r="F281">
        <v>3</v>
      </c>
      <c r="G281">
        <v>3.1829999999999998</v>
      </c>
      <c r="H281">
        <v>2.343</v>
      </c>
    </row>
    <row r="282" spans="1:8" x14ac:dyDescent="0.2">
      <c r="A282" s="25" t="str">
        <f t="shared" si="8"/>
        <v>01/04/2025</v>
      </c>
      <c r="B282" t="str">
        <f t="shared" si="9"/>
        <v>E</v>
      </c>
      <c r="C282">
        <v>281</v>
      </c>
      <c r="D282" t="s">
        <v>12</v>
      </c>
      <c r="E282">
        <v>3</v>
      </c>
      <c r="F282">
        <v>3</v>
      </c>
      <c r="G282">
        <v>3.3759999999999999</v>
      </c>
      <c r="H282">
        <v>2.2770000000000001</v>
      </c>
    </row>
    <row r="283" spans="1:8" x14ac:dyDescent="0.2">
      <c r="A283" s="25" t="str">
        <f t="shared" si="8"/>
        <v>26/04/2025</v>
      </c>
      <c r="B283" t="str">
        <f t="shared" si="9"/>
        <v>D</v>
      </c>
      <c r="C283">
        <v>282</v>
      </c>
      <c r="D283" t="s">
        <v>12</v>
      </c>
      <c r="E283">
        <v>4</v>
      </c>
      <c r="F283">
        <v>1</v>
      </c>
      <c r="G283">
        <v>3.4119999999999999</v>
      </c>
      <c r="H283">
        <v>2.5139999999999998</v>
      </c>
    </row>
    <row r="284" spans="1:8" x14ac:dyDescent="0.2">
      <c r="A284" s="25" t="str">
        <f t="shared" si="8"/>
        <v>26/04/2025</v>
      </c>
      <c r="B284" t="str">
        <f t="shared" si="9"/>
        <v>D</v>
      </c>
      <c r="C284">
        <v>283</v>
      </c>
      <c r="D284" t="s">
        <v>12</v>
      </c>
      <c r="E284">
        <v>4</v>
      </c>
      <c r="F284">
        <v>1</v>
      </c>
      <c r="G284">
        <v>3.5990000000000002</v>
      </c>
      <c r="H284">
        <v>2.4929999999999999</v>
      </c>
    </row>
    <row r="285" spans="1:8" x14ac:dyDescent="0.2">
      <c r="A285" s="25" t="str">
        <f t="shared" si="8"/>
        <v>26/04/2025</v>
      </c>
      <c r="B285" t="str">
        <f t="shared" si="9"/>
        <v>D</v>
      </c>
      <c r="C285">
        <v>284</v>
      </c>
      <c r="D285" t="s">
        <v>12</v>
      </c>
      <c r="E285">
        <v>4</v>
      </c>
      <c r="F285">
        <v>1</v>
      </c>
      <c r="G285">
        <v>3.7050000000000001</v>
      </c>
      <c r="H285">
        <v>2.383</v>
      </c>
    </row>
    <row r="286" spans="1:8" x14ac:dyDescent="0.2">
      <c r="A286" s="25" t="str">
        <f t="shared" si="8"/>
        <v>26/04/2025</v>
      </c>
      <c r="B286" t="str">
        <f t="shared" si="9"/>
        <v>D</v>
      </c>
      <c r="C286">
        <v>285</v>
      </c>
      <c r="D286" t="s">
        <v>12</v>
      </c>
      <c r="E286">
        <v>4</v>
      </c>
      <c r="F286">
        <v>1</v>
      </c>
      <c r="G286">
        <v>3.3959999999999999</v>
      </c>
      <c r="H286">
        <v>2.1659999999999999</v>
      </c>
    </row>
    <row r="287" spans="1:8" x14ac:dyDescent="0.2">
      <c r="A287" s="25" t="str">
        <f t="shared" si="8"/>
        <v>26/04/2025</v>
      </c>
      <c r="B287" t="str">
        <f t="shared" si="9"/>
        <v>D</v>
      </c>
      <c r="C287">
        <v>286</v>
      </c>
      <c r="D287" t="s">
        <v>12</v>
      </c>
      <c r="E287">
        <v>4</v>
      </c>
      <c r="F287">
        <v>1</v>
      </c>
      <c r="G287">
        <v>3.3149999999999999</v>
      </c>
      <c r="H287">
        <v>2.5569999999999999</v>
      </c>
    </row>
    <row r="288" spans="1:8" x14ac:dyDescent="0.2">
      <c r="A288" s="25" t="str">
        <f t="shared" si="8"/>
        <v>26/04/2025</v>
      </c>
      <c r="B288" t="str">
        <f t="shared" si="9"/>
        <v>D</v>
      </c>
      <c r="C288">
        <v>287</v>
      </c>
      <c r="D288" t="s">
        <v>12</v>
      </c>
      <c r="E288">
        <v>4</v>
      </c>
      <c r="F288">
        <v>1</v>
      </c>
      <c r="G288">
        <v>3.2429999999999999</v>
      </c>
      <c r="H288">
        <v>2.5640000000000001</v>
      </c>
    </row>
    <row r="289" spans="1:8" x14ac:dyDescent="0.2">
      <c r="A289" s="25" t="str">
        <f t="shared" si="8"/>
        <v>26/04/2025</v>
      </c>
      <c r="B289" t="str">
        <f t="shared" si="9"/>
        <v>D</v>
      </c>
      <c r="C289">
        <v>288</v>
      </c>
      <c r="D289" t="s">
        <v>12</v>
      </c>
      <c r="E289">
        <v>4</v>
      </c>
      <c r="F289">
        <v>1</v>
      </c>
      <c r="G289">
        <v>3.55</v>
      </c>
      <c r="H289">
        <v>2.6909999999999998</v>
      </c>
    </row>
    <row r="290" spans="1:8" x14ac:dyDescent="0.2">
      <c r="A290" s="25" t="str">
        <f t="shared" si="8"/>
        <v>26/04/2025</v>
      </c>
      <c r="B290" t="str">
        <f t="shared" si="9"/>
        <v>D</v>
      </c>
      <c r="C290">
        <v>289</v>
      </c>
      <c r="D290" t="s">
        <v>12</v>
      </c>
      <c r="E290">
        <v>4</v>
      </c>
      <c r="F290">
        <v>1</v>
      </c>
      <c r="G290">
        <v>3.3050000000000002</v>
      </c>
      <c r="H290">
        <v>2.0710000000000002</v>
      </c>
    </row>
    <row r="291" spans="1:8" x14ac:dyDescent="0.2">
      <c r="A291" s="25" t="str">
        <f t="shared" si="8"/>
        <v>26/04/2025</v>
      </c>
      <c r="B291" t="str">
        <f t="shared" si="9"/>
        <v>D</v>
      </c>
      <c r="C291">
        <v>290</v>
      </c>
      <c r="D291" t="s">
        <v>12</v>
      </c>
      <c r="E291">
        <v>4</v>
      </c>
      <c r="F291">
        <v>1</v>
      </c>
      <c r="G291">
        <v>3.5129999999999999</v>
      </c>
      <c r="H291">
        <v>2.125</v>
      </c>
    </row>
    <row r="292" spans="1:8" x14ac:dyDescent="0.2">
      <c r="A292" s="25" t="str">
        <f t="shared" si="8"/>
        <v>26/04/2025</v>
      </c>
      <c r="B292" t="str">
        <f t="shared" si="9"/>
        <v>D</v>
      </c>
      <c r="C292">
        <v>291</v>
      </c>
      <c r="D292" t="s">
        <v>12</v>
      </c>
      <c r="E292">
        <v>4</v>
      </c>
      <c r="F292">
        <v>1</v>
      </c>
      <c r="G292">
        <v>3.2080000000000002</v>
      </c>
      <c r="H292">
        <v>2.4180000000000001</v>
      </c>
    </row>
    <row r="293" spans="1:8" x14ac:dyDescent="0.2">
      <c r="A293" s="25" t="str">
        <f t="shared" si="8"/>
        <v>26/04/2025</v>
      </c>
      <c r="B293" t="str">
        <f t="shared" si="9"/>
        <v>D</v>
      </c>
      <c r="C293">
        <v>292</v>
      </c>
      <c r="D293" t="s">
        <v>12</v>
      </c>
      <c r="E293">
        <v>4</v>
      </c>
      <c r="F293">
        <v>2</v>
      </c>
      <c r="G293">
        <v>4.1150000000000002</v>
      </c>
      <c r="H293">
        <v>2.6520000000000001</v>
      </c>
    </row>
    <row r="294" spans="1:8" x14ac:dyDescent="0.2">
      <c r="A294" s="25" t="str">
        <f t="shared" si="8"/>
        <v>26/04/2025</v>
      </c>
      <c r="B294" t="str">
        <f t="shared" si="9"/>
        <v>D</v>
      </c>
      <c r="C294">
        <v>293</v>
      </c>
      <c r="D294" t="s">
        <v>12</v>
      </c>
      <c r="E294">
        <v>4</v>
      </c>
      <c r="F294">
        <v>2</v>
      </c>
      <c r="G294">
        <v>3.871</v>
      </c>
      <c r="H294">
        <v>2.9660000000000002</v>
      </c>
    </row>
    <row r="295" spans="1:8" x14ac:dyDescent="0.2">
      <c r="A295" s="25" t="str">
        <f t="shared" si="8"/>
        <v>26/04/2025</v>
      </c>
      <c r="B295" t="str">
        <f t="shared" si="9"/>
        <v>D</v>
      </c>
      <c r="C295">
        <v>294</v>
      </c>
      <c r="D295" t="s">
        <v>12</v>
      </c>
      <c r="E295">
        <v>4</v>
      </c>
      <c r="F295">
        <v>2</v>
      </c>
      <c r="G295">
        <v>3.9489999999999998</v>
      </c>
      <c r="H295">
        <v>2.698</v>
      </c>
    </row>
    <row r="296" spans="1:8" x14ac:dyDescent="0.2">
      <c r="A296" s="25" t="str">
        <f t="shared" si="8"/>
        <v>26/04/2025</v>
      </c>
      <c r="B296" t="str">
        <f t="shared" si="9"/>
        <v>D</v>
      </c>
      <c r="C296">
        <v>295</v>
      </c>
      <c r="D296" t="s">
        <v>12</v>
      </c>
      <c r="E296">
        <v>4</v>
      </c>
      <c r="F296">
        <v>2</v>
      </c>
      <c r="G296">
        <v>3.9849999999999999</v>
      </c>
      <c r="H296">
        <v>2.617</v>
      </c>
    </row>
    <row r="297" spans="1:8" x14ac:dyDescent="0.2">
      <c r="A297" s="25" t="str">
        <f t="shared" si="8"/>
        <v>26/04/2025</v>
      </c>
      <c r="B297" t="str">
        <f t="shared" si="9"/>
        <v>D</v>
      </c>
      <c r="C297">
        <v>296</v>
      </c>
      <c r="D297" t="s">
        <v>12</v>
      </c>
      <c r="E297">
        <v>4</v>
      </c>
      <c r="F297">
        <v>2</v>
      </c>
      <c r="G297">
        <v>3.8769999999999998</v>
      </c>
      <c r="H297">
        <v>2.387</v>
      </c>
    </row>
    <row r="298" spans="1:8" x14ac:dyDescent="0.2">
      <c r="A298" s="25" t="str">
        <f t="shared" si="8"/>
        <v>26/04/2025</v>
      </c>
      <c r="B298" t="str">
        <f t="shared" si="9"/>
        <v>D</v>
      </c>
      <c r="C298">
        <v>297</v>
      </c>
      <c r="D298" t="s">
        <v>12</v>
      </c>
      <c r="E298">
        <v>4</v>
      </c>
      <c r="F298">
        <v>2</v>
      </c>
      <c r="G298">
        <v>4.3639999999999999</v>
      </c>
      <c r="H298">
        <v>2.5110000000000001</v>
      </c>
    </row>
    <row r="299" spans="1:8" x14ac:dyDescent="0.2">
      <c r="A299" s="25" t="str">
        <f t="shared" si="8"/>
        <v>26/04/2025</v>
      </c>
      <c r="B299" t="str">
        <f t="shared" si="9"/>
        <v>D</v>
      </c>
      <c r="C299">
        <v>298</v>
      </c>
      <c r="D299" t="s">
        <v>12</v>
      </c>
      <c r="E299">
        <v>4</v>
      </c>
      <c r="F299">
        <v>2</v>
      </c>
      <c r="G299">
        <v>3.7080000000000002</v>
      </c>
      <c r="H299">
        <v>2.31</v>
      </c>
    </row>
    <row r="300" spans="1:8" x14ac:dyDescent="0.2">
      <c r="A300" s="25" t="str">
        <f t="shared" si="8"/>
        <v>26/04/2025</v>
      </c>
      <c r="B300" t="str">
        <f t="shared" si="9"/>
        <v>D</v>
      </c>
      <c r="C300">
        <v>299</v>
      </c>
      <c r="D300" t="s">
        <v>12</v>
      </c>
      <c r="E300">
        <v>4</v>
      </c>
      <c r="F300">
        <v>2</v>
      </c>
      <c r="G300">
        <v>3.6789999999999998</v>
      </c>
      <c r="H300">
        <v>2.27</v>
      </c>
    </row>
    <row r="301" spans="1:8" x14ac:dyDescent="0.2">
      <c r="A301" s="25" t="str">
        <f t="shared" si="8"/>
        <v>26/04/2025</v>
      </c>
      <c r="B301" t="str">
        <f t="shared" si="9"/>
        <v>D</v>
      </c>
      <c r="C301">
        <v>300</v>
      </c>
      <c r="D301" t="s">
        <v>12</v>
      </c>
      <c r="E301">
        <v>4</v>
      </c>
      <c r="F301">
        <v>2</v>
      </c>
      <c r="G301">
        <v>3.3279999999999998</v>
      </c>
      <c r="H301">
        <v>2.5059999999999998</v>
      </c>
    </row>
    <row r="302" spans="1:8" x14ac:dyDescent="0.2">
      <c r="A302" s="25" t="str">
        <f t="shared" si="8"/>
        <v>26/04/2025</v>
      </c>
      <c r="B302" t="str">
        <f t="shared" si="9"/>
        <v>D</v>
      </c>
      <c r="C302">
        <v>301</v>
      </c>
      <c r="D302" t="s">
        <v>12</v>
      </c>
      <c r="E302">
        <v>4</v>
      </c>
      <c r="F302">
        <v>2</v>
      </c>
      <c r="G302">
        <v>3.8220000000000001</v>
      </c>
      <c r="H302">
        <v>2.74</v>
      </c>
    </row>
    <row r="303" spans="1:8" x14ac:dyDescent="0.2">
      <c r="A303" s="25" t="str">
        <f t="shared" si="8"/>
        <v>26/04/2025</v>
      </c>
      <c r="B303" t="str">
        <f t="shared" si="9"/>
        <v>D</v>
      </c>
      <c r="C303">
        <v>302</v>
      </c>
      <c r="D303" t="s">
        <v>12</v>
      </c>
      <c r="E303">
        <v>4</v>
      </c>
      <c r="F303">
        <v>2</v>
      </c>
      <c r="G303">
        <v>3.8759999999999999</v>
      </c>
      <c r="H303">
        <v>2.5289999999999999</v>
      </c>
    </row>
    <row r="304" spans="1:8" x14ac:dyDescent="0.2">
      <c r="A304" s="25" t="str">
        <f t="shared" si="8"/>
        <v>26/04/2025</v>
      </c>
      <c r="B304" t="str">
        <f t="shared" si="9"/>
        <v>D</v>
      </c>
      <c r="C304">
        <v>303</v>
      </c>
      <c r="D304" t="s">
        <v>12</v>
      </c>
      <c r="E304">
        <v>4</v>
      </c>
      <c r="F304">
        <v>2</v>
      </c>
      <c r="G304">
        <v>3.6480000000000001</v>
      </c>
      <c r="H304">
        <v>2.403</v>
      </c>
    </row>
    <row r="305" spans="1:8" x14ac:dyDescent="0.2">
      <c r="A305" s="25" t="str">
        <f t="shared" si="8"/>
        <v>01/04/2025</v>
      </c>
      <c r="B305" t="str">
        <f t="shared" si="9"/>
        <v>E</v>
      </c>
      <c r="C305">
        <v>304</v>
      </c>
      <c r="D305" t="s">
        <v>12</v>
      </c>
      <c r="E305">
        <v>4</v>
      </c>
      <c r="F305">
        <v>3</v>
      </c>
      <c r="G305">
        <v>3.0270000000000001</v>
      </c>
      <c r="H305">
        <v>2.431</v>
      </c>
    </row>
    <row r="306" spans="1:8" x14ac:dyDescent="0.2">
      <c r="A306" s="25" t="str">
        <f t="shared" si="8"/>
        <v>01/04/2025</v>
      </c>
      <c r="B306" t="str">
        <f t="shared" si="9"/>
        <v>E</v>
      </c>
      <c r="C306">
        <v>305</v>
      </c>
      <c r="D306" t="s">
        <v>12</v>
      </c>
      <c r="E306">
        <v>4</v>
      </c>
      <c r="F306">
        <v>3</v>
      </c>
      <c r="G306">
        <v>3.9470000000000001</v>
      </c>
      <c r="H306">
        <v>2.6259999999999999</v>
      </c>
    </row>
    <row r="307" spans="1:8" x14ac:dyDescent="0.2">
      <c r="A307" s="25" t="str">
        <f t="shared" si="8"/>
        <v>01/04/2025</v>
      </c>
      <c r="B307" t="str">
        <f t="shared" si="9"/>
        <v>E</v>
      </c>
      <c r="C307">
        <v>306</v>
      </c>
      <c r="D307" t="s">
        <v>12</v>
      </c>
      <c r="E307">
        <v>4</v>
      </c>
      <c r="F307">
        <v>3</v>
      </c>
      <c r="G307">
        <v>3.613</v>
      </c>
      <c r="H307">
        <v>2.6930000000000001</v>
      </c>
    </row>
    <row r="308" spans="1:8" x14ac:dyDescent="0.2">
      <c r="A308" s="25" t="str">
        <f t="shared" si="8"/>
        <v>01/04/2025</v>
      </c>
      <c r="B308" t="str">
        <f t="shared" si="9"/>
        <v>E</v>
      </c>
      <c r="C308">
        <v>307</v>
      </c>
      <c r="D308" t="s">
        <v>12</v>
      </c>
      <c r="E308">
        <v>4</v>
      </c>
      <c r="F308">
        <v>3</v>
      </c>
      <c r="G308">
        <v>3.2069999999999999</v>
      </c>
      <c r="H308">
        <v>2.5299999999999998</v>
      </c>
    </row>
    <row r="309" spans="1:8" x14ac:dyDescent="0.2">
      <c r="A309" s="25" t="str">
        <f t="shared" si="8"/>
        <v>01/04/2025</v>
      </c>
      <c r="B309" t="str">
        <f t="shared" si="9"/>
        <v>E</v>
      </c>
      <c r="C309">
        <v>308</v>
      </c>
      <c r="D309" t="s">
        <v>12</v>
      </c>
      <c r="E309">
        <v>4</v>
      </c>
      <c r="F309">
        <v>3</v>
      </c>
      <c r="G309">
        <v>3.9809999999999999</v>
      </c>
      <c r="H309">
        <v>2.3570000000000002</v>
      </c>
    </row>
    <row r="310" spans="1:8" x14ac:dyDescent="0.2">
      <c r="A310" s="25" t="str">
        <f t="shared" si="8"/>
        <v>01/04/2025</v>
      </c>
      <c r="B310" t="str">
        <f t="shared" si="9"/>
        <v>E</v>
      </c>
      <c r="C310">
        <v>309</v>
      </c>
      <c r="D310" t="s">
        <v>12</v>
      </c>
      <c r="E310">
        <v>4</v>
      </c>
      <c r="F310">
        <v>3</v>
      </c>
      <c r="G310">
        <v>3.6549999999999998</v>
      </c>
      <c r="H310">
        <v>2.407</v>
      </c>
    </row>
    <row r="311" spans="1:8" x14ac:dyDescent="0.2">
      <c r="A311" s="25" t="str">
        <f t="shared" si="8"/>
        <v>01/04/2025</v>
      </c>
      <c r="B311" t="str">
        <f t="shared" si="9"/>
        <v>E</v>
      </c>
      <c r="C311">
        <v>310</v>
      </c>
      <c r="D311" t="s">
        <v>12</v>
      </c>
      <c r="E311">
        <v>4</v>
      </c>
      <c r="F311">
        <v>3</v>
      </c>
      <c r="G311">
        <v>3.9769999999999999</v>
      </c>
      <c r="H311">
        <v>2.6030000000000002</v>
      </c>
    </row>
    <row r="312" spans="1:8" x14ac:dyDescent="0.2">
      <c r="A312" s="25" t="str">
        <f t="shared" si="8"/>
        <v>01/04/2025</v>
      </c>
      <c r="B312" t="str">
        <f t="shared" si="9"/>
        <v>E</v>
      </c>
      <c r="C312">
        <v>311</v>
      </c>
      <c r="D312" t="s">
        <v>12</v>
      </c>
      <c r="E312">
        <v>4</v>
      </c>
      <c r="F312">
        <v>3</v>
      </c>
      <c r="G312">
        <v>3.702</v>
      </c>
      <c r="H312">
        <v>2.4929999999999999</v>
      </c>
    </row>
    <row r="313" spans="1:8" x14ac:dyDescent="0.2">
      <c r="A313" s="25" t="str">
        <f t="shared" si="8"/>
        <v>01/04/2025</v>
      </c>
      <c r="B313" t="str">
        <f t="shared" si="9"/>
        <v>E</v>
      </c>
      <c r="C313">
        <v>312</v>
      </c>
      <c r="D313" t="s">
        <v>12</v>
      </c>
      <c r="E313">
        <v>4</v>
      </c>
      <c r="F313">
        <v>3</v>
      </c>
      <c r="G313">
        <v>3.823</v>
      </c>
      <c r="H313">
        <v>2.484</v>
      </c>
    </row>
    <row r="314" spans="1:8" x14ac:dyDescent="0.2">
      <c r="A314" s="25" t="str">
        <f t="shared" si="8"/>
        <v>01/04/2025</v>
      </c>
      <c r="B314" t="str">
        <f t="shared" si="9"/>
        <v>E</v>
      </c>
      <c r="C314">
        <v>313</v>
      </c>
      <c r="D314" t="s">
        <v>12</v>
      </c>
      <c r="E314">
        <v>4</v>
      </c>
      <c r="F314">
        <v>3</v>
      </c>
      <c r="G314">
        <v>3.9129999999999998</v>
      </c>
      <c r="H314">
        <v>2.2410000000000001</v>
      </c>
    </row>
    <row r="315" spans="1:8" x14ac:dyDescent="0.2">
      <c r="A315" s="25" t="str">
        <f t="shared" si="8"/>
        <v>01/04/2025</v>
      </c>
      <c r="B315" t="str">
        <f t="shared" si="9"/>
        <v>E</v>
      </c>
      <c r="C315">
        <v>314</v>
      </c>
      <c r="D315" t="s">
        <v>12</v>
      </c>
      <c r="E315">
        <v>4</v>
      </c>
      <c r="F315">
        <v>3</v>
      </c>
      <c r="G315">
        <v>2.919</v>
      </c>
      <c r="H315">
        <v>2.0830000000000002</v>
      </c>
    </row>
    <row r="316" spans="1:8" x14ac:dyDescent="0.2">
      <c r="A316" s="25" t="str">
        <f t="shared" si="8"/>
        <v>01/04/2025</v>
      </c>
      <c r="B316" t="str">
        <f t="shared" si="9"/>
        <v>E</v>
      </c>
      <c r="C316">
        <v>315</v>
      </c>
      <c r="D316" t="s">
        <v>12</v>
      </c>
      <c r="E316">
        <v>4</v>
      </c>
      <c r="F316">
        <v>3</v>
      </c>
      <c r="G316">
        <v>4.2229999999999999</v>
      </c>
      <c r="H316">
        <v>2.3540000000000001</v>
      </c>
    </row>
    <row r="317" spans="1:8" x14ac:dyDescent="0.2">
      <c r="A317" s="25" t="str">
        <f t="shared" si="8"/>
        <v>01/04/2025</v>
      </c>
      <c r="B317" t="str">
        <f t="shared" si="9"/>
        <v>E</v>
      </c>
      <c r="C317">
        <v>316</v>
      </c>
      <c r="D317" t="s">
        <v>12</v>
      </c>
      <c r="E317">
        <v>4</v>
      </c>
      <c r="F317">
        <v>3</v>
      </c>
      <c r="G317">
        <v>2.8149999999999999</v>
      </c>
      <c r="H317">
        <v>2.5720000000000001</v>
      </c>
    </row>
    <row r="318" spans="1:8" x14ac:dyDescent="0.2">
      <c r="A318" s="25" t="str">
        <f t="shared" si="8"/>
        <v>26/04/2025</v>
      </c>
      <c r="B318" t="str">
        <f t="shared" si="9"/>
        <v>D</v>
      </c>
      <c r="C318">
        <v>317</v>
      </c>
      <c r="D318" t="s">
        <v>12</v>
      </c>
      <c r="E318">
        <v>5</v>
      </c>
      <c r="F318">
        <v>1</v>
      </c>
      <c r="G318">
        <v>3.4369999999999998</v>
      </c>
      <c r="H318">
        <v>2.4369999999999998</v>
      </c>
    </row>
    <row r="319" spans="1:8" x14ac:dyDescent="0.2">
      <c r="A319" s="25" t="str">
        <f t="shared" si="8"/>
        <v>26/04/2025</v>
      </c>
      <c r="B319" t="str">
        <f t="shared" si="9"/>
        <v>D</v>
      </c>
      <c r="C319">
        <v>318</v>
      </c>
      <c r="D319" t="s">
        <v>12</v>
      </c>
      <c r="E319">
        <v>5</v>
      </c>
      <c r="F319">
        <v>1</v>
      </c>
      <c r="G319">
        <v>4.0999999999999996</v>
      </c>
      <c r="H319">
        <v>2.004</v>
      </c>
    </row>
    <row r="320" spans="1:8" x14ac:dyDescent="0.2">
      <c r="A320" s="25" t="str">
        <f t="shared" si="8"/>
        <v>26/04/2025</v>
      </c>
      <c r="B320" t="str">
        <f t="shared" si="9"/>
        <v>D</v>
      </c>
      <c r="C320">
        <v>319</v>
      </c>
      <c r="D320" t="s">
        <v>12</v>
      </c>
      <c r="E320">
        <v>5</v>
      </c>
      <c r="F320">
        <v>1</v>
      </c>
      <c r="G320">
        <v>3.3969999999999998</v>
      </c>
      <c r="H320">
        <v>2.3170000000000002</v>
      </c>
    </row>
    <row r="321" spans="1:8" x14ac:dyDescent="0.2">
      <c r="A321" s="25" t="str">
        <f t="shared" si="8"/>
        <v>26/04/2025</v>
      </c>
      <c r="B321" t="str">
        <f t="shared" si="9"/>
        <v>D</v>
      </c>
      <c r="C321">
        <v>320</v>
      </c>
      <c r="D321" t="s">
        <v>12</v>
      </c>
      <c r="E321">
        <v>5</v>
      </c>
      <c r="F321">
        <v>2</v>
      </c>
      <c r="G321">
        <v>3.3530000000000002</v>
      </c>
      <c r="H321">
        <v>2.0979999999999999</v>
      </c>
    </row>
    <row r="322" spans="1:8" x14ac:dyDescent="0.2">
      <c r="A322" s="25" t="str">
        <f t="shared" si="8"/>
        <v>26/04/2025</v>
      </c>
      <c r="B322" t="str">
        <f t="shared" si="9"/>
        <v>D</v>
      </c>
      <c r="C322">
        <v>321</v>
      </c>
      <c r="D322" t="s">
        <v>12</v>
      </c>
      <c r="E322">
        <v>5</v>
      </c>
      <c r="F322">
        <v>2</v>
      </c>
      <c r="G322">
        <v>3.54</v>
      </c>
      <c r="H322">
        <v>2.5150000000000001</v>
      </c>
    </row>
    <row r="323" spans="1:8" x14ac:dyDescent="0.2">
      <c r="A323" s="25" t="str">
        <f t="shared" ref="A323:A386" si="10">IF(F323&lt;3, "26/04/2025", "01/04/2025")</f>
        <v>26/04/2025</v>
      </c>
      <c r="B323" t="str">
        <f t="shared" ref="B323:B386" si="11">IF(F323&lt;3, "D", "E")</f>
        <v>D</v>
      </c>
      <c r="C323">
        <v>322</v>
      </c>
      <c r="D323" t="s">
        <v>12</v>
      </c>
      <c r="E323">
        <v>5</v>
      </c>
      <c r="F323">
        <v>2</v>
      </c>
      <c r="G323">
        <v>3.6349999999999998</v>
      </c>
      <c r="H323">
        <v>2.4500000000000002</v>
      </c>
    </row>
    <row r="324" spans="1:8" x14ac:dyDescent="0.2">
      <c r="A324" s="25" t="str">
        <f t="shared" si="10"/>
        <v>26/04/2025</v>
      </c>
      <c r="B324" t="str">
        <f t="shared" si="11"/>
        <v>D</v>
      </c>
      <c r="C324">
        <v>323</v>
      </c>
      <c r="D324" t="s">
        <v>12</v>
      </c>
      <c r="E324">
        <v>5</v>
      </c>
      <c r="F324">
        <v>2</v>
      </c>
      <c r="G324">
        <v>3.3140000000000001</v>
      </c>
      <c r="H324">
        <v>2.4870000000000001</v>
      </c>
    </row>
    <row r="325" spans="1:8" x14ac:dyDescent="0.2">
      <c r="A325" s="25" t="str">
        <f t="shared" si="10"/>
        <v>26/04/2025</v>
      </c>
      <c r="B325" t="str">
        <f t="shared" si="11"/>
        <v>D</v>
      </c>
      <c r="C325">
        <v>324</v>
      </c>
      <c r="D325" t="s">
        <v>12</v>
      </c>
      <c r="E325">
        <v>5</v>
      </c>
      <c r="F325">
        <v>2</v>
      </c>
      <c r="G325">
        <v>3.8159999999999998</v>
      </c>
      <c r="H325">
        <v>2.46</v>
      </c>
    </row>
    <row r="326" spans="1:8" x14ac:dyDescent="0.2">
      <c r="A326" s="25" t="str">
        <f t="shared" si="10"/>
        <v>26/04/2025</v>
      </c>
      <c r="B326" t="str">
        <f t="shared" si="11"/>
        <v>D</v>
      </c>
      <c r="C326">
        <v>325</v>
      </c>
      <c r="D326" t="s">
        <v>12</v>
      </c>
      <c r="E326">
        <v>5</v>
      </c>
      <c r="F326">
        <v>2</v>
      </c>
      <c r="G326">
        <v>3.5219999999999998</v>
      </c>
      <c r="H326">
        <v>2.1840000000000002</v>
      </c>
    </row>
    <row r="327" spans="1:8" x14ac:dyDescent="0.2">
      <c r="A327" s="25" t="str">
        <f t="shared" si="10"/>
        <v>26/04/2025</v>
      </c>
      <c r="B327" t="str">
        <f t="shared" si="11"/>
        <v>D</v>
      </c>
      <c r="C327">
        <v>326</v>
      </c>
      <c r="D327" t="s">
        <v>12</v>
      </c>
      <c r="E327">
        <v>5</v>
      </c>
      <c r="F327">
        <v>2</v>
      </c>
      <c r="G327">
        <v>3.617</v>
      </c>
      <c r="H327">
        <v>2.5640000000000001</v>
      </c>
    </row>
    <row r="328" spans="1:8" x14ac:dyDescent="0.2">
      <c r="A328" s="25" t="str">
        <f t="shared" si="10"/>
        <v>26/04/2025</v>
      </c>
      <c r="B328" t="str">
        <f t="shared" si="11"/>
        <v>D</v>
      </c>
      <c r="C328">
        <v>327</v>
      </c>
      <c r="D328" t="s">
        <v>12</v>
      </c>
      <c r="E328">
        <v>5</v>
      </c>
      <c r="F328">
        <v>2</v>
      </c>
      <c r="G328">
        <v>3.1960000000000002</v>
      </c>
      <c r="H328">
        <v>2.4300000000000002</v>
      </c>
    </row>
    <row r="329" spans="1:8" x14ac:dyDescent="0.2">
      <c r="A329" s="25" t="str">
        <f t="shared" si="10"/>
        <v>26/04/2025</v>
      </c>
      <c r="B329" t="str">
        <f t="shared" si="11"/>
        <v>D</v>
      </c>
      <c r="C329">
        <v>328</v>
      </c>
      <c r="D329" t="s">
        <v>12</v>
      </c>
      <c r="E329">
        <v>5</v>
      </c>
      <c r="F329">
        <v>2</v>
      </c>
      <c r="G329">
        <v>3.423</v>
      </c>
      <c r="H329">
        <v>2.5179999999999998</v>
      </c>
    </row>
    <row r="330" spans="1:8" x14ac:dyDescent="0.2">
      <c r="A330" s="25" t="str">
        <f t="shared" si="10"/>
        <v>26/04/2025</v>
      </c>
      <c r="B330" t="str">
        <f t="shared" si="11"/>
        <v>D</v>
      </c>
      <c r="C330">
        <v>329</v>
      </c>
      <c r="D330" t="s">
        <v>12</v>
      </c>
      <c r="E330">
        <v>5</v>
      </c>
      <c r="F330">
        <v>2</v>
      </c>
      <c r="G330">
        <v>3.073</v>
      </c>
      <c r="H330">
        <v>2.1840000000000002</v>
      </c>
    </row>
    <row r="331" spans="1:8" x14ac:dyDescent="0.2">
      <c r="A331" s="25" t="str">
        <f t="shared" si="10"/>
        <v>26/04/2025</v>
      </c>
      <c r="B331" t="str">
        <f t="shared" si="11"/>
        <v>D</v>
      </c>
      <c r="C331">
        <v>330</v>
      </c>
      <c r="D331" t="s">
        <v>12</v>
      </c>
      <c r="E331">
        <v>5</v>
      </c>
      <c r="F331">
        <v>2</v>
      </c>
      <c r="G331">
        <v>3.8119999999999998</v>
      </c>
      <c r="H331">
        <v>2.2970000000000002</v>
      </c>
    </row>
    <row r="332" spans="1:8" x14ac:dyDescent="0.2">
      <c r="A332" s="25" t="str">
        <f t="shared" si="10"/>
        <v>26/04/2025</v>
      </c>
      <c r="B332" t="str">
        <f t="shared" si="11"/>
        <v>D</v>
      </c>
      <c r="C332">
        <v>331</v>
      </c>
      <c r="D332" t="s">
        <v>12</v>
      </c>
      <c r="E332">
        <v>5</v>
      </c>
      <c r="F332">
        <v>2</v>
      </c>
      <c r="G332">
        <v>3.3530000000000002</v>
      </c>
      <c r="H332">
        <v>2.2010000000000001</v>
      </c>
    </row>
    <row r="333" spans="1:8" x14ac:dyDescent="0.2">
      <c r="A333" s="25" t="str">
        <f t="shared" si="10"/>
        <v>26/04/2025</v>
      </c>
      <c r="B333" t="str">
        <f t="shared" si="11"/>
        <v>D</v>
      </c>
      <c r="C333">
        <v>332</v>
      </c>
      <c r="D333" t="s">
        <v>12</v>
      </c>
      <c r="E333">
        <v>5</v>
      </c>
      <c r="F333">
        <v>2</v>
      </c>
      <c r="G333">
        <v>3.258</v>
      </c>
      <c r="H333">
        <v>2.0590000000000002</v>
      </c>
    </row>
    <row r="334" spans="1:8" x14ac:dyDescent="0.2">
      <c r="A334" s="25" t="str">
        <f t="shared" si="10"/>
        <v>01/04/2025</v>
      </c>
      <c r="B334" t="str">
        <f t="shared" si="11"/>
        <v>E</v>
      </c>
      <c r="C334">
        <v>333</v>
      </c>
      <c r="D334" t="s">
        <v>12</v>
      </c>
      <c r="E334">
        <v>5</v>
      </c>
      <c r="F334">
        <v>3</v>
      </c>
      <c r="G334">
        <v>3.9809999999999999</v>
      </c>
      <c r="H334">
        <v>2.2090000000000001</v>
      </c>
    </row>
    <row r="335" spans="1:8" x14ac:dyDescent="0.2">
      <c r="A335" s="25" t="str">
        <f t="shared" si="10"/>
        <v>01/04/2025</v>
      </c>
      <c r="B335" t="str">
        <f t="shared" si="11"/>
        <v>E</v>
      </c>
      <c r="C335">
        <v>334</v>
      </c>
      <c r="D335" t="s">
        <v>12</v>
      </c>
      <c r="E335">
        <v>5</v>
      </c>
      <c r="F335">
        <v>3</v>
      </c>
      <c r="G335">
        <v>3.79</v>
      </c>
      <c r="H335">
        <v>2.3250000000000002</v>
      </c>
    </row>
    <row r="336" spans="1:8" x14ac:dyDescent="0.2">
      <c r="A336" s="25" t="str">
        <f t="shared" si="10"/>
        <v>01/04/2025</v>
      </c>
      <c r="B336" t="str">
        <f t="shared" si="11"/>
        <v>E</v>
      </c>
      <c r="C336">
        <v>335</v>
      </c>
      <c r="D336" t="s">
        <v>12</v>
      </c>
      <c r="E336">
        <v>5</v>
      </c>
      <c r="F336">
        <v>3</v>
      </c>
      <c r="G336">
        <v>3.4180000000000001</v>
      </c>
      <c r="H336">
        <v>2.625</v>
      </c>
    </row>
    <row r="337" spans="1:8" x14ac:dyDescent="0.2">
      <c r="A337" s="25" t="str">
        <f t="shared" si="10"/>
        <v>01/04/2025</v>
      </c>
      <c r="B337" t="str">
        <f t="shared" si="11"/>
        <v>E</v>
      </c>
      <c r="C337">
        <v>336</v>
      </c>
      <c r="D337" t="s">
        <v>12</v>
      </c>
      <c r="E337">
        <v>5</v>
      </c>
      <c r="F337">
        <v>3</v>
      </c>
      <c r="G337">
        <v>3.1579999999999999</v>
      </c>
      <c r="H337">
        <v>2.2330000000000001</v>
      </c>
    </row>
    <row r="338" spans="1:8" x14ac:dyDescent="0.2">
      <c r="A338" s="25" t="str">
        <f t="shared" si="10"/>
        <v>01/04/2025</v>
      </c>
      <c r="B338" t="str">
        <f t="shared" si="11"/>
        <v>E</v>
      </c>
      <c r="C338">
        <v>337</v>
      </c>
      <c r="D338" t="s">
        <v>12</v>
      </c>
      <c r="E338">
        <v>5</v>
      </c>
      <c r="F338">
        <v>3</v>
      </c>
      <c r="G338">
        <v>3.4790000000000001</v>
      </c>
      <c r="H338">
        <v>2.319</v>
      </c>
    </row>
    <row r="339" spans="1:8" x14ac:dyDescent="0.2">
      <c r="A339" s="25" t="str">
        <f t="shared" si="10"/>
        <v>01/04/2025</v>
      </c>
      <c r="B339" t="str">
        <f t="shared" si="11"/>
        <v>E</v>
      </c>
      <c r="C339">
        <v>338</v>
      </c>
      <c r="D339" t="s">
        <v>12</v>
      </c>
      <c r="E339">
        <v>5</v>
      </c>
      <c r="F339">
        <v>3</v>
      </c>
      <c r="G339">
        <v>3.1349999999999998</v>
      </c>
      <c r="H339">
        <v>2.3460000000000001</v>
      </c>
    </row>
    <row r="340" spans="1:8" x14ac:dyDescent="0.2">
      <c r="A340" s="25" t="str">
        <f t="shared" si="10"/>
        <v>01/04/2025</v>
      </c>
      <c r="B340" t="str">
        <f t="shared" si="11"/>
        <v>E</v>
      </c>
      <c r="C340">
        <v>339</v>
      </c>
      <c r="D340" t="s">
        <v>12</v>
      </c>
      <c r="E340">
        <v>5</v>
      </c>
      <c r="F340">
        <v>3</v>
      </c>
      <c r="G340">
        <v>3.8479999999999999</v>
      </c>
      <c r="H340">
        <v>2.2360000000000002</v>
      </c>
    </row>
    <row r="341" spans="1:8" x14ac:dyDescent="0.2">
      <c r="A341" s="25" t="str">
        <f t="shared" si="10"/>
        <v>01/04/2025</v>
      </c>
      <c r="B341" t="str">
        <f t="shared" si="11"/>
        <v>E</v>
      </c>
      <c r="C341">
        <v>340</v>
      </c>
      <c r="D341" t="s">
        <v>12</v>
      </c>
      <c r="E341">
        <v>5</v>
      </c>
      <c r="F341">
        <v>3</v>
      </c>
      <c r="G341">
        <v>3.0619999999999998</v>
      </c>
      <c r="H341">
        <v>2.5390000000000001</v>
      </c>
    </row>
    <row r="342" spans="1:8" x14ac:dyDescent="0.2">
      <c r="A342" s="25" t="str">
        <f t="shared" si="10"/>
        <v>01/04/2025</v>
      </c>
      <c r="B342" t="str">
        <f t="shared" si="11"/>
        <v>E</v>
      </c>
      <c r="C342">
        <v>341</v>
      </c>
      <c r="D342" t="s">
        <v>12</v>
      </c>
      <c r="E342">
        <v>5</v>
      </c>
      <c r="F342">
        <v>3</v>
      </c>
      <c r="G342">
        <v>4.1970000000000001</v>
      </c>
      <c r="H342">
        <v>2.2450000000000001</v>
      </c>
    </row>
    <row r="343" spans="1:8" x14ac:dyDescent="0.2">
      <c r="A343" s="25" t="str">
        <f t="shared" si="10"/>
        <v>01/04/2025</v>
      </c>
      <c r="B343" t="str">
        <f t="shared" si="11"/>
        <v>E</v>
      </c>
      <c r="C343">
        <v>342</v>
      </c>
      <c r="D343" t="s">
        <v>12</v>
      </c>
      <c r="E343">
        <v>5</v>
      </c>
      <c r="F343">
        <v>3</v>
      </c>
      <c r="G343">
        <v>3.556</v>
      </c>
      <c r="H343">
        <v>2.5139999999999998</v>
      </c>
    </row>
    <row r="344" spans="1:8" x14ac:dyDescent="0.2">
      <c r="A344" s="25" t="str">
        <f t="shared" si="10"/>
        <v>26/04/2025</v>
      </c>
      <c r="B344" t="str">
        <f t="shared" si="11"/>
        <v>D</v>
      </c>
      <c r="C344">
        <v>343</v>
      </c>
      <c r="D344" t="s">
        <v>12</v>
      </c>
      <c r="E344">
        <v>6</v>
      </c>
      <c r="F344">
        <v>2</v>
      </c>
      <c r="G344">
        <v>3.7269999999999999</v>
      </c>
      <c r="H344">
        <v>2.4289999999999998</v>
      </c>
    </row>
    <row r="345" spans="1:8" x14ac:dyDescent="0.2">
      <c r="A345" s="25" t="str">
        <f t="shared" si="10"/>
        <v>26/04/2025</v>
      </c>
      <c r="B345" t="str">
        <f t="shared" si="11"/>
        <v>D</v>
      </c>
      <c r="C345">
        <v>344</v>
      </c>
      <c r="D345" t="s">
        <v>12</v>
      </c>
      <c r="E345">
        <v>6</v>
      </c>
      <c r="F345">
        <v>2</v>
      </c>
      <c r="G345">
        <v>3.5169999999999999</v>
      </c>
      <c r="H345">
        <v>2.4670000000000001</v>
      </c>
    </row>
    <row r="346" spans="1:8" x14ac:dyDescent="0.2">
      <c r="A346" s="25" t="str">
        <f t="shared" si="10"/>
        <v>26/04/2025</v>
      </c>
      <c r="B346" t="str">
        <f t="shared" si="11"/>
        <v>D</v>
      </c>
      <c r="C346">
        <v>345</v>
      </c>
      <c r="D346" t="s">
        <v>13</v>
      </c>
      <c r="E346">
        <v>1</v>
      </c>
      <c r="F346">
        <v>1</v>
      </c>
      <c r="G346">
        <v>4.4400000000000004</v>
      </c>
      <c r="H346">
        <v>3.0249999999999999</v>
      </c>
    </row>
    <row r="347" spans="1:8" x14ac:dyDescent="0.2">
      <c r="A347" s="25" t="str">
        <f t="shared" si="10"/>
        <v>26/04/2025</v>
      </c>
      <c r="B347" t="str">
        <f t="shared" si="11"/>
        <v>D</v>
      </c>
      <c r="C347">
        <v>346</v>
      </c>
      <c r="D347" t="s">
        <v>13</v>
      </c>
      <c r="E347">
        <v>1</v>
      </c>
      <c r="F347">
        <v>1</v>
      </c>
      <c r="G347">
        <v>3.5409999999999999</v>
      </c>
      <c r="H347">
        <v>2.395</v>
      </c>
    </row>
    <row r="348" spans="1:8" x14ac:dyDescent="0.2">
      <c r="A348" s="25" t="str">
        <f t="shared" si="10"/>
        <v>26/04/2025</v>
      </c>
      <c r="B348" t="str">
        <f t="shared" si="11"/>
        <v>D</v>
      </c>
      <c r="C348">
        <v>347</v>
      </c>
      <c r="D348" t="s">
        <v>13</v>
      </c>
      <c r="E348">
        <v>1</v>
      </c>
      <c r="F348">
        <v>1</v>
      </c>
      <c r="G348">
        <v>3.4580000000000002</v>
      </c>
      <c r="H348">
        <v>2.431</v>
      </c>
    </row>
    <row r="349" spans="1:8" x14ac:dyDescent="0.2">
      <c r="A349" s="25" t="str">
        <f t="shared" si="10"/>
        <v>26/04/2025</v>
      </c>
      <c r="B349" t="str">
        <f t="shared" si="11"/>
        <v>D</v>
      </c>
      <c r="C349">
        <v>348</v>
      </c>
      <c r="D349" t="s">
        <v>13</v>
      </c>
      <c r="E349">
        <v>1</v>
      </c>
      <c r="F349">
        <v>1</v>
      </c>
      <c r="G349">
        <v>3.7850000000000001</v>
      </c>
      <c r="H349">
        <v>2.6120000000000001</v>
      </c>
    </row>
    <row r="350" spans="1:8" x14ac:dyDescent="0.2">
      <c r="A350" s="25" t="str">
        <f t="shared" si="10"/>
        <v>26/04/2025</v>
      </c>
      <c r="B350" t="str">
        <f t="shared" si="11"/>
        <v>D</v>
      </c>
      <c r="C350">
        <v>349</v>
      </c>
      <c r="D350" t="s">
        <v>13</v>
      </c>
      <c r="E350">
        <v>1</v>
      </c>
      <c r="F350">
        <v>1</v>
      </c>
      <c r="G350">
        <v>3.9</v>
      </c>
      <c r="H350">
        <v>2.4609999999999999</v>
      </c>
    </row>
    <row r="351" spans="1:8" x14ac:dyDescent="0.2">
      <c r="A351" s="25" t="str">
        <f t="shared" si="10"/>
        <v>26/04/2025</v>
      </c>
      <c r="B351" t="str">
        <f t="shared" si="11"/>
        <v>D</v>
      </c>
      <c r="C351">
        <v>350</v>
      </c>
      <c r="D351" t="s">
        <v>13</v>
      </c>
      <c r="E351">
        <v>1</v>
      </c>
      <c r="F351">
        <v>1</v>
      </c>
      <c r="G351">
        <v>3.637</v>
      </c>
      <c r="H351">
        <v>2.464</v>
      </c>
    </row>
    <row r="352" spans="1:8" x14ac:dyDescent="0.2">
      <c r="A352" s="25" t="str">
        <f t="shared" si="10"/>
        <v>26/04/2025</v>
      </c>
      <c r="B352" t="str">
        <f t="shared" si="11"/>
        <v>D</v>
      </c>
      <c r="C352">
        <v>351</v>
      </c>
      <c r="D352" t="s">
        <v>13</v>
      </c>
      <c r="E352">
        <v>1</v>
      </c>
      <c r="F352">
        <v>1</v>
      </c>
      <c r="G352">
        <v>3.387</v>
      </c>
      <c r="H352">
        <v>2.76</v>
      </c>
    </row>
    <row r="353" spans="1:8" x14ac:dyDescent="0.2">
      <c r="A353" s="25" t="str">
        <f t="shared" si="10"/>
        <v>26/04/2025</v>
      </c>
      <c r="B353" t="str">
        <f t="shared" si="11"/>
        <v>D</v>
      </c>
      <c r="C353">
        <v>352</v>
      </c>
      <c r="D353" t="s">
        <v>13</v>
      </c>
      <c r="E353">
        <v>1</v>
      </c>
      <c r="F353">
        <v>1</v>
      </c>
      <c r="G353">
        <v>3.569</v>
      </c>
      <c r="H353">
        <v>2.5409999999999999</v>
      </c>
    </row>
    <row r="354" spans="1:8" x14ac:dyDescent="0.2">
      <c r="A354" s="25" t="str">
        <f t="shared" si="10"/>
        <v>26/04/2025</v>
      </c>
      <c r="B354" t="str">
        <f t="shared" si="11"/>
        <v>D</v>
      </c>
      <c r="C354">
        <v>353</v>
      </c>
      <c r="D354" t="s">
        <v>13</v>
      </c>
      <c r="E354">
        <v>1</v>
      </c>
      <c r="F354">
        <v>1</v>
      </c>
      <c r="G354">
        <v>3.3679999999999999</v>
      </c>
      <c r="H354">
        <v>2.4209999999999998</v>
      </c>
    </row>
    <row r="355" spans="1:8" x14ac:dyDescent="0.2">
      <c r="A355" s="25" t="str">
        <f t="shared" si="10"/>
        <v>26/04/2025</v>
      </c>
      <c r="B355" t="str">
        <f t="shared" si="11"/>
        <v>D</v>
      </c>
      <c r="C355">
        <v>354</v>
      </c>
      <c r="D355" t="s">
        <v>13</v>
      </c>
      <c r="E355">
        <v>1</v>
      </c>
      <c r="F355">
        <v>1</v>
      </c>
      <c r="G355">
        <v>3.22</v>
      </c>
      <c r="H355">
        <v>2.5680000000000001</v>
      </c>
    </row>
    <row r="356" spans="1:8" x14ac:dyDescent="0.2">
      <c r="A356" s="25" t="str">
        <f t="shared" si="10"/>
        <v>26/04/2025</v>
      </c>
      <c r="B356" t="str">
        <f t="shared" si="11"/>
        <v>D</v>
      </c>
      <c r="C356">
        <v>355</v>
      </c>
      <c r="D356" t="s">
        <v>13</v>
      </c>
      <c r="E356">
        <v>1</v>
      </c>
      <c r="F356">
        <v>1</v>
      </c>
      <c r="G356">
        <v>3.7759999999999998</v>
      </c>
      <c r="H356">
        <v>2.6920000000000002</v>
      </c>
    </row>
    <row r="357" spans="1:8" x14ac:dyDescent="0.2">
      <c r="A357" s="25" t="str">
        <f t="shared" si="10"/>
        <v>26/04/2025</v>
      </c>
      <c r="B357" t="str">
        <f t="shared" si="11"/>
        <v>D</v>
      </c>
      <c r="C357">
        <v>356</v>
      </c>
      <c r="D357" t="s">
        <v>13</v>
      </c>
      <c r="E357">
        <v>1</v>
      </c>
      <c r="F357">
        <v>1</v>
      </c>
      <c r="G357">
        <v>3.78</v>
      </c>
      <c r="H357">
        <v>2.7610000000000001</v>
      </c>
    </row>
    <row r="358" spans="1:8" x14ac:dyDescent="0.2">
      <c r="A358" s="25" t="str">
        <f t="shared" si="10"/>
        <v>26/04/2025</v>
      </c>
      <c r="B358" t="str">
        <f t="shared" si="11"/>
        <v>D</v>
      </c>
      <c r="C358">
        <v>357</v>
      </c>
      <c r="D358" t="s">
        <v>13</v>
      </c>
      <c r="E358">
        <v>1</v>
      </c>
      <c r="F358">
        <v>2</v>
      </c>
      <c r="G358">
        <v>3.0259999999999998</v>
      </c>
      <c r="H358">
        <v>2.5339999999999998</v>
      </c>
    </row>
    <row r="359" spans="1:8" x14ac:dyDescent="0.2">
      <c r="A359" s="25" t="str">
        <f t="shared" si="10"/>
        <v>26/04/2025</v>
      </c>
      <c r="B359" t="str">
        <f t="shared" si="11"/>
        <v>D</v>
      </c>
      <c r="C359">
        <v>358</v>
      </c>
      <c r="D359" t="s">
        <v>13</v>
      </c>
      <c r="E359">
        <v>1</v>
      </c>
      <c r="F359">
        <v>2</v>
      </c>
      <c r="G359">
        <v>3.4620000000000002</v>
      </c>
      <c r="H359">
        <v>2.5529999999999999</v>
      </c>
    </row>
    <row r="360" spans="1:8" x14ac:dyDescent="0.2">
      <c r="A360" s="25" t="str">
        <f t="shared" si="10"/>
        <v>26/04/2025</v>
      </c>
      <c r="B360" t="str">
        <f t="shared" si="11"/>
        <v>D</v>
      </c>
      <c r="C360">
        <v>359</v>
      </c>
      <c r="D360" t="s">
        <v>13</v>
      </c>
      <c r="E360">
        <v>1</v>
      </c>
      <c r="F360">
        <v>2</v>
      </c>
      <c r="G360">
        <v>3.8319999999999999</v>
      </c>
      <c r="H360">
        <v>2.5819999999999999</v>
      </c>
    </row>
    <row r="361" spans="1:8" x14ac:dyDescent="0.2">
      <c r="A361" s="25" t="str">
        <f t="shared" si="10"/>
        <v>26/04/2025</v>
      </c>
      <c r="B361" t="str">
        <f t="shared" si="11"/>
        <v>D</v>
      </c>
      <c r="C361">
        <v>360</v>
      </c>
      <c r="D361" t="s">
        <v>13</v>
      </c>
      <c r="E361">
        <v>1</v>
      </c>
      <c r="F361">
        <v>2</v>
      </c>
      <c r="G361">
        <v>3.577</v>
      </c>
      <c r="H361">
        <v>2.629</v>
      </c>
    </row>
    <row r="362" spans="1:8" x14ac:dyDescent="0.2">
      <c r="A362" s="25" t="str">
        <f t="shared" si="10"/>
        <v>26/04/2025</v>
      </c>
      <c r="B362" t="str">
        <f t="shared" si="11"/>
        <v>D</v>
      </c>
      <c r="C362">
        <v>361</v>
      </c>
      <c r="D362" t="s">
        <v>13</v>
      </c>
      <c r="E362">
        <v>1</v>
      </c>
      <c r="F362">
        <v>2</v>
      </c>
      <c r="G362">
        <v>3.4409999999999998</v>
      </c>
      <c r="H362">
        <v>2.484</v>
      </c>
    </row>
    <row r="363" spans="1:8" x14ac:dyDescent="0.2">
      <c r="A363" s="25" t="str">
        <f t="shared" si="10"/>
        <v>26/04/2025</v>
      </c>
      <c r="B363" t="str">
        <f t="shared" si="11"/>
        <v>D</v>
      </c>
      <c r="C363">
        <v>362</v>
      </c>
      <c r="D363" t="s">
        <v>13</v>
      </c>
      <c r="E363">
        <v>1</v>
      </c>
      <c r="F363">
        <v>2</v>
      </c>
      <c r="G363">
        <v>3.6280000000000001</v>
      </c>
      <c r="H363">
        <v>2.3610000000000002</v>
      </c>
    </row>
    <row r="364" spans="1:8" x14ac:dyDescent="0.2">
      <c r="A364" s="25" t="str">
        <f t="shared" si="10"/>
        <v>26/04/2025</v>
      </c>
      <c r="B364" t="str">
        <f t="shared" si="11"/>
        <v>D</v>
      </c>
      <c r="C364">
        <v>363</v>
      </c>
      <c r="D364" t="s">
        <v>13</v>
      </c>
      <c r="E364">
        <v>1</v>
      </c>
      <c r="F364">
        <v>2</v>
      </c>
      <c r="G364">
        <v>3.1850000000000001</v>
      </c>
      <c r="H364">
        <v>2.3180000000000001</v>
      </c>
    </row>
    <row r="365" spans="1:8" x14ac:dyDescent="0.2">
      <c r="A365" s="25" t="str">
        <f t="shared" si="10"/>
        <v>26/04/2025</v>
      </c>
      <c r="B365" t="str">
        <f t="shared" si="11"/>
        <v>D</v>
      </c>
      <c r="C365">
        <v>364</v>
      </c>
      <c r="D365" t="s">
        <v>13</v>
      </c>
      <c r="E365">
        <v>1</v>
      </c>
      <c r="F365">
        <v>2</v>
      </c>
      <c r="G365">
        <v>3.5670000000000002</v>
      </c>
      <c r="H365">
        <v>2.3559999999999999</v>
      </c>
    </row>
    <row r="366" spans="1:8" x14ac:dyDescent="0.2">
      <c r="A366" s="25" t="str">
        <f t="shared" si="10"/>
        <v>26/04/2025</v>
      </c>
      <c r="B366" t="str">
        <f t="shared" si="11"/>
        <v>D</v>
      </c>
      <c r="C366">
        <v>365</v>
      </c>
      <c r="D366" t="s">
        <v>13</v>
      </c>
      <c r="E366">
        <v>1</v>
      </c>
      <c r="F366">
        <v>2</v>
      </c>
      <c r="G366">
        <v>3.2149999999999999</v>
      </c>
      <c r="H366">
        <v>2.444</v>
      </c>
    </row>
    <row r="367" spans="1:8" x14ac:dyDescent="0.2">
      <c r="A367" s="25" t="str">
        <f t="shared" si="10"/>
        <v>01/04/2025</v>
      </c>
      <c r="B367" t="str">
        <f t="shared" si="11"/>
        <v>E</v>
      </c>
      <c r="C367">
        <v>366</v>
      </c>
      <c r="D367" t="s">
        <v>13</v>
      </c>
      <c r="E367">
        <v>1</v>
      </c>
      <c r="F367">
        <v>3</v>
      </c>
      <c r="G367">
        <v>2.9860000000000002</v>
      </c>
      <c r="H367">
        <v>1.998</v>
      </c>
    </row>
    <row r="368" spans="1:8" x14ac:dyDescent="0.2">
      <c r="A368" s="25" t="str">
        <f t="shared" si="10"/>
        <v>01/04/2025</v>
      </c>
      <c r="B368" t="str">
        <f t="shared" si="11"/>
        <v>E</v>
      </c>
      <c r="C368">
        <v>367</v>
      </c>
      <c r="D368" t="s">
        <v>13</v>
      </c>
      <c r="E368">
        <v>1</v>
      </c>
      <c r="F368">
        <v>3</v>
      </c>
      <c r="G368">
        <v>3.19</v>
      </c>
      <c r="H368">
        <v>2.4169999999999998</v>
      </c>
    </row>
    <row r="369" spans="1:8" x14ac:dyDescent="0.2">
      <c r="A369" s="25" t="str">
        <f t="shared" si="10"/>
        <v>01/04/2025</v>
      </c>
      <c r="B369" t="str">
        <f t="shared" si="11"/>
        <v>E</v>
      </c>
      <c r="C369">
        <v>368</v>
      </c>
      <c r="D369" t="s">
        <v>13</v>
      </c>
      <c r="E369">
        <v>1</v>
      </c>
      <c r="F369">
        <v>3</v>
      </c>
      <c r="G369">
        <v>3.2879999999999998</v>
      </c>
      <c r="H369">
        <v>2.4980000000000002</v>
      </c>
    </row>
    <row r="370" spans="1:8" x14ac:dyDescent="0.2">
      <c r="A370" s="25" t="str">
        <f t="shared" si="10"/>
        <v>01/04/2025</v>
      </c>
      <c r="B370" t="str">
        <f t="shared" si="11"/>
        <v>E</v>
      </c>
      <c r="C370">
        <v>369</v>
      </c>
      <c r="D370" t="s">
        <v>13</v>
      </c>
      <c r="E370">
        <v>1</v>
      </c>
      <c r="F370">
        <v>3</v>
      </c>
      <c r="G370">
        <v>2.85</v>
      </c>
      <c r="H370">
        <v>2.1440000000000001</v>
      </c>
    </row>
    <row r="371" spans="1:8" x14ac:dyDescent="0.2">
      <c r="A371" s="25" t="str">
        <f t="shared" si="10"/>
        <v>01/04/2025</v>
      </c>
      <c r="B371" t="str">
        <f t="shared" si="11"/>
        <v>E</v>
      </c>
      <c r="C371">
        <v>370</v>
      </c>
      <c r="D371" t="s">
        <v>13</v>
      </c>
      <c r="E371">
        <v>1</v>
      </c>
      <c r="F371">
        <v>3</v>
      </c>
      <c r="G371">
        <v>3.3540000000000001</v>
      </c>
      <c r="H371">
        <v>2.4009999999999998</v>
      </c>
    </row>
    <row r="372" spans="1:8" x14ac:dyDescent="0.2">
      <c r="A372" s="25" t="str">
        <f t="shared" si="10"/>
        <v>01/04/2025</v>
      </c>
      <c r="B372" t="str">
        <f t="shared" si="11"/>
        <v>E</v>
      </c>
      <c r="C372">
        <v>371</v>
      </c>
      <c r="D372" t="s">
        <v>13</v>
      </c>
      <c r="E372">
        <v>1</v>
      </c>
      <c r="F372">
        <v>3</v>
      </c>
      <c r="G372">
        <v>3.3279999999999998</v>
      </c>
      <c r="H372">
        <v>2.6520000000000001</v>
      </c>
    </row>
    <row r="373" spans="1:8" x14ac:dyDescent="0.2">
      <c r="A373" s="25" t="str">
        <f t="shared" si="10"/>
        <v>01/04/2025</v>
      </c>
      <c r="B373" t="str">
        <f t="shared" si="11"/>
        <v>E</v>
      </c>
      <c r="C373">
        <v>372</v>
      </c>
      <c r="D373" t="s">
        <v>13</v>
      </c>
      <c r="E373">
        <v>1</v>
      </c>
      <c r="F373">
        <v>3</v>
      </c>
      <c r="G373">
        <v>3.19</v>
      </c>
      <c r="H373">
        <v>2.3759999999999999</v>
      </c>
    </row>
    <row r="374" spans="1:8" x14ac:dyDescent="0.2">
      <c r="A374" s="25" t="str">
        <f t="shared" si="10"/>
        <v>01/04/2025</v>
      </c>
      <c r="B374" t="str">
        <f t="shared" si="11"/>
        <v>E</v>
      </c>
      <c r="C374">
        <v>373</v>
      </c>
      <c r="D374" t="s">
        <v>13</v>
      </c>
      <c r="E374">
        <v>1</v>
      </c>
      <c r="F374">
        <v>3</v>
      </c>
      <c r="G374">
        <v>2.6629999999999998</v>
      </c>
      <c r="H374">
        <v>1.998</v>
      </c>
    </row>
    <row r="375" spans="1:8" x14ac:dyDescent="0.2">
      <c r="A375" s="25" t="str">
        <f t="shared" si="10"/>
        <v>01/04/2025</v>
      </c>
      <c r="B375" t="str">
        <f t="shared" si="11"/>
        <v>E</v>
      </c>
      <c r="C375">
        <v>374</v>
      </c>
      <c r="D375" t="s">
        <v>13</v>
      </c>
      <c r="E375">
        <v>1</v>
      </c>
      <c r="F375">
        <v>3</v>
      </c>
      <c r="G375">
        <v>3.496</v>
      </c>
      <c r="H375">
        <v>2.4540000000000002</v>
      </c>
    </row>
    <row r="376" spans="1:8" x14ac:dyDescent="0.2">
      <c r="A376" s="25" t="str">
        <f t="shared" si="10"/>
        <v>01/04/2025</v>
      </c>
      <c r="B376" t="str">
        <f t="shared" si="11"/>
        <v>E</v>
      </c>
      <c r="C376">
        <v>375</v>
      </c>
      <c r="D376" t="s">
        <v>13</v>
      </c>
      <c r="E376">
        <v>1</v>
      </c>
      <c r="F376">
        <v>3</v>
      </c>
      <c r="G376">
        <v>3.08</v>
      </c>
      <c r="H376">
        <v>2.3079999999999998</v>
      </c>
    </row>
    <row r="377" spans="1:8" x14ac:dyDescent="0.2">
      <c r="A377" s="25" t="str">
        <f t="shared" si="10"/>
        <v>01/04/2025</v>
      </c>
      <c r="B377" t="str">
        <f t="shared" si="11"/>
        <v>E</v>
      </c>
      <c r="C377">
        <v>376</v>
      </c>
      <c r="D377" t="s">
        <v>13</v>
      </c>
      <c r="E377">
        <v>1</v>
      </c>
      <c r="F377">
        <v>3</v>
      </c>
      <c r="G377">
        <v>3.1960000000000002</v>
      </c>
      <c r="H377">
        <v>2.5129999999999999</v>
      </c>
    </row>
    <row r="378" spans="1:8" x14ac:dyDescent="0.2">
      <c r="A378" s="25" t="str">
        <f t="shared" si="10"/>
        <v>01/04/2025</v>
      </c>
      <c r="B378" t="str">
        <f t="shared" si="11"/>
        <v>E</v>
      </c>
      <c r="C378">
        <v>377</v>
      </c>
      <c r="D378" t="s">
        <v>13</v>
      </c>
      <c r="E378">
        <v>1</v>
      </c>
      <c r="F378">
        <v>3</v>
      </c>
      <c r="G378">
        <v>3.0590000000000002</v>
      </c>
      <c r="H378">
        <v>2.3090000000000002</v>
      </c>
    </row>
    <row r="379" spans="1:8" x14ac:dyDescent="0.2">
      <c r="A379" s="25" t="str">
        <f t="shared" si="10"/>
        <v>01/04/2025</v>
      </c>
      <c r="B379" t="str">
        <f t="shared" si="11"/>
        <v>E</v>
      </c>
      <c r="C379">
        <v>378</v>
      </c>
      <c r="D379" t="s">
        <v>13</v>
      </c>
      <c r="E379">
        <v>1</v>
      </c>
      <c r="F379">
        <v>3</v>
      </c>
      <c r="G379">
        <v>2.9279999999999999</v>
      </c>
      <c r="H379">
        <v>2.2879999999999998</v>
      </c>
    </row>
    <row r="380" spans="1:8" x14ac:dyDescent="0.2">
      <c r="A380" s="25" t="str">
        <f t="shared" si="10"/>
        <v>01/04/2025</v>
      </c>
      <c r="B380" t="str">
        <f t="shared" si="11"/>
        <v>E</v>
      </c>
      <c r="C380">
        <v>379</v>
      </c>
      <c r="D380" t="s">
        <v>13</v>
      </c>
      <c r="E380">
        <v>1</v>
      </c>
      <c r="F380">
        <v>3</v>
      </c>
      <c r="G380">
        <v>3.1150000000000002</v>
      </c>
      <c r="H380">
        <v>2.5270000000000001</v>
      </c>
    </row>
    <row r="381" spans="1:8" x14ac:dyDescent="0.2">
      <c r="A381" s="25" t="str">
        <f t="shared" si="10"/>
        <v>01/04/2025</v>
      </c>
      <c r="B381" t="str">
        <f t="shared" si="11"/>
        <v>E</v>
      </c>
      <c r="C381">
        <v>380</v>
      </c>
      <c r="D381" t="s">
        <v>13</v>
      </c>
      <c r="E381">
        <v>1</v>
      </c>
      <c r="F381">
        <v>3</v>
      </c>
      <c r="G381">
        <v>3.0910000000000002</v>
      </c>
      <c r="H381">
        <v>2.6840000000000002</v>
      </c>
    </row>
    <row r="382" spans="1:8" x14ac:dyDescent="0.2">
      <c r="A382" s="25" t="str">
        <f t="shared" si="10"/>
        <v>01/04/2025</v>
      </c>
      <c r="B382" t="str">
        <f t="shared" si="11"/>
        <v>E</v>
      </c>
      <c r="C382">
        <v>381</v>
      </c>
      <c r="D382" t="s">
        <v>13</v>
      </c>
      <c r="E382">
        <v>1</v>
      </c>
      <c r="F382">
        <v>3</v>
      </c>
      <c r="G382">
        <v>3.3279999999999998</v>
      </c>
      <c r="H382">
        <v>2.3279999999999998</v>
      </c>
    </row>
    <row r="383" spans="1:8" x14ac:dyDescent="0.2">
      <c r="A383" s="25" t="str">
        <f t="shared" si="10"/>
        <v>01/04/2025</v>
      </c>
      <c r="B383" t="str">
        <f t="shared" si="11"/>
        <v>E</v>
      </c>
      <c r="C383">
        <v>382</v>
      </c>
      <c r="D383" t="s">
        <v>13</v>
      </c>
      <c r="E383">
        <v>1</v>
      </c>
      <c r="F383">
        <v>3</v>
      </c>
      <c r="G383">
        <v>3.2829999999999999</v>
      </c>
      <c r="H383">
        <v>2.6190000000000002</v>
      </c>
    </row>
    <row r="384" spans="1:8" x14ac:dyDescent="0.2">
      <c r="A384" s="25" t="str">
        <f t="shared" si="10"/>
        <v>01/04/2025</v>
      </c>
      <c r="B384" t="str">
        <f t="shared" si="11"/>
        <v>E</v>
      </c>
      <c r="C384">
        <v>383</v>
      </c>
      <c r="D384" t="s">
        <v>13</v>
      </c>
      <c r="E384">
        <v>1</v>
      </c>
      <c r="F384">
        <v>3</v>
      </c>
      <c r="G384">
        <v>3.52</v>
      </c>
      <c r="H384">
        <v>2.5129999999999999</v>
      </c>
    </row>
    <row r="385" spans="1:8" x14ac:dyDescent="0.2">
      <c r="A385" s="25" t="str">
        <f t="shared" si="10"/>
        <v>01/04/2025</v>
      </c>
      <c r="B385" t="str">
        <f t="shared" si="11"/>
        <v>E</v>
      </c>
      <c r="C385">
        <v>384</v>
      </c>
      <c r="D385" t="s">
        <v>13</v>
      </c>
      <c r="E385">
        <v>1</v>
      </c>
      <c r="F385">
        <v>3</v>
      </c>
      <c r="G385">
        <v>2.915</v>
      </c>
      <c r="H385">
        <v>2.081</v>
      </c>
    </row>
    <row r="386" spans="1:8" x14ac:dyDescent="0.2">
      <c r="A386" s="25" t="str">
        <f t="shared" si="10"/>
        <v>26/04/2025</v>
      </c>
      <c r="B386" t="str">
        <f t="shared" si="11"/>
        <v>D</v>
      </c>
      <c r="C386">
        <v>385</v>
      </c>
      <c r="D386" t="s">
        <v>13</v>
      </c>
      <c r="E386">
        <v>2</v>
      </c>
      <c r="F386">
        <v>1</v>
      </c>
      <c r="G386">
        <v>3.1459999999999999</v>
      </c>
      <c r="H386">
        <v>2.9470000000000001</v>
      </c>
    </row>
    <row r="387" spans="1:8" x14ac:dyDescent="0.2">
      <c r="A387" s="25" t="str">
        <f t="shared" ref="A387:A450" si="12">IF(F387&lt;3, "26/04/2025", "01/04/2025")</f>
        <v>26/04/2025</v>
      </c>
      <c r="B387" t="str">
        <f t="shared" ref="B387:B450" si="13">IF(F387&lt;3, "D", "E")</f>
        <v>D</v>
      </c>
      <c r="C387">
        <v>386</v>
      </c>
      <c r="D387" t="s">
        <v>13</v>
      </c>
      <c r="E387">
        <v>2</v>
      </c>
      <c r="F387">
        <v>1</v>
      </c>
      <c r="G387">
        <v>3.052</v>
      </c>
      <c r="H387">
        <v>2.7509999999999999</v>
      </c>
    </row>
    <row r="388" spans="1:8" x14ac:dyDescent="0.2">
      <c r="A388" s="25" t="str">
        <f t="shared" si="12"/>
        <v>26/04/2025</v>
      </c>
      <c r="B388" t="str">
        <f t="shared" si="13"/>
        <v>D</v>
      </c>
      <c r="C388">
        <v>387</v>
      </c>
      <c r="D388" t="s">
        <v>13</v>
      </c>
      <c r="E388">
        <v>2</v>
      </c>
      <c r="F388">
        <v>1</v>
      </c>
      <c r="G388">
        <v>2.8220000000000001</v>
      </c>
      <c r="H388">
        <v>2.4209999999999998</v>
      </c>
    </row>
    <row r="389" spans="1:8" x14ac:dyDescent="0.2">
      <c r="A389" s="25" t="str">
        <f t="shared" si="12"/>
        <v>26/04/2025</v>
      </c>
      <c r="B389" t="str">
        <f t="shared" si="13"/>
        <v>D</v>
      </c>
      <c r="C389">
        <v>388</v>
      </c>
      <c r="D389" t="s">
        <v>13</v>
      </c>
      <c r="E389">
        <v>2</v>
      </c>
      <c r="F389">
        <v>1</v>
      </c>
      <c r="G389">
        <v>3.335</v>
      </c>
      <c r="H389">
        <v>2.7839999999999998</v>
      </c>
    </row>
    <row r="390" spans="1:8" x14ac:dyDescent="0.2">
      <c r="A390" s="25" t="str">
        <f t="shared" si="12"/>
        <v>26/04/2025</v>
      </c>
      <c r="B390" t="str">
        <f t="shared" si="13"/>
        <v>D</v>
      </c>
      <c r="C390">
        <v>389</v>
      </c>
      <c r="D390" t="s">
        <v>13</v>
      </c>
      <c r="E390">
        <v>2</v>
      </c>
      <c r="F390">
        <v>1</v>
      </c>
      <c r="G390">
        <v>3.407</v>
      </c>
      <c r="H390">
        <v>2.8290000000000002</v>
      </c>
    </row>
    <row r="391" spans="1:8" x14ac:dyDescent="0.2">
      <c r="A391" s="25" t="str">
        <f t="shared" si="12"/>
        <v>26/04/2025</v>
      </c>
      <c r="B391" t="str">
        <f t="shared" si="13"/>
        <v>D</v>
      </c>
      <c r="C391">
        <v>390</v>
      </c>
      <c r="D391" t="s">
        <v>13</v>
      </c>
      <c r="E391">
        <v>2</v>
      </c>
      <c r="F391">
        <v>1</v>
      </c>
      <c r="G391">
        <v>2.9489999999999998</v>
      </c>
      <c r="H391">
        <v>2.5369999999999999</v>
      </c>
    </row>
    <row r="392" spans="1:8" x14ac:dyDescent="0.2">
      <c r="A392" s="25" t="str">
        <f t="shared" si="12"/>
        <v>26/04/2025</v>
      </c>
      <c r="B392" t="str">
        <f t="shared" si="13"/>
        <v>D</v>
      </c>
      <c r="C392">
        <v>391</v>
      </c>
      <c r="D392" t="s">
        <v>13</v>
      </c>
      <c r="E392">
        <v>2</v>
      </c>
      <c r="F392">
        <v>1</v>
      </c>
      <c r="G392">
        <v>3.72</v>
      </c>
      <c r="H392">
        <v>2.653</v>
      </c>
    </row>
    <row r="393" spans="1:8" x14ac:dyDescent="0.2">
      <c r="A393" s="25" t="str">
        <f t="shared" si="12"/>
        <v>26/04/2025</v>
      </c>
      <c r="B393" t="str">
        <f t="shared" si="13"/>
        <v>D</v>
      </c>
      <c r="C393">
        <v>392</v>
      </c>
      <c r="D393" t="s">
        <v>13</v>
      </c>
      <c r="E393">
        <v>2</v>
      </c>
      <c r="F393">
        <v>1</v>
      </c>
      <c r="G393">
        <v>3.5880000000000001</v>
      </c>
      <c r="H393">
        <v>2.6680000000000001</v>
      </c>
    </row>
    <row r="394" spans="1:8" x14ac:dyDescent="0.2">
      <c r="A394" s="25" t="str">
        <f t="shared" si="12"/>
        <v>26/04/2025</v>
      </c>
      <c r="B394" t="str">
        <f t="shared" si="13"/>
        <v>D</v>
      </c>
      <c r="C394">
        <v>393</v>
      </c>
      <c r="D394" t="s">
        <v>13</v>
      </c>
      <c r="E394">
        <v>2</v>
      </c>
      <c r="F394">
        <v>1</v>
      </c>
      <c r="G394">
        <v>3.42</v>
      </c>
      <c r="H394">
        <v>2.5049999999999999</v>
      </c>
    </row>
    <row r="395" spans="1:8" x14ac:dyDescent="0.2">
      <c r="A395" s="25" t="str">
        <f t="shared" si="12"/>
        <v>26/04/2025</v>
      </c>
      <c r="B395" t="str">
        <f t="shared" si="13"/>
        <v>D</v>
      </c>
      <c r="C395">
        <v>394</v>
      </c>
      <c r="D395" t="s">
        <v>13</v>
      </c>
      <c r="E395">
        <v>2</v>
      </c>
      <c r="F395">
        <v>1</v>
      </c>
      <c r="G395">
        <v>3.282</v>
      </c>
      <c r="H395">
        <v>2.4889999999999999</v>
      </c>
    </row>
    <row r="396" spans="1:8" x14ac:dyDescent="0.2">
      <c r="A396" s="25" t="str">
        <f t="shared" si="12"/>
        <v>26/04/2025</v>
      </c>
      <c r="B396" t="str">
        <f t="shared" si="13"/>
        <v>D</v>
      </c>
      <c r="C396">
        <v>395</v>
      </c>
      <c r="D396" t="s">
        <v>13</v>
      </c>
      <c r="E396">
        <v>2</v>
      </c>
      <c r="F396">
        <v>1</v>
      </c>
      <c r="G396">
        <v>3.4729999999999999</v>
      </c>
      <c r="H396">
        <v>2.7069999999999999</v>
      </c>
    </row>
    <row r="397" spans="1:8" x14ac:dyDescent="0.2">
      <c r="A397" s="25" t="str">
        <f t="shared" si="12"/>
        <v>26/04/2025</v>
      </c>
      <c r="B397" t="str">
        <f t="shared" si="13"/>
        <v>D</v>
      </c>
      <c r="C397">
        <v>396</v>
      </c>
      <c r="D397" t="s">
        <v>13</v>
      </c>
      <c r="E397">
        <v>2</v>
      </c>
      <c r="F397">
        <v>1</v>
      </c>
      <c r="G397">
        <v>4.0540000000000003</v>
      </c>
      <c r="H397">
        <v>2.5859999999999999</v>
      </c>
    </row>
    <row r="398" spans="1:8" x14ac:dyDescent="0.2">
      <c r="A398" s="25" t="str">
        <f t="shared" si="12"/>
        <v>26/04/2025</v>
      </c>
      <c r="B398" t="str">
        <f t="shared" si="13"/>
        <v>D</v>
      </c>
      <c r="C398">
        <v>397</v>
      </c>
      <c r="D398" t="s">
        <v>13</v>
      </c>
      <c r="E398">
        <v>2</v>
      </c>
      <c r="F398">
        <v>2</v>
      </c>
      <c r="G398">
        <v>4.0570000000000004</v>
      </c>
      <c r="H398">
        <v>2.9780000000000002</v>
      </c>
    </row>
    <row r="399" spans="1:8" x14ac:dyDescent="0.2">
      <c r="A399" s="25" t="str">
        <f t="shared" si="12"/>
        <v>26/04/2025</v>
      </c>
      <c r="B399" t="str">
        <f t="shared" si="13"/>
        <v>D</v>
      </c>
      <c r="C399">
        <v>398</v>
      </c>
      <c r="D399" t="s">
        <v>13</v>
      </c>
      <c r="E399">
        <v>2</v>
      </c>
      <c r="F399">
        <v>2</v>
      </c>
      <c r="G399">
        <v>4.0229999999999997</v>
      </c>
      <c r="H399">
        <v>3.2589999999999999</v>
      </c>
    </row>
    <row r="400" spans="1:8" x14ac:dyDescent="0.2">
      <c r="A400" s="25" t="str">
        <f t="shared" si="12"/>
        <v>26/04/2025</v>
      </c>
      <c r="B400" t="str">
        <f t="shared" si="13"/>
        <v>D</v>
      </c>
      <c r="C400">
        <v>399</v>
      </c>
      <c r="D400" t="s">
        <v>13</v>
      </c>
      <c r="E400">
        <v>2</v>
      </c>
      <c r="F400">
        <v>2</v>
      </c>
      <c r="G400">
        <v>3.73</v>
      </c>
      <c r="H400">
        <v>2.67</v>
      </c>
    </row>
    <row r="401" spans="1:8" x14ac:dyDescent="0.2">
      <c r="A401" s="25" t="str">
        <f t="shared" si="12"/>
        <v>26/04/2025</v>
      </c>
      <c r="B401" t="str">
        <f t="shared" si="13"/>
        <v>D</v>
      </c>
      <c r="C401">
        <v>400</v>
      </c>
      <c r="D401" t="s">
        <v>13</v>
      </c>
      <c r="E401">
        <v>2</v>
      </c>
      <c r="F401">
        <v>2</v>
      </c>
      <c r="G401">
        <v>2.8860000000000001</v>
      </c>
      <c r="H401">
        <v>2.1890000000000001</v>
      </c>
    </row>
    <row r="402" spans="1:8" x14ac:dyDescent="0.2">
      <c r="A402" s="25" t="str">
        <f t="shared" si="12"/>
        <v>26/04/2025</v>
      </c>
      <c r="B402" t="str">
        <f t="shared" si="13"/>
        <v>D</v>
      </c>
      <c r="C402">
        <v>401</v>
      </c>
      <c r="D402" t="s">
        <v>13</v>
      </c>
      <c r="E402">
        <v>2</v>
      </c>
      <c r="F402">
        <v>2</v>
      </c>
      <c r="G402">
        <v>4.0940000000000003</v>
      </c>
      <c r="H402">
        <v>2.665</v>
      </c>
    </row>
    <row r="403" spans="1:8" x14ac:dyDescent="0.2">
      <c r="A403" s="25" t="str">
        <f t="shared" si="12"/>
        <v>26/04/2025</v>
      </c>
      <c r="B403" t="str">
        <f t="shared" si="13"/>
        <v>D</v>
      </c>
      <c r="C403">
        <v>402</v>
      </c>
      <c r="D403" t="s">
        <v>13</v>
      </c>
      <c r="E403">
        <v>2</v>
      </c>
      <c r="F403">
        <v>2</v>
      </c>
      <c r="G403">
        <v>2.9079999999999999</v>
      </c>
      <c r="H403">
        <v>2.3839999999999999</v>
      </c>
    </row>
    <row r="404" spans="1:8" x14ac:dyDescent="0.2">
      <c r="A404" s="25" t="str">
        <f t="shared" si="12"/>
        <v>26/04/2025</v>
      </c>
      <c r="B404" t="str">
        <f t="shared" si="13"/>
        <v>D</v>
      </c>
      <c r="C404">
        <v>403</v>
      </c>
      <c r="D404" t="s">
        <v>13</v>
      </c>
      <c r="E404">
        <v>2</v>
      </c>
      <c r="F404">
        <v>2</v>
      </c>
      <c r="G404">
        <v>3.286</v>
      </c>
      <c r="H404">
        <v>2.5539999999999998</v>
      </c>
    </row>
    <row r="405" spans="1:8" x14ac:dyDescent="0.2">
      <c r="A405" s="25" t="str">
        <f t="shared" si="12"/>
        <v>26/04/2025</v>
      </c>
      <c r="B405" t="str">
        <f t="shared" si="13"/>
        <v>D</v>
      </c>
      <c r="C405">
        <v>404</v>
      </c>
      <c r="D405" t="s">
        <v>13</v>
      </c>
      <c r="E405">
        <v>2</v>
      </c>
      <c r="F405">
        <v>2</v>
      </c>
      <c r="G405">
        <v>3.1360000000000001</v>
      </c>
      <c r="H405">
        <v>2.5129999999999999</v>
      </c>
    </row>
    <row r="406" spans="1:8" x14ac:dyDescent="0.2">
      <c r="A406" s="25" t="str">
        <f t="shared" si="12"/>
        <v>26/04/2025</v>
      </c>
      <c r="B406" t="str">
        <f t="shared" si="13"/>
        <v>D</v>
      </c>
      <c r="C406">
        <v>405</v>
      </c>
      <c r="D406" t="s">
        <v>13</v>
      </c>
      <c r="E406">
        <v>2</v>
      </c>
      <c r="F406">
        <v>2</v>
      </c>
      <c r="G406">
        <v>3.0649999999999999</v>
      </c>
      <c r="H406">
        <v>2.5230000000000001</v>
      </c>
    </row>
    <row r="407" spans="1:8" x14ac:dyDescent="0.2">
      <c r="A407" s="25" t="str">
        <f t="shared" si="12"/>
        <v>26/04/2025</v>
      </c>
      <c r="B407" t="str">
        <f t="shared" si="13"/>
        <v>D</v>
      </c>
      <c r="C407">
        <v>406</v>
      </c>
      <c r="D407" t="s">
        <v>13</v>
      </c>
      <c r="E407">
        <v>2</v>
      </c>
      <c r="F407">
        <v>2</v>
      </c>
      <c r="G407">
        <v>3.5009999999999999</v>
      </c>
      <c r="H407">
        <v>2.6890000000000001</v>
      </c>
    </row>
    <row r="408" spans="1:8" x14ac:dyDescent="0.2">
      <c r="A408" s="25" t="str">
        <f t="shared" si="12"/>
        <v>26/04/2025</v>
      </c>
      <c r="B408" t="str">
        <f t="shared" si="13"/>
        <v>D</v>
      </c>
      <c r="C408">
        <v>407</v>
      </c>
      <c r="D408" t="s">
        <v>13</v>
      </c>
      <c r="E408">
        <v>2</v>
      </c>
      <c r="F408">
        <v>2</v>
      </c>
      <c r="G408">
        <v>3.395</v>
      </c>
      <c r="H408">
        <v>2.3860000000000001</v>
      </c>
    </row>
    <row r="409" spans="1:8" x14ac:dyDescent="0.2">
      <c r="A409" s="25" t="str">
        <f t="shared" si="12"/>
        <v>26/04/2025</v>
      </c>
      <c r="B409" t="str">
        <f t="shared" si="13"/>
        <v>D</v>
      </c>
      <c r="C409">
        <v>408</v>
      </c>
      <c r="D409" t="s">
        <v>13</v>
      </c>
      <c r="E409">
        <v>2</v>
      </c>
      <c r="F409">
        <v>2</v>
      </c>
      <c r="G409">
        <v>3.5590000000000002</v>
      </c>
      <c r="H409">
        <v>2.5790000000000002</v>
      </c>
    </row>
    <row r="410" spans="1:8" x14ac:dyDescent="0.2">
      <c r="A410" s="25" t="str">
        <f t="shared" si="12"/>
        <v>26/04/2025</v>
      </c>
      <c r="B410" t="str">
        <f t="shared" si="13"/>
        <v>D</v>
      </c>
      <c r="C410">
        <v>409</v>
      </c>
      <c r="D410" t="s">
        <v>13</v>
      </c>
      <c r="E410">
        <v>2</v>
      </c>
      <c r="F410">
        <v>2</v>
      </c>
      <c r="G410">
        <v>2.859</v>
      </c>
      <c r="H410">
        <v>2.2250000000000001</v>
      </c>
    </row>
    <row r="411" spans="1:8" x14ac:dyDescent="0.2">
      <c r="A411" s="25" t="str">
        <f t="shared" si="12"/>
        <v>01/04/2025</v>
      </c>
      <c r="B411" t="str">
        <f t="shared" si="13"/>
        <v>E</v>
      </c>
      <c r="C411">
        <v>410</v>
      </c>
      <c r="D411" t="s">
        <v>13</v>
      </c>
      <c r="E411">
        <v>2</v>
      </c>
      <c r="F411">
        <v>3</v>
      </c>
      <c r="G411">
        <v>3.0550000000000002</v>
      </c>
      <c r="H411">
        <v>2.2530000000000001</v>
      </c>
    </row>
    <row r="412" spans="1:8" x14ac:dyDescent="0.2">
      <c r="A412" s="25" t="str">
        <f t="shared" si="12"/>
        <v>01/04/2025</v>
      </c>
      <c r="B412" t="str">
        <f t="shared" si="13"/>
        <v>E</v>
      </c>
      <c r="C412">
        <v>411</v>
      </c>
      <c r="D412" t="s">
        <v>13</v>
      </c>
      <c r="E412">
        <v>2</v>
      </c>
      <c r="F412">
        <v>3</v>
      </c>
      <c r="G412">
        <v>3.1960000000000002</v>
      </c>
      <c r="H412">
        <v>2.379</v>
      </c>
    </row>
    <row r="413" spans="1:8" x14ac:dyDescent="0.2">
      <c r="A413" s="25" t="str">
        <f t="shared" si="12"/>
        <v>01/04/2025</v>
      </c>
      <c r="B413" t="str">
        <f t="shared" si="13"/>
        <v>E</v>
      </c>
      <c r="C413">
        <v>412</v>
      </c>
      <c r="D413" t="s">
        <v>13</v>
      </c>
      <c r="E413">
        <v>2</v>
      </c>
      <c r="F413">
        <v>3</v>
      </c>
      <c r="G413">
        <v>3.004</v>
      </c>
      <c r="H413">
        <v>2.3540000000000001</v>
      </c>
    </row>
    <row r="414" spans="1:8" x14ac:dyDescent="0.2">
      <c r="A414" s="25" t="str">
        <f t="shared" si="12"/>
        <v>01/04/2025</v>
      </c>
      <c r="B414" t="str">
        <f t="shared" si="13"/>
        <v>E</v>
      </c>
      <c r="C414">
        <v>413</v>
      </c>
      <c r="D414" t="s">
        <v>13</v>
      </c>
      <c r="E414">
        <v>2</v>
      </c>
      <c r="F414">
        <v>3</v>
      </c>
      <c r="G414">
        <v>3.5089999999999999</v>
      </c>
      <c r="H414">
        <v>2.34</v>
      </c>
    </row>
    <row r="415" spans="1:8" x14ac:dyDescent="0.2">
      <c r="A415" s="25" t="str">
        <f t="shared" si="12"/>
        <v>01/04/2025</v>
      </c>
      <c r="B415" t="str">
        <f t="shared" si="13"/>
        <v>E</v>
      </c>
      <c r="C415">
        <v>414</v>
      </c>
      <c r="D415" t="s">
        <v>13</v>
      </c>
      <c r="E415">
        <v>2</v>
      </c>
      <c r="F415">
        <v>3</v>
      </c>
      <c r="G415">
        <v>3.2959999999999998</v>
      </c>
      <c r="H415">
        <v>2.282</v>
      </c>
    </row>
    <row r="416" spans="1:8" x14ac:dyDescent="0.2">
      <c r="A416" s="25" t="str">
        <f t="shared" si="12"/>
        <v>01/04/2025</v>
      </c>
      <c r="B416" t="str">
        <f t="shared" si="13"/>
        <v>E</v>
      </c>
      <c r="C416">
        <v>415</v>
      </c>
      <c r="D416" t="s">
        <v>13</v>
      </c>
      <c r="E416">
        <v>2</v>
      </c>
      <c r="F416">
        <v>3</v>
      </c>
      <c r="G416">
        <v>2.806</v>
      </c>
      <c r="H416">
        <v>2.2000000000000002</v>
      </c>
    </row>
    <row r="417" spans="1:8" x14ac:dyDescent="0.2">
      <c r="A417" s="25" t="str">
        <f t="shared" si="12"/>
        <v>01/04/2025</v>
      </c>
      <c r="B417" t="str">
        <f t="shared" si="13"/>
        <v>E</v>
      </c>
      <c r="C417">
        <v>416</v>
      </c>
      <c r="D417" t="s">
        <v>13</v>
      </c>
      <c r="E417">
        <v>2</v>
      </c>
      <c r="F417">
        <v>3</v>
      </c>
      <c r="G417">
        <v>2.9249999999999998</v>
      </c>
      <c r="H417">
        <v>2.367</v>
      </c>
    </row>
    <row r="418" spans="1:8" x14ac:dyDescent="0.2">
      <c r="A418" s="25" t="str">
        <f t="shared" si="12"/>
        <v>01/04/2025</v>
      </c>
      <c r="B418" t="str">
        <f t="shared" si="13"/>
        <v>E</v>
      </c>
      <c r="C418">
        <v>417</v>
      </c>
      <c r="D418" t="s">
        <v>13</v>
      </c>
      <c r="E418">
        <v>2</v>
      </c>
      <c r="F418">
        <v>3</v>
      </c>
      <c r="G418">
        <v>3.0310000000000001</v>
      </c>
      <c r="H418">
        <v>2.456</v>
      </c>
    </row>
    <row r="419" spans="1:8" x14ac:dyDescent="0.2">
      <c r="A419" s="25" t="str">
        <f t="shared" si="12"/>
        <v>01/04/2025</v>
      </c>
      <c r="B419" t="str">
        <f t="shared" si="13"/>
        <v>E</v>
      </c>
      <c r="C419">
        <v>418</v>
      </c>
      <c r="D419" t="s">
        <v>13</v>
      </c>
      <c r="E419">
        <v>2</v>
      </c>
      <c r="F419">
        <v>3</v>
      </c>
      <c r="G419">
        <v>2.9020000000000001</v>
      </c>
      <c r="H419">
        <v>2.173</v>
      </c>
    </row>
    <row r="420" spans="1:8" x14ac:dyDescent="0.2">
      <c r="A420" s="25" t="str">
        <f t="shared" si="12"/>
        <v>01/04/2025</v>
      </c>
      <c r="B420" t="str">
        <f t="shared" si="13"/>
        <v>E</v>
      </c>
      <c r="C420">
        <v>419</v>
      </c>
      <c r="D420" t="s">
        <v>13</v>
      </c>
      <c r="E420">
        <v>2</v>
      </c>
      <c r="F420">
        <v>3</v>
      </c>
      <c r="G420">
        <v>2.9409999999999998</v>
      </c>
      <c r="H420">
        <v>2.3540000000000001</v>
      </c>
    </row>
    <row r="421" spans="1:8" x14ac:dyDescent="0.2">
      <c r="A421" s="25" t="str">
        <f t="shared" si="12"/>
        <v>01/04/2025</v>
      </c>
      <c r="B421" t="str">
        <f t="shared" si="13"/>
        <v>E</v>
      </c>
      <c r="C421">
        <v>420</v>
      </c>
      <c r="D421" t="s">
        <v>13</v>
      </c>
      <c r="E421">
        <v>2</v>
      </c>
      <c r="F421">
        <v>3</v>
      </c>
      <c r="G421">
        <v>3.0179999999999998</v>
      </c>
      <c r="H421">
        <v>2.1800000000000002</v>
      </c>
    </row>
    <row r="422" spans="1:8" x14ac:dyDescent="0.2">
      <c r="A422" s="25" t="str">
        <f t="shared" si="12"/>
        <v>01/04/2025</v>
      </c>
      <c r="B422" t="str">
        <f t="shared" si="13"/>
        <v>E</v>
      </c>
      <c r="C422">
        <v>421</v>
      </c>
      <c r="D422" t="s">
        <v>13</v>
      </c>
      <c r="E422">
        <v>2</v>
      </c>
      <c r="F422">
        <v>3</v>
      </c>
      <c r="G422">
        <v>3.3079999999999998</v>
      </c>
      <c r="H422">
        <v>2.2480000000000002</v>
      </c>
    </row>
    <row r="423" spans="1:8" x14ac:dyDescent="0.2">
      <c r="A423" s="25" t="str">
        <f t="shared" si="12"/>
        <v>01/04/2025</v>
      </c>
      <c r="B423" t="str">
        <f t="shared" si="13"/>
        <v>E</v>
      </c>
      <c r="C423">
        <v>422</v>
      </c>
      <c r="D423" t="s">
        <v>13</v>
      </c>
      <c r="E423">
        <v>2</v>
      </c>
      <c r="F423">
        <v>3</v>
      </c>
      <c r="G423">
        <v>3.2509999999999999</v>
      </c>
      <c r="H423">
        <v>2.4239999999999999</v>
      </c>
    </row>
    <row r="424" spans="1:8" x14ac:dyDescent="0.2">
      <c r="A424" s="25" t="str">
        <f t="shared" si="12"/>
        <v>01/04/2025</v>
      </c>
      <c r="B424" t="str">
        <f t="shared" si="13"/>
        <v>E</v>
      </c>
      <c r="C424">
        <v>423</v>
      </c>
      <c r="D424" t="s">
        <v>13</v>
      </c>
      <c r="E424">
        <v>2</v>
      </c>
      <c r="F424">
        <v>3</v>
      </c>
      <c r="G424">
        <v>3.1139999999999999</v>
      </c>
      <c r="H424">
        <v>2.4430000000000001</v>
      </c>
    </row>
    <row r="425" spans="1:8" x14ac:dyDescent="0.2">
      <c r="A425" s="25" t="str">
        <f t="shared" si="12"/>
        <v>01/04/2025</v>
      </c>
      <c r="B425" t="str">
        <f t="shared" si="13"/>
        <v>E</v>
      </c>
      <c r="C425">
        <v>424</v>
      </c>
      <c r="D425" t="s">
        <v>13</v>
      </c>
      <c r="E425">
        <v>2</v>
      </c>
      <c r="F425">
        <v>3</v>
      </c>
      <c r="G425">
        <v>2.835</v>
      </c>
      <c r="H425">
        <v>2.0539999999999998</v>
      </c>
    </row>
    <row r="426" spans="1:8" x14ac:dyDescent="0.2">
      <c r="A426" s="25" t="str">
        <f t="shared" si="12"/>
        <v>26/04/2025</v>
      </c>
      <c r="B426" t="str">
        <f t="shared" si="13"/>
        <v>D</v>
      </c>
      <c r="C426">
        <v>425</v>
      </c>
      <c r="D426" t="s">
        <v>13</v>
      </c>
      <c r="E426">
        <v>3</v>
      </c>
      <c r="F426">
        <v>1</v>
      </c>
      <c r="G426">
        <v>3.8109999999999999</v>
      </c>
      <c r="H426">
        <v>2.7639999999999998</v>
      </c>
    </row>
    <row r="427" spans="1:8" x14ac:dyDescent="0.2">
      <c r="A427" s="25" t="str">
        <f t="shared" si="12"/>
        <v>26/04/2025</v>
      </c>
      <c r="B427" t="str">
        <f t="shared" si="13"/>
        <v>D</v>
      </c>
      <c r="C427">
        <v>426</v>
      </c>
      <c r="D427" t="s">
        <v>13</v>
      </c>
      <c r="E427">
        <v>3</v>
      </c>
      <c r="F427">
        <v>1</v>
      </c>
      <c r="G427">
        <v>3.488</v>
      </c>
      <c r="H427">
        <v>2.6909999999999998</v>
      </c>
    </row>
    <row r="428" spans="1:8" x14ac:dyDescent="0.2">
      <c r="A428" s="25" t="str">
        <f t="shared" si="12"/>
        <v>26/04/2025</v>
      </c>
      <c r="B428" t="str">
        <f t="shared" si="13"/>
        <v>D</v>
      </c>
      <c r="C428">
        <v>427</v>
      </c>
      <c r="D428" t="s">
        <v>13</v>
      </c>
      <c r="E428">
        <v>3</v>
      </c>
      <c r="F428">
        <v>1</v>
      </c>
      <c r="G428">
        <v>3.2789999999999999</v>
      </c>
      <c r="H428">
        <v>2.7589999999999999</v>
      </c>
    </row>
    <row r="429" spans="1:8" x14ac:dyDescent="0.2">
      <c r="A429" s="25" t="str">
        <f t="shared" si="12"/>
        <v>26/04/2025</v>
      </c>
      <c r="B429" t="str">
        <f t="shared" si="13"/>
        <v>D</v>
      </c>
      <c r="C429">
        <v>428</v>
      </c>
      <c r="D429" t="s">
        <v>13</v>
      </c>
      <c r="E429">
        <v>3</v>
      </c>
      <c r="F429">
        <v>1</v>
      </c>
      <c r="G429">
        <v>3.2450000000000001</v>
      </c>
      <c r="H429">
        <v>2.444</v>
      </c>
    </row>
    <row r="430" spans="1:8" x14ac:dyDescent="0.2">
      <c r="A430" s="25" t="str">
        <f t="shared" si="12"/>
        <v>26/04/2025</v>
      </c>
      <c r="B430" t="str">
        <f t="shared" si="13"/>
        <v>D</v>
      </c>
      <c r="C430">
        <v>429</v>
      </c>
      <c r="D430" t="s">
        <v>13</v>
      </c>
      <c r="E430">
        <v>3</v>
      </c>
      <c r="F430">
        <v>1</v>
      </c>
      <c r="G430">
        <v>3.532</v>
      </c>
      <c r="H430">
        <v>2.4079999999999999</v>
      </c>
    </row>
    <row r="431" spans="1:8" x14ac:dyDescent="0.2">
      <c r="A431" s="25" t="str">
        <f t="shared" si="12"/>
        <v>26/04/2025</v>
      </c>
      <c r="B431" t="str">
        <f t="shared" si="13"/>
        <v>D</v>
      </c>
      <c r="C431">
        <v>430</v>
      </c>
      <c r="D431" t="s">
        <v>13</v>
      </c>
      <c r="E431">
        <v>3</v>
      </c>
      <c r="F431">
        <v>1</v>
      </c>
      <c r="G431">
        <v>3.3490000000000002</v>
      </c>
      <c r="H431">
        <v>2.2909999999999999</v>
      </c>
    </row>
    <row r="432" spans="1:8" x14ac:dyDescent="0.2">
      <c r="A432" s="25" t="str">
        <f t="shared" si="12"/>
        <v>26/04/2025</v>
      </c>
      <c r="B432" t="str">
        <f t="shared" si="13"/>
        <v>D</v>
      </c>
      <c r="C432">
        <v>431</v>
      </c>
      <c r="D432" t="s">
        <v>13</v>
      </c>
      <c r="E432">
        <v>3</v>
      </c>
      <c r="F432">
        <v>1</v>
      </c>
      <c r="G432">
        <v>3.254</v>
      </c>
      <c r="H432">
        <v>2.601</v>
      </c>
    </row>
    <row r="433" spans="1:8" x14ac:dyDescent="0.2">
      <c r="A433" s="25" t="str">
        <f t="shared" si="12"/>
        <v>26/04/2025</v>
      </c>
      <c r="B433" t="str">
        <f t="shared" si="13"/>
        <v>D</v>
      </c>
      <c r="C433">
        <v>432</v>
      </c>
      <c r="D433" t="s">
        <v>13</v>
      </c>
      <c r="E433">
        <v>3</v>
      </c>
      <c r="F433">
        <v>1</v>
      </c>
      <c r="G433">
        <v>3.05</v>
      </c>
      <c r="H433">
        <v>2.5910000000000002</v>
      </c>
    </row>
    <row r="434" spans="1:8" x14ac:dyDescent="0.2">
      <c r="A434" s="25" t="str">
        <f t="shared" si="12"/>
        <v>26/04/2025</v>
      </c>
      <c r="B434" t="str">
        <f t="shared" si="13"/>
        <v>D</v>
      </c>
      <c r="C434">
        <v>433</v>
      </c>
      <c r="D434" t="s">
        <v>13</v>
      </c>
      <c r="E434">
        <v>3</v>
      </c>
      <c r="F434">
        <v>1</v>
      </c>
      <c r="G434">
        <v>3.5409999999999999</v>
      </c>
      <c r="H434">
        <v>2.294</v>
      </c>
    </row>
    <row r="435" spans="1:8" x14ac:dyDescent="0.2">
      <c r="A435" s="25" t="str">
        <f t="shared" si="12"/>
        <v>26/04/2025</v>
      </c>
      <c r="B435" t="str">
        <f t="shared" si="13"/>
        <v>D</v>
      </c>
      <c r="C435">
        <v>434</v>
      </c>
      <c r="D435" t="s">
        <v>13</v>
      </c>
      <c r="E435">
        <v>3</v>
      </c>
      <c r="F435">
        <v>1</v>
      </c>
      <c r="G435">
        <v>3.262</v>
      </c>
      <c r="H435">
        <v>2.3849999999999998</v>
      </c>
    </row>
    <row r="436" spans="1:8" x14ac:dyDescent="0.2">
      <c r="A436" s="25" t="str">
        <f t="shared" si="12"/>
        <v>26/04/2025</v>
      </c>
      <c r="B436" t="str">
        <f t="shared" si="13"/>
        <v>D</v>
      </c>
      <c r="C436">
        <v>435</v>
      </c>
      <c r="D436" t="s">
        <v>13</v>
      </c>
      <c r="E436">
        <v>3</v>
      </c>
      <c r="F436">
        <v>1</v>
      </c>
      <c r="G436">
        <v>3.8460000000000001</v>
      </c>
      <c r="H436">
        <v>2.911</v>
      </c>
    </row>
    <row r="437" spans="1:8" x14ac:dyDescent="0.2">
      <c r="A437" s="25" t="str">
        <f t="shared" si="12"/>
        <v>26/04/2025</v>
      </c>
      <c r="B437" t="str">
        <f t="shared" si="13"/>
        <v>D</v>
      </c>
      <c r="C437">
        <v>436</v>
      </c>
      <c r="D437" t="s">
        <v>13</v>
      </c>
      <c r="E437">
        <v>3</v>
      </c>
      <c r="F437">
        <v>1</v>
      </c>
      <c r="G437">
        <v>3.7570000000000001</v>
      </c>
      <c r="H437">
        <v>2.5449999999999999</v>
      </c>
    </row>
    <row r="438" spans="1:8" x14ac:dyDescent="0.2">
      <c r="A438" s="25" t="str">
        <f t="shared" si="12"/>
        <v>26/04/2025</v>
      </c>
      <c r="B438" t="str">
        <f t="shared" si="13"/>
        <v>D</v>
      </c>
      <c r="C438">
        <v>437</v>
      </c>
      <c r="D438" t="s">
        <v>13</v>
      </c>
      <c r="E438">
        <v>3</v>
      </c>
      <c r="F438">
        <v>1</v>
      </c>
      <c r="G438">
        <v>3.2949999999999999</v>
      </c>
      <c r="H438">
        <v>2.4969999999999999</v>
      </c>
    </row>
    <row r="439" spans="1:8" x14ac:dyDescent="0.2">
      <c r="A439" s="25" t="str">
        <f t="shared" si="12"/>
        <v>26/04/2025</v>
      </c>
      <c r="B439" t="str">
        <f t="shared" si="13"/>
        <v>D</v>
      </c>
      <c r="C439">
        <v>438</v>
      </c>
      <c r="D439" t="s">
        <v>13</v>
      </c>
      <c r="E439">
        <v>3</v>
      </c>
      <c r="F439">
        <v>1</v>
      </c>
      <c r="G439">
        <v>3.2759999999999998</v>
      </c>
      <c r="H439">
        <v>2.35</v>
      </c>
    </row>
    <row r="440" spans="1:8" x14ac:dyDescent="0.2">
      <c r="A440" s="25" t="str">
        <f t="shared" si="12"/>
        <v>26/04/2025</v>
      </c>
      <c r="B440" t="str">
        <f t="shared" si="13"/>
        <v>D</v>
      </c>
      <c r="C440">
        <v>439</v>
      </c>
      <c r="D440" t="s">
        <v>13</v>
      </c>
      <c r="E440">
        <v>3</v>
      </c>
      <c r="F440">
        <v>1</v>
      </c>
      <c r="G440">
        <v>3.5880000000000001</v>
      </c>
      <c r="H440">
        <v>2.7679999999999998</v>
      </c>
    </row>
    <row r="441" spans="1:8" x14ac:dyDescent="0.2">
      <c r="A441" s="25" t="str">
        <f t="shared" si="12"/>
        <v>26/04/2025</v>
      </c>
      <c r="B441" t="str">
        <f t="shared" si="13"/>
        <v>D</v>
      </c>
      <c r="C441">
        <v>440</v>
      </c>
      <c r="D441" t="s">
        <v>13</v>
      </c>
      <c r="E441">
        <v>3</v>
      </c>
      <c r="F441">
        <v>2</v>
      </c>
      <c r="G441">
        <v>3.3319999999999999</v>
      </c>
      <c r="H441">
        <v>2.448</v>
      </c>
    </row>
    <row r="442" spans="1:8" x14ac:dyDescent="0.2">
      <c r="A442" s="25" t="str">
        <f t="shared" si="12"/>
        <v>26/04/2025</v>
      </c>
      <c r="B442" t="str">
        <f t="shared" si="13"/>
        <v>D</v>
      </c>
      <c r="C442">
        <v>441</v>
      </c>
      <c r="D442" t="s">
        <v>13</v>
      </c>
      <c r="E442">
        <v>3</v>
      </c>
      <c r="F442">
        <v>2</v>
      </c>
      <c r="G442">
        <v>3.2360000000000002</v>
      </c>
      <c r="H442">
        <v>2.4180000000000001</v>
      </c>
    </row>
    <row r="443" spans="1:8" x14ac:dyDescent="0.2">
      <c r="A443" s="25" t="str">
        <f t="shared" si="12"/>
        <v>26/04/2025</v>
      </c>
      <c r="B443" t="str">
        <f t="shared" si="13"/>
        <v>D</v>
      </c>
      <c r="C443">
        <v>442</v>
      </c>
      <c r="D443" t="s">
        <v>13</v>
      </c>
      <c r="E443">
        <v>3</v>
      </c>
      <c r="F443">
        <v>2</v>
      </c>
      <c r="G443">
        <v>2.9689999999999999</v>
      </c>
      <c r="H443">
        <v>2.29</v>
      </c>
    </row>
    <row r="444" spans="1:8" x14ac:dyDescent="0.2">
      <c r="A444" s="25" t="str">
        <f t="shared" si="12"/>
        <v>26/04/2025</v>
      </c>
      <c r="B444" t="str">
        <f t="shared" si="13"/>
        <v>D</v>
      </c>
      <c r="C444">
        <v>443</v>
      </c>
      <c r="D444" t="s">
        <v>13</v>
      </c>
      <c r="E444">
        <v>3</v>
      </c>
      <c r="F444">
        <v>2</v>
      </c>
      <c r="G444">
        <v>3.464</v>
      </c>
      <c r="H444">
        <v>2.7519999999999998</v>
      </c>
    </row>
    <row r="445" spans="1:8" x14ac:dyDescent="0.2">
      <c r="A445" s="25" t="str">
        <f t="shared" si="12"/>
        <v>26/04/2025</v>
      </c>
      <c r="B445" t="str">
        <f t="shared" si="13"/>
        <v>D</v>
      </c>
      <c r="C445">
        <v>444</v>
      </c>
      <c r="D445" t="s">
        <v>13</v>
      </c>
      <c r="E445">
        <v>3</v>
      </c>
      <c r="F445">
        <v>2</v>
      </c>
      <c r="G445">
        <v>2.9239999999999999</v>
      </c>
      <c r="H445">
        <v>2.1309999999999998</v>
      </c>
    </row>
    <row r="446" spans="1:8" x14ac:dyDescent="0.2">
      <c r="A446" s="25" t="str">
        <f t="shared" si="12"/>
        <v>26/04/2025</v>
      </c>
      <c r="B446" t="str">
        <f t="shared" si="13"/>
        <v>D</v>
      </c>
      <c r="C446">
        <v>445</v>
      </c>
      <c r="D446" t="s">
        <v>13</v>
      </c>
      <c r="E446">
        <v>3</v>
      </c>
      <c r="F446">
        <v>2</v>
      </c>
      <c r="G446">
        <v>2.89</v>
      </c>
      <c r="H446">
        <v>2.5790000000000002</v>
      </c>
    </row>
    <row r="447" spans="1:8" x14ac:dyDescent="0.2">
      <c r="A447" s="25" t="str">
        <f t="shared" si="12"/>
        <v>26/04/2025</v>
      </c>
      <c r="B447" t="str">
        <f t="shared" si="13"/>
        <v>D</v>
      </c>
      <c r="C447">
        <v>446</v>
      </c>
      <c r="D447" t="s">
        <v>13</v>
      </c>
      <c r="E447">
        <v>3</v>
      </c>
      <c r="F447">
        <v>2</v>
      </c>
      <c r="G447">
        <v>3.1059999999999999</v>
      </c>
      <c r="H447">
        <v>2.2290000000000001</v>
      </c>
    </row>
    <row r="448" spans="1:8" x14ac:dyDescent="0.2">
      <c r="A448" s="25" t="str">
        <f t="shared" si="12"/>
        <v>26/04/2025</v>
      </c>
      <c r="B448" t="str">
        <f t="shared" si="13"/>
        <v>D</v>
      </c>
      <c r="C448">
        <v>447</v>
      </c>
      <c r="D448" t="s">
        <v>13</v>
      </c>
      <c r="E448">
        <v>3</v>
      </c>
      <c r="F448">
        <v>2</v>
      </c>
      <c r="G448">
        <v>3.4470000000000001</v>
      </c>
      <c r="H448">
        <v>2.6160000000000001</v>
      </c>
    </row>
    <row r="449" spans="1:8" x14ac:dyDescent="0.2">
      <c r="A449" s="25" t="str">
        <f t="shared" si="12"/>
        <v>26/04/2025</v>
      </c>
      <c r="B449" t="str">
        <f t="shared" si="13"/>
        <v>D</v>
      </c>
      <c r="C449">
        <v>448</v>
      </c>
      <c r="D449" t="s">
        <v>13</v>
      </c>
      <c r="E449">
        <v>3</v>
      </c>
      <c r="F449">
        <v>2</v>
      </c>
      <c r="G449">
        <v>3.3490000000000002</v>
      </c>
      <c r="H449">
        <v>2.649</v>
      </c>
    </row>
    <row r="450" spans="1:8" x14ac:dyDescent="0.2">
      <c r="A450" s="25" t="str">
        <f t="shared" si="12"/>
        <v>26/04/2025</v>
      </c>
      <c r="B450" t="str">
        <f t="shared" si="13"/>
        <v>D</v>
      </c>
      <c r="C450">
        <v>449</v>
      </c>
      <c r="D450" t="s">
        <v>13</v>
      </c>
      <c r="E450">
        <v>3</v>
      </c>
      <c r="F450">
        <v>2</v>
      </c>
      <c r="G450">
        <v>3.1040000000000001</v>
      </c>
      <c r="H450">
        <v>2.484</v>
      </c>
    </row>
    <row r="451" spans="1:8" x14ac:dyDescent="0.2">
      <c r="A451" s="25" t="str">
        <f t="shared" ref="A451:A514" si="14">IF(F451&lt;3, "26/04/2025", "01/04/2025")</f>
        <v>26/04/2025</v>
      </c>
      <c r="B451" t="str">
        <f t="shared" ref="B451:B514" si="15">IF(F451&lt;3, "D", "E")</f>
        <v>D</v>
      </c>
      <c r="C451">
        <v>450</v>
      </c>
      <c r="D451" t="s">
        <v>13</v>
      </c>
      <c r="E451">
        <v>3</v>
      </c>
      <c r="F451">
        <v>2</v>
      </c>
      <c r="G451">
        <v>3.5750000000000002</v>
      </c>
      <c r="H451">
        <v>2.5299999999999998</v>
      </c>
    </row>
    <row r="452" spans="1:8" x14ac:dyDescent="0.2">
      <c r="A452" s="25" t="str">
        <f t="shared" si="14"/>
        <v>26/04/2025</v>
      </c>
      <c r="B452" t="str">
        <f t="shared" si="15"/>
        <v>D</v>
      </c>
      <c r="C452">
        <v>451</v>
      </c>
      <c r="D452" t="s">
        <v>13</v>
      </c>
      <c r="E452">
        <v>3</v>
      </c>
      <c r="F452">
        <v>2</v>
      </c>
      <c r="G452">
        <v>3.028</v>
      </c>
      <c r="H452">
        <v>2.4580000000000002</v>
      </c>
    </row>
    <row r="453" spans="1:8" x14ac:dyDescent="0.2">
      <c r="A453" s="25" t="str">
        <f t="shared" si="14"/>
        <v>26/04/2025</v>
      </c>
      <c r="B453" t="str">
        <f t="shared" si="15"/>
        <v>D</v>
      </c>
      <c r="C453">
        <v>452</v>
      </c>
      <c r="D453" t="s">
        <v>13</v>
      </c>
      <c r="E453">
        <v>3</v>
      </c>
      <c r="F453">
        <v>2</v>
      </c>
      <c r="G453">
        <v>3.7549999999999999</v>
      </c>
      <c r="H453">
        <v>2.4239999999999999</v>
      </c>
    </row>
    <row r="454" spans="1:8" x14ac:dyDescent="0.2">
      <c r="A454" s="25" t="str">
        <f t="shared" si="14"/>
        <v>26/04/2025</v>
      </c>
      <c r="B454" t="str">
        <f t="shared" si="15"/>
        <v>D</v>
      </c>
      <c r="C454">
        <v>453</v>
      </c>
      <c r="D454" t="s">
        <v>13</v>
      </c>
      <c r="E454">
        <v>3</v>
      </c>
      <c r="F454">
        <v>2</v>
      </c>
      <c r="G454">
        <v>3.375</v>
      </c>
      <c r="H454">
        <v>2.6760000000000002</v>
      </c>
    </row>
    <row r="455" spans="1:8" x14ac:dyDescent="0.2">
      <c r="A455" s="25" t="str">
        <f t="shared" si="14"/>
        <v>01/04/2025</v>
      </c>
      <c r="B455" t="str">
        <f t="shared" si="15"/>
        <v>E</v>
      </c>
      <c r="C455">
        <v>454</v>
      </c>
      <c r="D455" t="s">
        <v>13</v>
      </c>
      <c r="E455">
        <v>3</v>
      </c>
      <c r="F455">
        <v>3</v>
      </c>
      <c r="G455">
        <v>3.3490000000000002</v>
      </c>
      <c r="H455">
        <v>2.4940000000000002</v>
      </c>
    </row>
    <row r="456" spans="1:8" x14ac:dyDescent="0.2">
      <c r="A456" s="25" t="str">
        <f t="shared" si="14"/>
        <v>01/04/2025</v>
      </c>
      <c r="B456" t="str">
        <f t="shared" si="15"/>
        <v>E</v>
      </c>
      <c r="C456">
        <v>455</v>
      </c>
      <c r="D456" t="s">
        <v>13</v>
      </c>
      <c r="E456">
        <v>3</v>
      </c>
      <c r="F456">
        <v>3</v>
      </c>
      <c r="G456">
        <v>3.089</v>
      </c>
      <c r="H456">
        <v>2.2010000000000001</v>
      </c>
    </row>
    <row r="457" spans="1:8" x14ac:dyDescent="0.2">
      <c r="A457" s="25" t="str">
        <f t="shared" si="14"/>
        <v>01/04/2025</v>
      </c>
      <c r="B457" t="str">
        <f t="shared" si="15"/>
        <v>E</v>
      </c>
      <c r="C457">
        <v>456</v>
      </c>
      <c r="D457" t="s">
        <v>13</v>
      </c>
      <c r="E457">
        <v>3</v>
      </c>
      <c r="F457">
        <v>3</v>
      </c>
      <c r="G457">
        <v>3.7130000000000001</v>
      </c>
      <c r="H457">
        <v>2.3980000000000001</v>
      </c>
    </row>
    <row r="458" spans="1:8" x14ac:dyDescent="0.2">
      <c r="A458" s="25" t="str">
        <f t="shared" si="14"/>
        <v>01/04/2025</v>
      </c>
      <c r="B458" t="str">
        <f t="shared" si="15"/>
        <v>E</v>
      </c>
      <c r="C458">
        <v>457</v>
      </c>
      <c r="D458" t="s">
        <v>13</v>
      </c>
      <c r="E458">
        <v>3</v>
      </c>
      <c r="F458">
        <v>3</v>
      </c>
      <c r="G458">
        <v>3.74</v>
      </c>
      <c r="H458">
        <v>2.4790000000000001</v>
      </c>
    </row>
    <row r="459" spans="1:8" x14ac:dyDescent="0.2">
      <c r="A459" s="25" t="str">
        <f t="shared" si="14"/>
        <v>01/04/2025</v>
      </c>
      <c r="B459" t="str">
        <f t="shared" si="15"/>
        <v>E</v>
      </c>
      <c r="C459">
        <v>458</v>
      </c>
      <c r="D459" t="s">
        <v>13</v>
      </c>
      <c r="E459">
        <v>3</v>
      </c>
      <c r="F459">
        <v>3</v>
      </c>
      <c r="G459">
        <v>3.1850000000000001</v>
      </c>
      <c r="H459">
        <v>2.2200000000000002</v>
      </c>
    </row>
    <row r="460" spans="1:8" x14ac:dyDescent="0.2">
      <c r="A460" s="25" t="str">
        <f t="shared" si="14"/>
        <v>01/04/2025</v>
      </c>
      <c r="B460" t="str">
        <f t="shared" si="15"/>
        <v>E</v>
      </c>
      <c r="C460">
        <v>459</v>
      </c>
      <c r="D460" t="s">
        <v>13</v>
      </c>
      <c r="E460">
        <v>3</v>
      </c>
      <c r="F460">
        <v>3</v>
      </c>
      <c r="G460">
        <v>3.2309999999999999</v>
      </c>
      <c r="H460">
        <v>2.4950000000000001</v>
      </c>
    </row>
    <row r="461" spans="1:8" x14ac:dyDescent="0.2">
      <c r="A461" s="25" t="str">
        <f t="shared" si="14"/>
        <v>01/04/2025</v>
      </c>
      <c r="B461" t="str">
        <f t="shared" si="15"/>
        <v>E</v>
      </c>
      <c r="C461">
        <v>460</v>
      </c>
      <c r="D461" t="s">
        <v>13</v>
      </c>
      <c r="E461">
        <v>3</v>
      </c>
      <c r="F461">
        <v>3</v>
      </c>
      <c r="G461">
        <v>3.4969999999999999</v>
      </c>
      <c r="H461">
        <v>2.6</v>
      </c>
    </row>
    <row r="462" spans="1:8" x14ac:dyDescent="0.2">
      <c r="A462" s="25" t="str">
        <f t="shared" si="14"/>
        <v>01/04/2025</v>
      </c>
      <c r="B462" t="str">
        <f t="shared" si="15"/>
        <v>E</v>
      </c>
      <c r="C462">
        <v>461</v>
      </c>
      <c r="D462" t="s">
        <v>13</v>
      </c>
      <c r="E462">
        <v>3</v>
      </c>
      <c r="F462">
        <v>3</v>
      </c>
      <c r="G462">
        <v>3.218</v>
      </c>
      <c r="H462">
        <v>2.3860000000000001</v>
      </c>
    </row>
    <row r="463" spans="1:8" x14ac:dyDescent="0.2">
      <c r="A463" s="25" t="str">
        <f t="shared" si="14"/>
        <v>01/04/2025</v>
      </c>
      <c r="B463" t="str">
        <f t="shared" si="15"/>
        <v>E</v>
      </c>
      <c r="C463">
        <v>462</v>
      </c>
      <c r="D463" t="s">
        <v>13</v>
      </c>
      <c r="E463">
        <v>3</v>
      </c>
      <c r="F463">
        <v>3</v>
      </c>
      <c r="G463">
        <v>3.2029999999999998</v>
      </c>
      <c r="H463">
        <v>2.6110000000000002</v>
      </c>
    </row>
    <row r="464" spans="1:8" x14ac:dyDescent="0.2">
      <c r="A464" s="25" t="str">
        <f t="shared" si="14"/>
        <v>26/04/2025</v>
      </c>
      <c r="B464" t="str">
        <f t="shared" si="15"/>
        <v>D</v>
      </c>
      <c r="C464">
        <v>463</v>
      </c>
      <c r="D464" t="s">
        <v>13</v>
      </c>
      <c r="E464">
        <v>4</v>
      </c>
      <c r="F464">
        <v>1</v>
      </c>
      <c r="G464">
        <v>4.0919999999999996</v>
      </c>
      <c r="H464">
        <v>2.5169999999999999</v>
      </c>
    </row>
    <row r="465" spans="1:8" x14ac:dyDescent="0.2">
      <c r="A465" s="25" t="str">
        <f t="shared" si="14"/>
        <v>26/04/2025</v>
      </c>
      <c r="B465" t="str">
        <f t="shared" si="15"/>
        <v>D</v>
      </c>
      <c r="C465">
        <v>464</v>
      </c>
      <c r="D465" t="s">
        <v>13</v>
      </c>
      <c r="E465">
        <v>4</v>
      </c>
      <c r="F465">
        <v>1</v>
      </c>
      <c r="G465">
        <v>2.9990000000000001</v>
      </c>
      <c r="H465">
        <v>2.3039999999999998</v>
      </c>
    </row>
    <row r="466" spans="1:8" x14ac:dyDescent="0.2">
      <c r="A466" s="25" t="str">
        <f t="shared" si="14"/>
        <v>26/04/2025</v>
      </c>
      <c r="B466" t="str">
        <f t="shared" si="15"/>
        <v>D</v>
      </c>
      <c r="C466">
        <v>465</v>
      </c>
      <c r="D466" t="s">
        <v>13</v>
      </c>
      <c r="E466">
        <v>4</v>
      </c>
      <c r="F466">
        <v>1</v>
      </c>
      <c r="G466">
        <v>3.2519999999999998</v>
      </c>
      <c r="H466">
        <v>2.0489999999999999</v>
      </c>
    </row>
    <row r="467" spans="1:8" x14ac:dyDescent="0.2">
      <c r="A467" s="25" t="str">
        <f t="shared" si="14"/>
        <v>26/04/2025</v>
      </c>
      <c r="B467" t="str">
        <f t="shared" si="15"/>
        <v>D</v>
      </c>
      <c r="C467">
        <v>466</v>
      </c>
      <c r="D467" t="s">
        <v>13</v>
      </c>
      <c r="E467">
        <v>4</v>
      </c>
      <c r="F467">
        <v>1</v>
      </c>
      <c r="G467">
        <v>3.4239999999999999</v>
      </c>
      <c r="H467">
        <v>2.359</v>
      </c>
    </row>
    <row r="468" spans="1:8" x14ac:dyDescent="0.2">
      <c r="A468" s="25" t="str">
        <f t="shared" si="14"/>
        <v>26/04/2025</v>
      </c>
      <c r="B468" t="str">
        <f t="shared" si="15"/>
        <v>D</v>
      </c>
      <c r="C468">
        <v>467</v>
      </c>
      <c r="D468" t="s">
        <v>13</v>
      </c>
      <c r="E468">
        <v>4</v>
      </c>
      <c r="F468">
        <v>1</v>
      </c>
      <c r="G468">
        <v>3.2919999999999998</v>
      </c>
      <c r="H468">
        <v>2.306</v>
      </c>
    </row>
    <row r="469" spans="1:8" x14ac:dyDescent="0.2">
      <c r="A469" s="25" t="str">
        <f t="shared" si="14"/>
        <v>26/04/2025</v>
      </c>
      <c r="B469" t="str">
        <f t="shared" si="15"/>
        <v>D</v>
      </c>
      <c r="C469">
        <v>468</v>
      </c>
      <c r="D469" t="s">
        <v>13</v>
      </c>
      <c r="E469">
        <v>4</v>
      </c>
      <c r="F469">
        <v>1</v>
      </c>
      <c r="G469">
        <v>3.2879999999999998</v>
      </c>
      <c r="H469">
        <v>2.258</v>
      </c>
    </row>
    <row r="470" spans="1:8" x14ac:dyDescent="0.2">
      <c r="A470" s="25" t="str">
        <f t="shared" si="14"/>
        <v>26/04/2025</v>
      </c>
      <c r="B470" t="str">
        <f t="shared" si="15"/>
        <v>D</v>
      </c>
      <c r="C470">
        <v>469</v>
      </c>
      <c r="D470" t="s">
        <v>13</v>
      </c>
      <c r="E470">
        <v>4</v>
      </c>
      <c r="F470">
        <v>1</v>
      </c>
      <c r="G470">
        <v>3.6859999999999999</v>
      </c>
      <c r="H470">
        <v>2.6709999999999998</v>
      </c>
    </row>
    <row r="471" spans="1:8" x14ac:dyDescent="0.2">
      <c r="A471" s="25" t="str">
        <f t="shared" si="14"/>
        <v>26/04/2025</v>
      </c>
      <c r="B471" t="str">
        <f t="shared" si="15"/>
        <v>D</v>
      </c>
      <c r="C471">
        <v>470</v>
      </c>
      <c r="D471" t="s">
        <v>13</v>
      </c>
      <c r="E471">
        <v>4</v>
      </c>
      <c r="F471">
        <v>1</v>
      </c>
      <c r="G471">
        <v>3.6</v>
      </c>
      <c r="H471">
        <v>2.3620000000000001</v>
      </c>
    </row>
    <row r="472" spans="1:8" x14ac:dyDescent="0.2">
      <c r="A472" s="25" t="str">
        <f t="shared" si="14"/>
        <v>26/04/2025</v>
      </c>
      <c r="B472" t="str">
        <f t="shared" si="15"/>
        <v>D</v>
      </c>
      <c r="C472">
        <v>471</v>
      </c>
      <c r="D472" t="s">
        <v>13</v>
      </c>
      <c r="E472">
        <v>4</v>
      </c>
      <c r="F472">
        <v>1</v>
      </c>
      <c r="G472">
        <v>3.3519999999999999</v>
      </c>
      <c r="H472">
        <v>2.6949999999999998</v>
      </c>
    </row>
    <row r="473" spans="1:8" x14ac:dyDescent="0.2">
      <c r="A473" s="25" t="str">
        <f t="shared" si="14"/>
        <v>26/04/2025</v>
      </c>
      <c r="B473" t="str">
        <f t="shared" si="15"/>
        <v>D</v>
      </c>
      <c r="C473">
        <v>472</v>
      </c>
      <c r="D473" t="s">
        <v>13</v>
      </c>
      <c r="E473">
        <v>4</v>
      </c>
      <c r="F473">
        <v>1</v>
      </c>
      <c r="G473">
        <v>3.746</v>
      </c>
      <c r="H473">
        <v>2.4409999999999998</v>
      </c>
    </row>
    <row r="474" spans="1:8" x14ac:dyDescent="0.2">
      <c r="A474" s="25" t="str">
        <f t="shared" si="14"/>
        <v>26/04/2025</v>
      </c>
      <c r="B474" t="str">
        <f t="shared" si="15"/>
        <v>D</v>
      </c>
      <c r="C474">
        <v>473</v>
      </c>
      <c r="D474" t="s">
        <v>13</v>
      </c>
      <c r="E474">
        <v>4</v>
      </c>
      <c r="F474">
        <v>2</v>
      </c>
      <c r="G474">
        <v>3.4740000000000002</v>
      </c>
      <c r="H474">
        <v>2.5179999999999998</v>
      </c>
    </row>
    <row r="475" spans="1:8" x14ac:dyDescent="0.2">
      <c r="A475" s="25" t="str">
        <f t="shared" si="14"/>
        <v>26/04/2025</v>
      </c>
      <c r="B475" t="str">
        <f t="shared" si="15"/>
        <v>D</v>
      </c>
      <c r="C475">
        <v>474</v>
      </c>
      <c r="D475" t="s">
        <v>13</v>
      </c>
      <c r="E475">
        <v>4</v>
      </c>
      <c r="F475">
        <v>2</v>
      </c>
      <c r="G475">
        <v>3.1059999999999999</v>
      </c>
      <c r="H475">
        <v>2.431</v>
      </c>
    </row>
    <row r="476" spans="1:8" x14ac:dyDescent="0.2">
      <c r="A476" s="25" t="str">
        <f t="shared" si="14"/>
        <v>26/04/2025</v>
      </c>
      <c r="B476" t="str">
        <f t="shared" si="15"/>
        <v>D</v>
      </c>
      <c r="C476">
        <v>475</v>
      </c>
      <c r="D476" t="s">
        <v>13</v>
      </c>
      <c r="E476">
        <v>4</v>
      </c>
      <c r="F476">
        <v>2</v>
      </c>
      <c r="G476">
        <v>2.9740000000000002</v>
      </c>
      <c r="H476">
        <v>2.4289999999999998</v>
      </c>
    </row>
    <row r="477" spans="1:8" x14ac:dyDescent="0.2">
      <c r="A477" s="25" t="str">
        <f t="shared" si="14"/>
        <v>26/04/2025</v>
      </c>
      <c r="B477" t="str">
        <f t="shared" si="15"/>
        <v>D</v>
      </c>
      <c r="C477">
        <v>476</v>
      </c>
      <c r="D477" t="s">
        <v>13</v>
      </c>
      <c r="E477">
        <v>4</v>
      </c>
      <c r="F477">
        <v>2</v>
      </c>
      <c r="G477">
        <v>3.3170000000000002</v>
      </c>
      <c r="H477">
        <v>2.5750000000000002</v>
      </c>
    </row>
    <row r="478" spans="1:8" x14ac:dyDescent="0.2">
      <c r="A478" s="25" t="str">
        <f t="shared" si="14"/>
        <v>26/04/2025</v>
      </c>
      <c r="B478" t="str">
        <f t="shared" si="15"/>
        <v>D</v>
      </c>
      <c r="C478">
        <v>477</v>
      </c>
      <c r="D478" t="s">
        <v>13</v>
      </c>
      <c r="E478">
        <v>4</v>
      </c>
      <c r="F478">
        <v>2</v>
      </c>
      <c r="G478">
        <v>3.2160000000000002</v>
      </c>
      <c r="H478">
        <v>2.1070000000000002</v>
      </c>
    </row>
    <row r="479" spans="1:8" x14ac:dyDescent="0.2">
      <c r="A479" s="25" t="str">
        <f t="shared" si="14"/>
        <v>26/04/2025</v>
      </c>
      <c r="B479" t="str">
        <f t="shared" si="15"/>
        <v>D</v>
      </c>
      <c r="C479">
        <v>478</v>
      </c>
      <c r="D479" t="s">
        <v>13</v>
      </c>
      <c r="E479">
        <v>4</v>
      </c>
      <c r="F479">
        <v>2</v>
      </c>
      <c r="G479">
        <v>3.371</v>
      </c>
      <c r="H479">
        <v>2.431</v>
      </c>
    </row>
    <row r="480" spans="1:8" x14ac:dyDescent="0.2">
      <c r="A480" s="25" t="str">
        <f t="shared" si="14"/>
        <v>26/04/2025</v>
      </c>
      <c r="B480" t="str">
        <f t="shared" si="15"/>
        <v>D</v>
      </c>
      <c r="C480">
        <v>479</v>
      </c>
      <c r="D480" t="s">
        <v>13</v>
      </c>
      <c r="E480">
        <v>4</v>
      </c>
      <c r="F480">
        <v>2</v>
      </c>
      <c r="G480">
        <v>3.444</v>
      </c>
      <c r="H480">
        <v>2.5939999999999999</v>
      </c>
    </row>
    <row r="481" spans="1:8" x14ac:dyDescent="0.2">
      <c r="A481" s="25" t="str">
        <f t="shared" si="14"/>
        <v>26/04/2025</v>
      </c>
      <c r="B481" t="str">
        <f t="shared" si="15"/>
        <v>D</v>
      </c>
      <c r="C481">
        <v>480</v>
      </c>
      <c r="D481" t="s">
        <v>13</v>
      </c>
      <c r="E481">
        <v>4</v>
      </c>
      <c r="F481">
        <v>2</v>
      </c>
      <c r="G481">
        <v>3.4940000000000002</v>
      </c>
      <c r="H481">
        <v>2.2440000000000002</v>
      </c>
    </row>
    <row r="482" spans="1:8" x14ac:dyDescent="0.2">
      <c r="A482" s="25" t="str">
        <f t="shared" si="14"/>
        <v>26/04/2025</v>
      </c>
      <c r="B482" t="str">
        <f t="shared" si="15"/>
        <v>D</v>
      </c>
      <c r="C482">
        <v>481</v>
      </c>
      <c r="D482" t="s">
        <v>13</v>
      </c>
      <c r="E482">
        <v>4</v>
      </c>
      <c r="F482">
        <v>2</v>
      </c>
      <c r="G482">
        <v>2.6219999999999999</v>
      </c>
      <c r="H482">
        <v>2.36</v>
      </c>
    </row>
    <row r="483" spans="1:8" x14ac:dyDescent="0.2">
      <c r="A483" s="25" t="str">
        <f t="shared" si="14"/>
        <v>26/04/2025</v>
      </c>
      <c r="B483" t="str">
        <f t="shared" si="15"/>
        <v>D</v>
      </c>
      <c r="C483">
        <v>482</v>
      </c>
      <c r="D483" t="s">
        <v>13</v>
      </c>
      <c r="E483">
        <v>4</v>
      </c>
      <c r="F483">
        <v>2</v>
      </c>
      <c r="G483">
        <v>3.1</v>
      </c>
      <c r="H483">
        <v>2.113</v>
      </c>
    </row>
    <row r="484" spans="1:8" x14ac:dyDescent="0.2">
      <c r="A484" s="25" t="str">
        <f t="shared" si="14"/>
        <v>26/04/2025</v>
      </c>
      <c r="B484" t="str">
        <f t="shared" si="15"/>
        <v>D</v>
      </c>
      <c r="C484">
        <v>483</v>
      </c>
      <c r="D484" t="s">
        <v>13</v>
      </c>
      <c r="E484">
        <v>4</v>
      </c>
      <c r="F484">
        <v>2</v>
      </c>
      <c r="G484">
        <v>3.6320000000000001</v>
      </c>
      <c r="H484">
        <v>2.581</v>
      </c>
    </row>
    <row r="485" spans="1:8" x14ac:dyDescent="0.2">
      <c r="A485" s="25" t="str">
        <f t="shared" si="14"/>
        <v>01/04/2025</v>
      </c>
      <c r="B485" t="str">
        <f t="shared" si="15"/>
        <v>E</v>
      </c>
      <c r="C485">
        <v>484</v>
      </c>
      <c r="D485" t="s">
        <v>13</v>
      </c>
      <c r="E485">
        <v>4</v>
      </c>
      <c r="F485">
        <v>3</v>
      </c>
      <c r="G485">
        <v>3.157</v>
      </c>
      <c r="H485">
        <v>2.1909999999999998</v>
      </c>
    </row>
    <row r="486" spans="1:8" x14ac:dyDescent="0.2">
      <c r="A486" s="25" t="str">
        <f t="shared" si="14"/>
        <v>01/04/2025</v>
      </c>
      <c r="B486" t="str">
        <f t="shared" si="15"/>
        <v>E</v>
      </c>
      <c r="C486">
        <v>485</v>
      </c>
      <c r="D486" t="s">
        <v>13</v>
      </c>
      <c r="E486">
        <v>4</v>
      </c>
      <c r="F486">
        <v>3</v>
      </c>
      <c r="G486">
        <v>3.76</v>
      </c>
      <c r="H486">
        <v>2.1030000000000002</v>
      </c>
    </row>
    <row r="487" spans="1:8" x14ac:dyDescent="0.2">
      <c r="A487" s="25" t="str">
        <f t="shared" si="14"/>
        <v>01/04/2025</v>
      </c>
      <c r="B487" t="str">
        <f t="shared" si="15"/>
        <v>E</v>
      </c>
      <c r="C487">
        <v>486</v>
      </c>
      <c r="D487" t="s">
        <v>13</v>
      </c>
      <c r="E487">
        <v>4</v>
      </c>
      <c r="F487">
        <v>3</v>
      </c>
      <c r="G487">
        <v>3.944</v>
      </c>
      <c r="H487">
        <v>2.2919999999999998</v>
      </c>
    </row>
    <row r="488" spans="1:8" x14ac:dyDescent="0.2">
      <c r="A488" s="25" t="str">
        <f t="shared" si="14"/>
        <v>01/04/2025</v>
      </c>
      <c r="B488" t="str">
        <f t="shared" si="15"/>
        <v>E</v>
      </c>
      <c r="C488">
        <v>487</v>
      </c>
      <c r="D488" t="s">
        <v>13</v>
      </c>
      <c r="E488">
        <v>4</v>
      </c>
      <c r="F488">
        <v>3</v>
      </c>
      <c r="G488">
        <v>3.875</v>
      </c>
      <c r="H488">
        <v>2.15</v>
      </c>
    </row>
    <row r="489" spans="1:8" x14ac:dyDescent="0.2">
      <c r="A489" s="25" t="str">
        <f t="shared" si="14"/>
        <v>01/04/2025</v>
      </c>
      <c r="B489" t="str">
        <f t="shared" si="15"/>
        <v>E</v>
      </c>
      <c r="C489">
        <v>488</v>
      </c>
      <c r="D489" t="s">
        <v>13</v>
      </c>
      <c r="E489">
        <v>4</v>
      </c>
      <c r="F489">
        <v>3</v>
      </c>
      <c r="G489">
        <v>3.6230000000000002</v>
      </c>
      <c r="H489">
        <v>2.29</v>
      </c>
    </row>
    <row r="490" spans="1:8" x14ac:dyDescent="0.2">
      <c r="A490" s="25" t="str">
        <f t="shared" si="14"/>
        <v>01/04/2025</v>
      </c>
      <c r="B490" t="str">
        <f t="shared" si="15"/>
        <v>E</v>
      </c>
      <c r="C490">
        <v>489</v>
      </c>
      <c r="D490" t="s">
        <v>13</v>
      </c>
      <c r="E490">
        <v>4</v>
      </c>
      <c r="F490">
        <v>3</v>
      </c>
      <c r="G490">
        <v>3.8260000000000001</v>
      </c>
      <c r="H490">
        <v>2.2829999999999999</v>
      </c>
    </row>
    <row r="491" spans="1:8" x14ac:dyDescent="0.2">
      <c r="A491" s="25" t="str">
        <f t="shared" si="14"/>
        <v>01/04/2025</v>
      </c>
      <c r="B491" t="str">
        <f t="shared" si="15"/>
        <v>E</v>
      </c>
      <c r="C491">
        <v>490</v>
      </c>
      <c r="D491" t="s">
        <v>13</v>
      </c>
      <c r="E491">
        <v>4</v>
      </c>
      <c r="F491">
        <v>3</v>
      </c>
      <c r="G491">
        <v>3.7909999999999999</v>
      </c>
      <c r="H491">
        <v>2.2850000000000001</v>
      </c>
    </row>
    <row r="492" spans="1:8" x14ac:dyDescent="0.2">
      <c r="A492" s="25" t="str">
        <f t="shared" si="14"/>
        <v>01/04/2025</v>
      </c>
      <c r="B492" t="str">
        <f t="shared" si="15"/>
        <v>E</v>
      </c>
      <c r="C492">
        <v>491</v>
      </c>
      <c r="D492" t="s">
        <v>13</v>
      </c>
      <c r="E492">
        <v>4</v>
      </c>
      <c r="F492">
        <v>3</v>
      </c>
      <c r="G492">
        <v>3.3050000000000002</v>
      </c>
      <c r="H492">
        <v>2.536</v>
      </c>
    </row>
    <row r="493" spans="1:8" x14ac:dyDescent="0.2">
      <c r="A493" s="25" t="str">
        <f t="shared" si="14"/>
        <v>01/04/2025</v>
      </c>
      <c r="B493" t="str">
        <f t="shared" si="15"/>
        <v>E</v>
      </c>
      <c r="C493">
        <v>492</v>
      </c>
      <c r="D493" t="s">
        <v>13</v>
      </c>
      <c r="E493">
        <v>4</v>
      </c>
      <c r="F493">
        <v>3</v>
      </c>
      <c r="G493">
        <v>3.423</v>
      </c>
      <c r="H493">
        <v>2.1</v>
      </c>
    </row>
    <row r="494" spans="1:8" x14ac:dyDescent="0.2">
      <c r="A494" s="25" t="str">
        <f t="shared" si="14"/>
        <v>01/04/2025</v>
      </c>
      <c r="B494" t="str">
        <f t="shared" si="15"/>
        <v>E</v>
      </c>
      <c r="C494">
        <v>493</v>
      </c>
      <c r="D494" t="s">
        <v>13</v>
      </c>
      <c r="E494">
        <v>4</v>
      </c>
      <c r="F494">
        <v>3</v>
      </c>
      <c r="G494">
        <v>3.3029999999999999</v>
      </c>
      <c r="H494">
        <v>2.5190000000000001</v>
      </c>
    </row>
    <row r="495" spans="1:8" x14ac:dyDescent="0.2">
      <c r="A495" s="25" t="str">
        <f t="shared" si="14"/>
        <v>26/04/2025</v>
      </c>
      <c r="B495" t="str">
        <f t="shared" si="15"/>
        <v>D</v>
      </c>
      <c r="C495">
        <v>494</v>
      </c>
      <c r="D495" t="s">
        <v>13</v>
      </c>
      <c r="E495">
        <v>5</v>
      </c>
      <c r="F495">
        <v>1</v>
      </c>
      <c r="G495">
        <v>3.8140000000000001</v>
      </c>
      <c r="H495">
        <v>2.5049999999999999</v>
      </c>
    </row>
    <row r="496" spans="1:8" x14ac:dyDescent="0.2">
      <c r="A496" s="25" t="str">
        <f t="shared" si="14"/>
        <v>26/04/2025</v>
      </c>
      <c r="B496" t="str">
        <f t="shared" si="15"/>
        <v>D</v>
      </c>
      <c r="C496">
        <v>495</v>
      </c>
      <c r="D496" t="s">
        <v>13</v>
      </c>
      <c r="E496">
        <v>5</v>
      </c>
      <c r="F496">
        <v>1</v>
      </c>
      <c r="G496">
        <v>3.778</v>
      </c>
      <c r="H496">
        <v>2.4159999999999999</v>
      </c>
    </row>
    <row r="497" spans="1:8" x14ac:dyDescent="0.2">
      <c r="A497" s="25" t="str">
        <f t="shared" si="14"/>
        <v>26/04/2025</v>
      </c>
      <c r="B497" t="str">
        <f t="shared" si="15"/>
        <v>D</v>
      </c>
      <c r="C497">
        <v>496</v>
      </c>
      <c r="D497" t="s">
        <v>13</v>
      </c>
      <c r="E497">
        <v>5</v>
      </c>
      <c r="F497">
        <v>1</v>
      </c>
      <c r="G497">
        <v>3.7330000000000001</v>
      </c>
      <c r="H497">
        <v>2.3570000000000002</v>
      </c>
    </row>
    <row r="498" spans="1:8" x14ac:dyDescent="0.2">
      <c r="A498" s="25" t="str">
        <f t="shared" si="14"/>
        <v>26/04/2025</v>
      </c>
      <c r="B498" t="str">
        <f t="shared" si="15"/>
        <v>D</v>
      </c>
      <c r="C498">
        <v>497</v>
      </c>
      <c r="D498" t="s">
        <v>13</v>
      </c>
      <c r="E498">
        <v>5</v>
      </c>
      <c r="F498">
        <v>1</v>
      </c>
      <c r="G498">
        <v>3.8130000000000002</v>
      </c>
      <c r="H498">
        <v>2.6179999999999999</v>
      </c>
    </row>
    <row r="499" spans="1:8" x14ac:dyDescent="0.2">
      <c r="A499" s="25" t="str">
        <f t="shared" si="14"/>
        <v>26/04/2025</v>
      </c>
      <c r="B499" t="str">
        <f t="shared" si="15"/>
        <v>D</v>
      </c>
      <c r="C499">
        <v>498</v>
      </c>
      <c r="D499" t="s">
        <v>13</v>
      </c>
      <c r="E499">
        <v>5</v>
      </c>
      <c r="F499">
        <v>1</v>
      </c>
      <c r="G499">
        <v>3.774</v>
      </c>
      <c r="H499">
        <v>2.3039999999999998</v>
      </c>
    </row>
    <row r="500" spans="1:8" x14ac:dyDescent="0.2">
      <c r="A500" s="25" t="str">
        <f t="shared" si="14"/>
        <v>26/04/2025</v>
      </c>
      <c r="B500" t="str">
        <f t="shared" si="15"/>
        <v>D</v>
      </c>
      <c r="C500">
        <v>499</v>
      </c>
      <c r="D500" t="s">
        <v>13</v>
      </c>
      <c r="E500">
        <v>5</v>
      </c>
      <c r="F500">
        <v>1</v>
      </c>
      <c r="G500">
        <v>3.8620000000000001</v>
      </c>
      <c r="H500">
        <v>2.5920000000000001</v>
      </c>
    </row>
    <row r="501" spans="1:8" x14ac:dyDescent="0.2">
      <c r="A501" s="25" t="str">
        <f t="shared" si="14"/>
        <v>26/04/2025</v>
      </c>
      <c r="B501" t="str">
        <f t="shared" si="15"/>
        <v>D</v>
      </c>
      <c r="C501">
        <v>500</v>
      </c>
      <c r="D501" t="s">
        <v>13</v>
      </c>
      <c r="E501">
        <v>5</v>
      </c>
      <c r="F501">
        <v>1</v>
      </c>
      <c r="G501">
        <v>3.952</v>
      </c>
      <c r="H501">
        <v>2.754</v>
      </c>
    </row>
    <row r="502" spans="1:8" x14ac:dyDescent="0.2">
      <c r="A502" s="25" t="str">
        <f t="shared" si="14"/>
        <v>26/04/2025</v>
      </c>
      <c r="B502" t="str">
        <f t="shared" si="15"/>
        <v>D</v>
      </c>
      <c r="C502">
        <v>501</v>
      </c>
      <c r="D502" t="s">
        <v>13</v>
      </c>
      <c r="E502">
        <v>5</v>
      </c>
      <c r="F502">
        <v>1</v>
      </c>
      <c r="G502">
        <v>3.323</v>
      </c>
      <c r="H502">
        <v>2.5310000000000001</v>
      </c>
    </row>
    <row r="503" spans="1:8" x14ac:dyDescent="0.2">
      <c r="A503" s="25" t="str">
        <f t="shared" si="14"/>
        <v>26/04/2025</v>
      </c>
      <c r="B503" t="str">
        <f t="shared" si="15"/>
        <v>D</v>
      </c>
      <c r="C503">
        <v>502</v>
      </c>
      <c r="D503" t="s">
        <v>13</v>
      </c>
      <c r="E503">
        <v>5</v>
      </c>
      <c r="F503">
        <v>1</v>
      </c>
      <c r="G503">
        <v>3.2890000000000001</v>
      </c>
      <c r="H503">
        <v>2.645</v>
      </c>
    </row>
    <row r="504" spans="1:8" x14ac:dyDescent="0.2">
      <c r="A504" s="25" t="str">
        <f t="shared" si="14"/>
        <v>26/04/2025</v>
      </c>
      <c r="B504" t="str">
        <f t="shared" si="15"/>
        <v>D</v>
      </c>
      <c r="C504">
        <v>503</v>
      </c>
      <c r="D504" t="s">
        <v>13</v>
      </c>
      <c r="E504">
        <v>5</v>
      </c>
      <c r="F504">
        <v>1</v>
      </c>
      <c r="G504">
        <v>3.3690000000000002</v>
      </c>
      <c r="H504">
        <v>2.4159999999999999</v>
      </c>
    </row>
    <row r="505" spans="1:8" x14ac:dyDescent="0.2">
      <c r="A505" s="25" t="str">
        <f t="shared" si="14"/>
        <v>26/04/2025</v>
      </c>
      <c r="B505" t="str">
        <f t="shared" si="15"/>
        <v>D</v>
      </c>
      <c r="C505">
        <v>504</v>
      </c>
      <c r="D505" t="s">
        <v>13</v>
      </c>
      <c r="E505">
        <v>5</v>
      </c>
      <c r="F505">
        <v>2</v>
      </c>
      <c r="G505">
        <v>3.6320000000000001</v>
      </c>
      <c r="H505">
        <v>2.3620000000000001</v>
      </c>
    </row>
    <row r="506" spans="1:8" x14ac:dyDescent="0.2">
      <c r="A506" s="25" t="str">
        <f t="shared" si="14"/>
        <v>26/04/2025</v>
      </c>
      <c r="B506" t="str">
        <f t="shared" si="15"/>
        <v>D</v>
      </c>
      <c r="C506">
        <v>505</v>
      </c>
      <c r="D506" t="s">
        <v>13</v>
      </c>
      <c r="E506">
        <v>5</v>
      </c>
      <c r="F506">
        <v>2</v>
      </c>
      <c r="G506">
        <v>3.6890000000000001</v>
      </c>
      <c r="H506">
        <v>2.4489999999999998</v>
      </c>
    </row>
    <row r="507" spans="1:8" x14ac:dyDescent="0.2">
      <c r="A507" s="25" t="str">
        <f t="shared" si="14"/>
        <v>26/04/2025</v>
      </c>
      <c r="B507" t="str">
        <f t="shared" si="15"/>
        <v>D</v>
      </c>
      <c r="C507">
        <v>506</v>
      </c>
      <c r="D507" t="s">
        <v>13</v>
      </c>
      <c r="E507">
        <v>5</v>
      </c>
      <c r="F507">
        <v>2</v>
      </c>
      <c r="G507">
        <v>3.8919999999999999</v>
      </c>
      <c r="H507">
        <v>2.5819999999999999</v>
      </c>
    </row>
    <row r="508" spans="1:8" x14ac:dyDescent="0.2">
      <c r="A508" s="25" t="str">
        <f t="shared" si="14"/>
        <v>26/04/2025</v>
      </c>
      <c r="B508" t="str">
        <f t="shared" si="15"/>
        <v>D</v>
      </c>
      <c r="C508">
        <v>507</v>
      </c>
      <c r="D508" t="s">
        <v>13</v>
      </c>
      <c r="E508">
        <v>5</v>
      </c>
      <c r="F508">
        <v>2</v>
      </c>
      <c r="G508">
        <v>3.94</v>
      </c>
      <c r="H508">
        <v>2.379</v>
      </c>
    </row>
    <row r="509" spans="1:8" x14ac:dyDescent="0.2">
      <c r="A509" s="25" t="str">
        <f t="shared" si="14"/>
        <v>26/04/2025</v>
      </c>
      <c r="B509" t="str">
        <f t="shared" si="15"/>
        <v>D</v>
      </c>
      <c r="C509">
        <v>508</v>
      </c>
      <c r="D509" t="s">
        <v>13</v>
      </c>
      <c r="E509">
        <v>5</v>
      </c>
      <c r="F509">
        <v>2</v>
      </c>
      <c r="G509">
        <v>3.669</v>
      </c>
      <c r="H509">
        <v>2.4809999999999999</v>
      </c>
    </row>
    <row r="510" spans="1:8" x14ac:dyDescent="0.2">
      <c r="A510" s="25" t="str">
        <f t="shared" si="14"/>
        <v>26/04/2025</v>
      </c>
      <c r="B510" t="str">
        <f t="shared" si="15"/>
        <v>D</v>
      </c>
      <c r="C510">
        <v>509</v>
      </c>
      <c r="D510" t="s">
        <v>13</v>
      </c>
      <c r="E510">
        <v>5</v>
      </c>
      <c r="F510">
        <v>2</v>
      </c>
      <c r="G510">
        <v>3.448</v>
      </c>
      <c r="H510">
        <v>2.0110000000000001</v>
      </c>
    </row>
    <row r="511" spans="1:8" x14ac:dyDescent="0.2">
      <c r="A511" s="25" t="str">
        <f t="shared" si="14"/>
        <v>26/04/2025</v>
      </c>
      <c r="B511" t="str">
        <f t="shared" si="15"/>
        <v>D</v>
      </c>
      <c r="C511">
        <v>510</v>
      </c>
      <c r="D511" t="s">
        <v>13</v>
      </c>
      <c r="E511">
        <v>5</v>
      </c>
      <c r="F511">
        <v>2</v>
      </c>
      <c r="G511">
        <v>3.6389999999999998</v>
      </c>
      <c r="H511">
        <v>2.5219999999999998</v>
      </c>
    </row>
    <row r="512" spans="1:8" x14ac:dyDescent="0.2">
      <c r="A512" s="25" t="str">
        <f t="shared" si="14"/>
        <v>26/04/2025</v>
      </c>
      <c r="B512" t="str">
        <f t="shared" si="15"/>
        <v>D</v>
      </c>
      <c r="C512">
        <v>511</v>
      </c>
      <c r="D512" t="s">
        <v>13</v>
      </c>
      <c r="E512">
        <v>5</v>
      </c>
      <c r="F512">
        <v>2</v>
      </c>
      <c r="G512">
        <v>3.5449999999999999</v>
      </c>
      <c r="H512">
        <v>2.3180000000000001</v>
      </c>
    </row>
    <row r="513" spans="1:8" x14ac:dyDescent="0.2">
      <c r="A513" s="25" t="str">
        <f t="shared" si="14"/>
        <v>26/04/2025</v>
      </c>
      <c r="B513" t="str">
        <f t="shared" si="15"/>
        <v>D</v>
      </c>
      <c r="C513">
        <v>512</v>
      </c>
      <c r="D513" t="s">
        <v>13</v>
      </c>
      <c r="E513">
        <v>5</v>
      </c>
      <c r="F513">
        <v>2</v>
      </c>
      <c r="G513">
        <v>3.3610000000000002</v>
      </c>
      <c r="H513">
        <v>2.806</v>
      </c>
    </row>
    <row r="514" spans="1:8" x14ac:dyDescent="0.2">
      <c r="A514" s="25" t="str">
        <f t="shared" si="14"/>
        <v>26/04/2025</v>
      </c>
      <c r="B514" t="str">
        <f t="shared" si="15"/>
        <v>D</v>
      </c>
      <c r="C514">
        <v>513</v>
      </c>
      <c r="D514" t="s">
        <v>13</v>
      </c>
      <c r="E514">
        <v>5</v>
      </c>
      <c r="F514">
        <v>2</v>
      </c>
      <c r="G514">
        <v>3.4710000000000001</v>
      </c>
      <c r="H514">
        <v>2.2530000000000001</v>
      </c>
    </row>
    <row r="515" spans="1:8" x14ac:dyDescent="0.2">
      <c r="A515" s="25" t="str">
        <f t="shared" ref="A515:A578" si="16">IF(F515&lt;3, "26/04/2025", "01/04/2025")</f>
        <v>26/04/2025</v>
      </c>
      <c r="B515" t="str">
        <f t="shared" ref="B515:B578" si="17">IF(F515&lt;3, "D", "E")</f>
        <v>D</v>
      </c>
      <c r="C515">
        <v>514</v>
      </c>
      <c r="D515" t="s">
        <v>13</v>
      </c>
      <c r="E515">
        <v>5</v>
      </c>
      <c r="F515">
        <v>2</v>
      </c>
      <c r="G515">
        <v>3.5779999999999998</v>
      </c>
      <c r="H515">
        <v>2.1110000000000002</v>
      </c>
    </row>
    <row r="516" spans="1:8" x14ac:dyDescent="0.2">
      <c r="A516" s="25" t="str">
        <f t="shared" si="16"/>
        <v>26/04/2025</v>
      </c>
      <c r="B516" t="str">
        <f t="shared" si="17"/>
        <v>D</v>
      </c>
      <c r="C516">
        <v>515</v>
      </c>
      <c r="D516" t="s">
        <v>13</v>
      </c>
      <c r="E516">
        <v>5</v>
      </c>
      <c r="F516">
        <v>2</v>
      </c>
      <c r="G516">
        <v>3.3140000000000001</v>
      </c>
      <c r="H516">
        <v>2.6320000000000001</v>
      </c>
    </row>
    <row r="517" spans="1:8" x14ac:dyDescent="0.2">
      <c r="A517" s="25" t="str">
        <f t="shared" si="16"/>
        <v>01/04/2025</v>
      </c>
      <c r="B517" t="str">
        <f t="shared" si="17"/>
        <v>E</v>
      </c>
      <c r="C517">
        <v>516</v>
      </c>
      <c r="D517" t="s">
        <v>13</v>
      </c>
      <c r="E517">
        <v>5</v>
      </c>
      <c r="F517">
        <v>3</v>
      </c>
      <c r="G517">
        <v>3.9009999999999998</v>
      </c>
      <c r="H517">
        <v>2.2389999999999999</v>
      </c>
    </row>
    <row r="518" spans="1:8" x14ac:dyDescent="0.2">
      <c r="A518" s="25" t="str">
        <f t="shared" si="16"/>
        <v>01/04/2025</v>
      </c>
      <c r="B518" t="str">
        <f t="shared" si="17"/>
        <v>E</v>
      </c>
      <c r="C518">
        <v>517</v>
      </c>
      <c r="D518" t="s">
        <v>13</v>
      </c>
      <c r="E518">
        <v>5</v>
      </c>
      <c r="F518">
        <v>3</v>
      </c>
      <c r="G518">
        <v>3.589</v>
      </c>
      <c r="H518">
        <v>2.34</v>
      </c>
    </row>
    <row r="519" spans="1:8" x14ac:dyDescent="0.2">
      <c r="A519" s="25" t="str">
        <f t="shared" si="16"/>
        <v>01/04/2025</v>
      </c>
      <c r="B519" t="str">
        <f t="shared" si="17"/>
        <v>E</v>
      </c>
      <c r="C519">
        <v>518</v>
      </c>
      <c r="D519" t="s">
        <v>13</v>
      </c>
      <c r="E519">
        <v>5</v>
      </c>
      <c r="F519">
        <v>3</v>
      </c>
      <c r="G519">
        <v>3.629</v>
      </c>
      <c r="H519">
        <v>2.2599999999999998</v>
      </c>
    </row>
    <row r="520" spans="1:8" x14ac:dyDescent="0.2">
      <c r="A520" s="25" t="str">
        <f t="shared" si="16"/>
        <v>01/04/2025</v>
      </c>
      <c r="B520" t="str">
        <f t="shared" si="17"/>
        <v>E</v>
      </c>
      <c r="C520">
        <v>519</v>
      </c>
      <c r="D520" t="s">
        <v>13</v>
      </c>
      <c r="E520">
        <v>5</v>
      </c>
      <c r="F520">
        <v>3</v>
      </c>
      <c r="G520">
        <v>3.4220000000000002</v>
      </c>
      <c r="H520">
        <v>2.371</v>
      </c>
    </row>
    <row r="521" spans="1:8" x14ac:dyDescent="0.2">
      <c r="A521" s="25" t="str">
        <f t="shared" si="16"/>
        <v>01/04/2025</v>
      </c>
      <c r="B521" t="str">
        <f t="shared" si="17"/>
        <v>E</v>
      </c>
      <c r="C521">
        <v>520</v>
      </c>
      <c r="D521" t="s">
        <v>13</v>
      </c>
      <c r="E521">
        <v>5</v>
      </c>
      <c r="F521">
        <v>3</v>
      </c>
      <c r="G521">
        <v>3.0870000000000002</v>
      </c>
      <c r="H521">
        <v>2.2530000000000001</v>
      </c>
    </row>
    <row r="522" spans="1:8" x14ac:dyDescent="0.2">
      <c r="A522" s="25" t="str">
        <f t="shared" si="16"/>
        <v>26/04/2025</v>
      </c>
      <c r="B522" t="str">
        <f t="shared" si="17"/>
        <v>D</v>
      </c>
      <c r="C522">
        <v>521</v>
      </c>
      <c r="D522" t="s">
        <v>13</v>
      </c>
      <c r="E522">
        <v>6</v>
      </c>
      <c r="F522">
        <v>2</v>
      </c>
      <c r="G522">
        <v>3.5219999999999998</v>
      </c>
      <c r="H522">
        <v>2.48</v>
      </c>
    </row>
    <row r="523" spans="1:8" x14ac:dyDescent="0.2">
      <c r="A523" s="25" t="str">
        <f t="shared" si="16"/>
        <v>26/04/2025</v>
      </c>
      <c r="B523" t="str">
        <f t="shared" si="17"/>
        <v>D</v>
      </c>
      <c r="C523">
        <v>522</v>
      </c>
      <c r="D523" t="s">
        <v>13</v>
      </c>
      <c r="E523">
        <v>6</v>
      </c>
      <c r="F523">
        <v>2</v>
      </c>
      <c r="G523">
        <v>3.4319999999999999</v>
      </c>
      <c r="H523">
        <v>2.4129999999999998</v>
      </c>
    </row>
    <row r="524" spans="1:8" x14ac:dyDescent="0.2">
      <c r="A524" s="25" t="str">
        <f t="shared" si="16"/>
        <v>26/04/2025</v>
      </c>
      <c r="B524" t="str">
        <f t="shared" si="17"/>
        <v>D</v>
      </c>
      <c r="C524">
        <v>523</v>
      </c>
      <c r="D524" t="s">
        <v>13</v>
      </c>
      <c r="E524">
        <v>6</v>
      </c>
      <c r="F524">
        <v>2</v>
      </c>
      <c r="G524">
        <v>3.8540000000000001</v>
      </c>
      <c r="H524">
        <v>2.3210000000000002</v>
      </c>
    </row>
    <row r="525" spans="1:8" x14ac:dyDescent="0.2">
      <c r="A525" s="25" t="str">
        <f t="shared" si="16"/>
        <v>26/04/2025</v>
      </c>
      <c r="B525" t="str">
        <f t="shared" si="17"/>
        <v>D</v>
      </c>
      <c r="C525">
        <v>524</v>
      </c>
      <c r="D525" t="s">
        <v>13</v>
      </c>
      <c r="E525">
        <v>6</v>
      </c>
      <c r="F525">
        <v>2</v>
      </c>
      <c r="G525">
        <v>3.7719999999999998</v>
      </c>
      <c r="H525">
        <v>2.1459999999999999</v>
      </c>
    </row>
    <row r="526" spans="1:8" x14ac:dyDescent="0.2">
      <c r="A526" s="25" t="str">
        <f t="shared" si="16"/>
        <v>26/04/2025</v>
      </c>
      <c r="B526" t="str">
        <f t="shared" si="17"/>
        <v>D</v>
      </c>
      <c r="C526">
        <v>525</v>
      </c>
      <c r="D526" t="s">
        <v>13</v>
      </c>
      <c r="E526">
        <v>6</v>
      </c>
      <c r="F526">
        <v>2</v>
      </c>
      <c r="G526">
        <v>3.2959999999999998</v>
      </c>
      <c r="H526">
        <v>2.2599999999999998</v>
      </c>
    </row>
    <row r="527" spans="1:8" x14ac:dyDescent="0.2">
      <c r="A527" s="25" t="str">
        <f t="shared" si="16"/>
        <v>26/04/2025</v>
      </c>
      <c r="B527" t="str">
        <f t="shared" si="17"/>
        <v>D</v>
      </c>
      <c r="C527">
        <v>526</v>
      </c>
      <c r="D527" t="s">
        <v>13</v>
      </c>
      <c r="E527">
        <v>6</v>
      </c>
      <c r="F527">
        <v>2</v>
      </c>
      <c r="G527">
        <v>3.2389999999999999</v>
      </c>
      <c r="H527">
        <v>2.3839999999999999</v>
      </c>
    </row>
    <row r="528" spans="1:8" x14ac:dyDescent="0.2">
      <c r="A528" s="25" t="str">
        <f t="shared" si="16"/>
        <v>01/04/2025</v>
      </c>
      <c r="B528" t="str">
        <f t="shared" si="17"/>
        <v>E</v>
      </c>
      <c r="C528">
        <v>527</v>
      </c>
      <c r="D528" t="s">
        <v>13</v>
      </c>
      <c r="E528">
        <v>6</v>
      </c>
      <c r="F528">
        <v>3</v>
      </c>
      <c r="G528">
        <v>2.9740000000000002</v>
      </c>
      <c r="H528">
        <v>2.4700000000000002</v>
      </c>
    </row>
    <row r="529" spans="1:8" x14ac:dyDescent="0.2">
      <c r="A529" s="25" t="str">
        <f t="shared" si="16"/>
        <v>26/04/2025</v>
      </c>
      <c r="B529" t="str">
        <f t="shared" si="17"/>
        <v>D</v>
      </c>
      <c r="C529">
        <v>528</v>
      </c>
      <c r="D529" t="s">
        <v>13</v>
      </c>
      <c r="E529">
        <v>7</v>
      </c>
      <c r="F529">
        <v>2</v>
      </c>
      <c r="G529">
        <v>3.3069999999999999</v>
      </c>
      <c r="H529">
        <v>2.536</v>
      </c>
    </row>
    <row r="530" spans="1:8" x14ac:dyDescent="0.2">
      <c r="A530" s="25" t="str">
        <f t="shared" si="16"/>
        <v>26/04/2025</v>
      </c>
      <c r="B530" t="str">
        <f t="shared" si="17"/>
        <v>D</v>
      </c>
      <c r="C530">
        <v>529</v>
      </c>
      <c r="D530" t="s">
        <v>14</v>
      </c>
      <c r="E530">
        <v>1</v>
      </c>
      <c r="F530">
        <v>1</v>
      </c>
      <c r="G530">
        <v>4.0949999999999998</v>
      </c>
      <c r="H530">
        <v>2.7650000000000001</v>
      </c>
    </row>
    <row r="531" spans="1:8" x14ac:dyDescent="0.2">
      <c r="A531" s="25" t="str">
        <f t="shared" si="16"/>
        <v>26/04/2025</v>
      </c>
      <c r="B531" t="str">
        <f t="shared" si="17"/>
        <v>D</v>
      </c>
      <c r="C531">
        <v>530</v>
      </c>
      <c r="D531" t="s">
        <v>14</v>
      </c>
      <c r="E531">
        <v>1</v>
      </c>
      <c r="F531">
        <v>1</v>
      </c>
      <c r="G531">
        <v>3.8010000000000002</v>
      </c>
      <c r="H531">
        <v>2.879</v>
      </c>
    </row>
    <row r="532" spans="1:8" x14ac:dyDescent="0.2">
      <c r="A532" s="25" t="str">
        <f t="shared" si="16"/>
        <v>26/04/2025</v>
      </c>
      <c r="B532" t="str">
        <f t="shared" si="17"/>
        <v>D</v>
      </c>
      <c r="C532">
        <v>531</v>
      </c>
      <c r="D532" t="s">
        <v>14</v>
      </c>
      <c r="E532">
        <v>1</v>
      </c>
      <c r="F532">
        <v>1</v>
      </c>
      <c r="G532">
        <v>3.6110000000000002</v>
      </c>
      <c r="H532">
        <v>2.867</v>
      </c>
    </row>
    <row r="533" spans="1:8" x14ac:dyDescent="0.2">
      <c r="A533" s="25" t="str">
        <f t="shared" si="16"/>
        <v>26/04/2025</v>
      </c>
      <c r="B533" t="str">
        <f t="shared" si="17"/>
        <v>D</v>
      </c>
      <c r="C533">
        <v>532</v>
      </c>
      <c r="D533" t="s">
        <v>14</v>
      </c>
      <c r="E533">
        <v>1</v>
      </c>
      <c r="F533">
        <v>1</v>
      </c>
      <c r="G533">
        <v>3.5830000000000002</v>
      </c>
      <c r="H533">
        <v>2.5419999999999998</v>
      </c>
    </row>
    <row r="534" spans="1:8" x14ac:dyDescent="0.2">
      <c r="A534" s="25" t="str">
        <f t="shared" si="16"/>
        <v>26/04/2025</v>
      </c>
      <c r="B534" t="str">
        <f t="shared" si="17"/>
        <v>D</v>
      </c>
      <c r="C534">
        <v>533</v>
      </c>
      <c r="D534" t="s">
        <v>14</v>
      </c>
      <c r="E534">
        <v>1</v>
      </c>
      <c r="F534">
        <v>1</v>
      </c>
      <c r="G534">
        <v>3.5369999999999999</v>
      </c>
      <c r="H534">
        <v>2.657</v>
      </c>
    </row>
    <row r="535" spans="1:8" x14ac:dyDescent="0.2">
      <c r="A535" s="25" t="str">
        <f t="shared" si="16"/>
        <v>26/04/2025</v>
      </c>
      <c r="B535" t="str">
        <f t="shared" si="17"/>
        <v>D</v>
      </c>
      <c r="C535">
        <v>534</v>
      </c>
      <c r="D535" t="s">
        <v>14</v>
      </c>
      <c r="E535">
        <v>1</v>
      </c>
      <c r="F535">
        <v>1</v>
      </c>
      <c r="G535">
        <v>3.7589999999999999</v>
      </c>
      <c r="H535">
        <v>3.05</v>
      </c>
    </row>
    <row r="536" spans="1:8" x14ac:dyDescent="0.2">
      <c r="A536" s="25" t="str">
        <f t="shared" si="16"/>
        <v>26/04/2025</v>
      </c>
      <c r="B536" t="str">
        <f t="shared" si="17"/>
        <v>D</v>
      </c>
      <c r="C536">
        <v>535</v>
      </c>
      <c r="D536" t="s">
        <v>14</v>
      </c>
      <c r="E536">
        <v>1</v>
      </c>
      <c r="F536">
        <v>1</v>
      </c>
      <c r="G536">
        <v>3.524</v>
      </c>
      <c r="H536">
        <v>2.7850000000000001</v>
      </c>
    </row>
    <row r="537" spans="1:8" x14ac:dyDescent="0.2">
      <c r="A537" s="25" t="str">
        <f t="shared" si="16"/>
        <v>01/04/2025</v>
      </c>
      <c r="B537" t="str">
        <f t="shared" si="17"/>
        <v>E</v>
      </c>
      <c r="C537">
        <v>536</v>
      </c>
      <c r="D537" t="s">
        <v>14</v>
      </c>
      <c r="E537">
        <v>1</v>
      </c>
      <c r="F537">
        <v>3</v>
      </c>
      <c r="G537">
        <v>3.5</v>
      </c>
      <c r="H537">
        <v>2.67</v>
      </c>
    </row>
    <row r="538" spans="1:8" x14ac:dyDescent="0.2">
      <c r="A538" s="25" t="str">
        <f t="shared" si="16"/>
        <v>01/04/2025</v>
      </c>
      <c r="B538" t="str">
        <f t="shared" si="17"/>
        <v>E</v>
      </c>
      <c r="C538">
        <v>537</v>
      </c>
      <c r="D538" t="s">
        <v>14</v>
      </c>
      <c r="E538">
        <v>1</v>
      </c>
      <c r="F538">
        <v>3</v>
      </c>
      <c r="G538">
        <v>3.1160000000000001</v>
      </c>
      <c r="H538">
        <v>2.59</v>
      </c>
    </row>
    <row r="539" spans="1:8" x14ac:dyDescent="0.2">
      <c r="A539" s="25" t="str">
        <f t="shared" si="16"/>
        <v>01/04/2025</v>
      </c>
      <c r="B539" t="str">
        <f t="shared" si="17"/>
        <v>E</v>
      </c>
      <c r="C539">
        <v>538</v>
      </c>
      <c r="D539" t="s">
        <v>14</v>
      </c>
      <c r="E539">
        <v>1</v>
      </c>
      <c r="F539">
        <v>3</v>
      </c>
      <c r="G539">
        <v>3.6440000000000001</v>
      </c>
      <c r="H539">
        <v>2.855</v>
      </c>
    </row>
    <row r="540" spans="1:8" x14ac:dyDescent="0.2">
      <c r="A540" s="25" t="str">
        <f t="shared" si="16"/>
        <v>01/04/2025</v>
      </c>
      <c r="B540" t="str">
        <f t="shared" si="17"/>
        <v>E</v>
      </c>
      <c r="C540">
        <v>539</v>
      </c>
      <c r="D540" t="s">
        <v>14</v>
      </c>
      <c r="E540">
        <v>1</v>
      </c>
      <c r="F540">
        <v>3</v>
      </c>
      <c r="G540">
        <v>3.3530000000000002</v>
      </c>
      <c r="H540">
        <v>2.5619999999999998</v>
      </c>
    </row>
    <row r="541" spans="1:8" x14ac:dyDescent="0.2">
      <c r="A541" s="25" t="str">
        <f t="shared" si="16"/>
        <v>01/04/2025</v>
      </c>
      <c r="B541" t="str">
        <f t="shared" si="17"/>
        <v>E</v>
      </c>
      <c r="C541">
        <v>540</v>
      </c>
      <c r="D541" t="s">
        <v>14</v>
      </c>
      <c r="E541">
        <v>1</v>
      </c>
      <c r="F541">
        <v>3</v>
      </c>
      <c r="G541">
        <v>3.871</v>
      </c>
      <c r="H541">
        <v>2.6829999999999998</v>
      </c>
    </row>
    <row r="542" spans="1:8" x14ac:dyDescent="0.2">
      <c r="A542" s="25" t="str">
        <f t="shared" si="16"/>
        <v>01/04/2025</v>
      </c>
      <c r="B542" t="str">
        <f t="shared" si="17"/>
        <v>E</v>
      </c>
      <c r="C542">
        <v>541</v>
      </c>
      <c r="D542" t="s">
        <v>14</v>
      </c>
      <c r="E542">
        <v>1</v>
      </c>
      <c r="F542">
        <v>3</v>
      </c>
      <c r="G542">
        <v>2.9289999999999998</v>
      </c>
      <c r="H542">
        <v>2.2949999999999999</v>
      </c>
    </row>
    <row r="543" spans="1:8" x14ac:dyDescent="0.2">
      <c r="A543" s="25" t="str">
        <f t="shared" si="16"/>
        <v>01/04/2025</v>
      </c>
      <c r="B543" t="str">
        <f t="shared" si="17"/>
        <v>E</v>
      </c>
      <c r="C543">
        <v>542</v>
      </c>
      <c r="D543" t="s">
        <v>14</v>
      </c>
      <c r="E543">
        <v>1</v>
      </c>
      <c r="F543">
        <v>3</v>
      </c>
      <c r="G543">
        <v>2.9929999999999999</v>
      </c>
      <c r="H543">
        <v>2.5680000000000001</v>
      </c>
    </row>
    <row r="544" spans="1:8" x14ac:dyDescent="0.2">
      <c r="A544" s="25" t="str">
        <f t="shared" si="16"/>
        <v>01/04/2025</v>
      </c>
      <c r="B544" t="str">
        <f t="shared" si="17"/>
        <v>E</v>
      </c>
      <c r="C544">
        <v>543</v>
      </c>
      <c r="D544" t="s">
        <v>14</v>
      </c>
      <c r="E544">
        <v>1</v>
      </c>
      <c r="F544">
        <v>3</v>
      </c>
      <c r="G544">
        <v>3.177</v>
      </c>
      <c r="H544">
        <v>2.423</v>
      </c>
    </row>
    <row r="545" spans="1:8" x14ac:dyDescent="0.2">
      <c r="A545" s="25" t="str">
        <f t="shared" si="16"/>
        <v>01/04/2025</v>
      </c>
      <c r="B545" t="str">
        <f t="shared" si="17"/>
        <v>E</v>
      </c>
      <c r="C545">
        <v>544</v>
      </c>
      <c r="D545" t="s">
        <v>14</v>
      </c>
      <c r="E545">
        <v>1</v>
      </c>
      <c r="F545">
        <v>3</v>
      </c>
      <c r="G545">
        <v>3.3940000000000001</v>
      </c>
      <c r="H545">
        <v>2.653</v>
      </c>
    </row>
    <row r="546" spans="1:8" x14ac:dyDescent="0.2">
      <c r="A546" s="25" t="str">
        <f t="shared" si="16"/>
        <v>01/04/2025</v>
      </c>
      <c r="B546" t="str">
        <f t="shared" si="17"/>
        <v>E</v>
      </c>
      <c r="C546">
        <v>545</v>
      </c>
      <c r="D546" t="s">
        <v>14</v>
      </c>
      <c r="E546">
        <v>1</v>
      </c>
      <c r="F546">
        <v>3</v>
      </c>
      <c r="G546">
        <v>3.53</v>
      </c>
      <c r="H546">
        <v>2.4940000000000002</v>
      </c>
    </row>
    <row r="547" spans="1:8" x14ac:dyDescent="0.2">
      <c r="A547" s="25" t="str">
        <f t="shared" si="16"/>
        <v>01/04/2025</v>
      </c>
      <c r="B547" t="str">
        <f t="shared" si="17"/>
        <v>E</v>
      </c>
      <c r="C547">
        <v>546</v>
      </c>
      <c r="D547" t="s">
        <v>14</v>
      </c>
      <c r="E547">
        <v>1</v>
      </c>
      <c r="F547">
        <v>3</v>
      </c>
      <c r="G547">
        <v>3.7389999999999999</v>
      </c>
      <c r="H547">
        <v>2.6859999999999999</v>
      </c>
    </row>
    <row r="548" spans="1:8" x14ac:dyDescent="0.2">
      <c r="A548" s="25" t="str">
        <f t="shared" si="16"/>
        <v>01/04/2025</v>
      </c>
      <c r="B548" t="str">
        <f t="shared" si="17"/>
        <v>E</v>
      </c>
      <c r="C548">
        <v>547</v>
      </c>
      <c r="D548" t="s">
        <v>14</v>
      </c>
      <c r="E548">
        <v>1</v>
      </c>
      <c r="F548">
        <v>3</v>
      </c>
      <c r="G548">
        <v>3.3210000000000002</v>
      </c>
      <c r="H548">
        <v>2.347</v>
      </c>
    </row>
    <row r="549" spans="1:8" x14ac:dyDescent="0.2">
      <c r="A549" s="25" t="str">
        <f t="shared" si="16"/>
        <v>01/04/2025</v>
      </c>
      <c r="B549" t="str">
        <f t="shared" si="17"/>
        <v>E</v>
      </c>
      <c r="C549">
        <v>548</v>
      </c>
      <c r="D549" t="s">
        <v>14</v>
      </c>
      <c r="E549">
        <v>1</v>
      </c>
      <c r="F549">
        <v>3</v>
      </c>
      <c r="G549">
        <v>3.2839999999999998</v>
      </c>
      <c r="H549">
        <v>2.4409999999999998</v>
      </c>
    </row>
    <row r="550" spans="1:8" x14ac:dyDescent="0.2">
      <c r="A550" s="25" t="str">
        <f t="shared" si="16"/>
        <v>01/04/2025</v>
      </c>
      <c r="B550" t="str">
        <f t="shared" si="17"/>
        <v>E</v>
      </c>
      <c r="C550">
        <v>549</v>
      </c>
      <c r="D550" t="s">
        <v>14</v>
      </c>
      <c r="E550">
        <v>1</v>
      </c>
      <c r="F550">
        <v>3</v>
      </c>
      <c r="G550">
        <v>3.4510000000000001</v>
      </c>
      <c r="H550">
        <v>2.5510000000000002</v>
      </c>
    </row>
    <row r="551" spans="1:8" x14ac:dyDescent="0.2">
      <c r="A551" s="25" t="str">
        <f t="shared" si="16"/>
        <v>26/04/2025</v>
      </c>
      <c r="B551" t="str">
        <f t="shared" si="17"/>
        <v>D</v>
      </c>
      <c r="C551">
        <v>550</v>
      </c>
      <c r="D551" t="s">
        <v>14</v>
      </c>
      <c r="E551">
        <v>2</v>
      </c>
      <c r="F551">
        <v>1</v>
      </c>
      <c r="G551">
        <v>2.988</v>
      </c>
      <c r="H551">
        <v>2.5830000000000002</v>
      </c>
    </row>
    <row r="552" spans="1:8" x14ac:dyDescent="0.2">
      <c r="A552" s="25" t="str">
        <f t="shared" si="16"/>
        <v>26/04/2025</v>
      </c>
      <c r="B552" t="str">
        <f t="shared" si="17"/>
        <v>D</v>
      </c>
      <c r="C552">
        <v>551</v>
      </c>
      <c r="D552" t="s">
        <v>14</v>
      </c>
      <c r="E552">
        <v>2</v>
      </c>
      <c r="F552">
        <v>1</v>
      </c>
      <c r="G552">
        <v>3.653</v>
      </c>
      <c r="H552">
        <v>2.7149999999999999</v>
      </c>
    </row>
    <row r="553" spans="1:8" x14ac:dyDescent="0.2">
      <c r="A553" s="25" t="str">
        <f t="shared" si="16"/>
        <v>26/04/2025</v>
      </c>
      <c r="B553" t="str">
        <f t="shared" si="17"/>
        <v>D</v>
      </c>
      <c r="C553">
        <v>552</v>
      </c>
      <c r="D553" t="s">
        <v>14</v>
      </c>
      <c r="E553">
        <v>2</v>
      </c>
      <c r="F553">
        <v>1</v>
      </c>
      <c r="G553">
        <v>3.669</v>
      </c>
      <c r="H553">
        <v>2.7149999999999999</v>
      </c>
    </row>
    <row r="554" spans="1:8" x14ac:dyDescent="0.2">
      <c r="A554" s="25" t="str">
        <f t="shared" si="16"/>
        <v>26/04/2025</v>
      </c>
      <c r="B554" t="str">
        <f t="shared" si="17"/>
        <v>D</v>
      </c>
      <c r="C554">
        <v>553</v>
      </c>
      <c r="D554" t="s">
        <v>14</v>
      </c>
      <c r="E554">
        <v>2</v>
      </c>
      <c r="F554">
        <v>1</v>
      </c>
      <c r="G554">
        <v>3.5720000000000001</v>
      </c>
      <c r="H554">
        <v>2.5939999999999999</v>
      </c>
    </row>
    <row r="555" spans="1:8" x14ac:dyDescent="0.2">
      <c r="A555" s="25" t="str">
        <f t="shared" si="16"/>
        <v>26/04/2025</v>
      </c>
      <c r="B555" t="str">
        <f t="shared" si="17"/>
        <v>D</v>
      </c>
      <c r="C555">
        <v>554</v>
      </c>
      <c r="D555" t="s">
        <v>14</v>
      </c>
      <c r="E555">
        <v>2</v>
      </c>
      <c r="F555">
        <v>1</v>
      </c>
      <c r="G555">
        <v>3.3410000000000002</v>
      </c>
      <c r="H555">
        <v>2.5059999999999998</v>
      </c>
    </row>
    <row r="556" spans="1:8" x14ac:dyDescent="0.2">
      <c r="A556" s="25" t="str">
        <f t="shared" si="16"/>
        <v>26/04/2025</v>
      </c>
      <c r="B556" t="str">
        <f t="shared" si="17"/>
        <v>D</v>
      </c>
      <c r="C556">
        <v>555</v>
      </c>
      <c r="D556" t="s">
        <v>14</v>
      </c>
      <c r="E556">
        <v>2</v>
      </c>
      <c r="F556">
        <v>1</v>
      </c>
      <c r="G556">
        <v>3.7160000000000002</v>
      </c>
      <c r="H556">
        <v>2.6230000000000002</v>
      </c>
    </row>
    <row r="557" spans="1:8" x14ac:dyDescent="0.2">
      <c r="A557" s="25" t="str">
        <f t="shared" si="16"/>
        <v>26/04/2025</v>
      </c>
      <c r="B557" t="str">
        <f t="shared" si="17"/>
        <v>D</v>
      </c>
      <c r="C557">
        <v>556</v>
      </c>
      <c r="D557" t="s">
        <v>14</v>
      </c>
      <c r="E557">
        <v>2</v>
      </c>
      <c r="F557">
        <v>1</v>
      </c>
      <c r="G557">
        <v>3.3210000000000002</v>
      </c>
      <c r="H557">
        <v>2.5870000000000002</v>
      </c>
    </row>
    <row r="558" spans="1:8" x14ac:dyDescent="0.2">
      <c r="A558" s="25" t="str">
        <f t="shared" si="16"/>
        <v>26/04/2025</v>
      </c>
      <c r="B558" t="str">
        <f t="shared" si="17"/>
        <v>D</v>
      </c>
      <c r="C558">
        <v>557</v>
      </c>
      <c r="D558" t="s">
        <v>14</v>
      </c>
      <c r="E558">
        <v>2</v>
      </c>
      <c r="F558">
        <v>1</v>
      </c>
      <c r="G558">
        <v>3.47</v>
      </c>
      <c r="H558">
        <v>2.5289999999999999</v>
      </c>
    </row>
    <row r="559" spans="1:8" x14ac:dyDescent="0.2">
      <c r="A559" s="25" t="str">
        <f t="shared" si="16"/>
        <v>26/04/2025</v>
      </c>
      <c r="B559" t="str">
        <f t="shared" si="17"/>
        <v>D</v>
      </c>
      <c r="C559">
        <v>558</v>
      </c>
      <c r="D559" t="s">
        <v>14</v>
      </c>
      <c r="E559">
        <v>2</v>
      </c>
      <c r="F559">
        <v>1</v>
      </c>
      <c r="G559">
        <v>3.347</v>
      </c>
      <c r="H559">
        <v>2.6760000000000002</v>
      </c>
    </row>
    <row r="560" spans="1:8" x14ac:dyDescent="0.2">
      <c r="A560" s="25" t="str">
        <f t="shared" si="16"/>
        <v>26/04/2025</v>
      </c>
      <c r="B560" t="str">
        <f t="shared" si="17"/>
        <v>D</v>
      </c>
      <c r="C560">
        <v>559</v>
      </c>
      <c r="D560" t="s">
        <v>14</v>
      </c>
      <c r="E560">
        <v>2</v>
      </c>
      <c r="F560">
        <v>1</v>
      </c>
      <c r="G560">
        <v>3.2690000000000001</v>
      </c>
      <c r="H560">
        <v>2.4380000000000002</v>
      </c>
    </row>
    <row r="561" spans="1:8" x14ac:dyDescent="0.2">
      <c r="A561" s="25" t="str">
        <f t="shared" si="16"/>
        <v>26/04/2025</v>
      </c>
      <c r="B561" t="str">
        <f t="shared" si="17"/>
        <v>D</v>
      </c>
      <c r="C561">
        <v>560</v>
      </c>
      <c r="D561" t="s">
        <v>14</v>
      </c>
      <c r="E561">
        <v>2</v>
      </c>
      <c r="F561">
        <v>1</v>
      </c>
      <c r="G561">
        <v>3.5950000000000002</v>
      </c>
      <c r="H561">
        <v>2.5649999999999999</v>
      </c>
    </row>
    <row r="562" spans="1:8" x14ac:dyDescent="0.2">
      <c r="A562" s="25" t="str">
        <f t="shared" si="16"/>
        <v>26/04/2025</v>
      </c>
      <c r="B562" t="str">
        <f t="shared" si="17"/>
        <v>D</v>
      </c>
      <c r="C562">
        <v>561</v>
      </c>
      <c r="D562" t="s">
        <v>14</v>
      </c>
      <c r="E562">
        <v>2</v>
      </c>
      <c r="F562">
        <v>1</v>
      </c>
      <c r="G562">
        <v>3.51</v>
      </c>
      <c r="H562">
        <v>2.762</v>
      </c>
    </row>
    <row r="563" spans="1:8" x14ac:dyDescent="0.2">
      <c r="A563" s="25" t="str">
        <f t="shared" si="16"/>
        <v>26/04/2025</v>
      </c>
      <c r="B563" t="str">
        <f t="shared" si="17"/>
        <v>D</v>
      </c>
      <c r="C563">
        <v>562</v>
      </c>
      <c r="D563" t="s">
        <v>14</v>
      </c>
      <c r="E563">
        <v>2</v>
      </c>
      <c r="F563">
        <v>1</v>
      </c>
      <c r="G563">
        <v>3.5339999999999998</v>
      </c>
      <c r="H563">
        <v>2.69</v>
      </c>
    </row>
    <row r="564" spans="1:8" x14ac:dyDescent="0.2">
      <c r="A564" s="25" t="str">
        <f t="shared" si="16"/>
        <v>26/04/2025</v>
      </c>
      <c r="B564" t="str">
        <f t="shared" si="17"/>
        <v>D</v>
      </c>
      <c r="C564">
        <v>563</v>
      </c>
      <c r="D564" t="s">
        <v>14</v>
      </c>
      <c r="E564">
        <v>2</v>
      </c>
      <c r="F564">
        <v>1</v>
      </c>
      <c r="G564">
        <v>3.5630000000000002</v>
      </c>
      <c r="H564">
        <v>2.9390000000000001</v>
      </c>
    </row>
    <row r="565" spans="1:8" x14ac:dyDescent="0.2">
      <c r="A565" s="25" t="str">
        <f t="shared" si="16"/>
        <v>26/04/2025</v>
      </c>
      <c r="B565" t="str">
        <f t="shared" si="17"/>
        <v>D</v>
      </c>
      <c r="C565">
        <v>564</v>
      </c>
      <c r="D565" t="s">
        <v>14</v>
      </c>
      <c r="E565">
        <v>2</v>
      </c>
      <c r="F565">
        <v>1</v>
      </c>
      <c r="G565">
        <v>3.51</v>
      </c>
      <c r="H565">
        <v>2.762</v>
      </c>
    </row>
    <row r="566" spans="1:8" x14ac:dyDescent="0.2">
      <c r="A566" s="25" t="str">
        <f t="shared" si="16"/>
        <v>26/04/2025</v>
      </c>
      <c r="B566" t="str">
        <f t="shared" si="17"/>
        <v>D</v>
      </c>
      <c r="C566">
        <v>565</v>
      </c>
      <c r="D566" t="s">
        <v>14</v>
      </c>
      <c r="E566">
        <v>2</v>
      </c>
      <c r="F566">
        <v>1</v>
      </c>
      <c r="G566">
        <v>3.5950000000000002</v>
      </c>
      <c r="H566">
        <v>2.8180000000000001</v>
      </c>
    </row>
    <row r="567" spans="1:8" x14ac:dyDescent="0.2">
      <c r="A567" s="25" t="str">
        <f t="shared" si="16"/>
        <v>26/04/2025</v>
      </c>
      <c r="B567" t="str">
        <f t="shared" si="17"/>
        <v>D</v>
      </c>
      <c r="C567">
        <v>566</v>
      </c>
      <c r="D567" t="s">
        <v>14</v>
      </c>
      <c r="E567">
        <v>2</v>
      </c>
      <c r="F567">
        <v>1</v>
      </c>
      <c r="G567">
        <v>3.3769999999999998</v>
      </c>
      <c r="H567">
        <v>2.7330000000000001</v>
      </c>
    </row>
    <row r="568" spans="1:8" x14ac:dyDescent="0.2">
      <c r="A568" s="25" t="str">
        <f t="shared" si="16"/>
        <v>26/04/2025</v>
      </c>
      <c r="B568" t="str">
        <f t="shared" si="17"/>
        <v>D</v>
      </c>
      <c r="C568">
        <v>567</v>
      </c>
      <c r="D568" t="s">
        <v>14</v>
      </c>
      <c r="E568">
        <v>2</v>
      </c>
      <c r="F568">
        <v>2</v>
      </c>
      <c r="G568">
        <v>3.4180000000000001</v>
      </c>
      <c r="H568">
        <v>2.5019999999999998</v>
      </c>
    </row>
    <row r="569" spans="1:8" x14ac:dyDescent="0.2">
      <c r="A569" s="25" t="str">
        <f t="shared" si="16"/>
        <v>26/04/2025</v>
      </c>
      <c r="B569" t="str">
        <f t="shared" si="17"/>
        <v>D</v>
      </c>
      <c r="C569">
        <v>568</v>
      </c>
      <c r="D569" t="s">
        <v>14</v>
      </c>
      <c r="E569">
        <v>2</v>
      </c>
      <c r="F569">
        <v>2</v>
      </c>
      <c r="G569">
        <v>3.109</v>
      </c>
      <c r="H569">
        <v>2.508</v>
      </c>
    </row>
    <row r="570" spans="1:8" x14ac:dyDescent="0.2">
      <c r="A570" s="25" t="str">
        <f t="shared" si="16"/>
        <v>26/04/2025</v>
      </c>
      <c r="B570" t="str">
        <f t="shared" si="17"/>
        <v>D</v>
      </c>
      <c r="C570">
        <v>569</v>
      </c>
      <c r="D570" t="s">
        <v>14</v>
      </c>
      <c r="E570">
        <v>2</v>
      </c>
      <c r="F570">
        <v>2</v>
      </c>
      <c r="G570">
        <v>3.28</v>
      </c>
      <c r="H570">
        <v>2.5070000000000001</v>
      </c>
    </row>
    <row r="571" spans="1:8" x14ac:dyDescent="0.2">
      <c r="A571" s="25" t="str">
        <f t="shared" si="16"/>
        <v>26/04/2025</v>
      </c>
      <c r="B571" t="str">
        <f t="shared" si="17"/>
        <v>D</v>
      </c>
      <c r="C571">
        <v>570</v>
      </c>
      <c r="D571" t="s">
        <v>14</v>
      </c>
      <c r="E571">
        <v>2</v>
      </c>
      <c r="F571">
        <v>2</v>
      </c>
      <c r="G571">
        <v>3.27</v>
      </c>
      <c r="H571">
        <v>2.5819999999999999</v>
      </c>
    </row>
    <row r="572" spans="1:8" x14ac:dyDescent="0.2">
      <c r="A572" s="25" t="str">
        <f t="shared" si="16"/>
        <v>26/04/2025</v>
      </c>
      <c r="B572" t="str">
        <f t="shared" si="17"/>
        <v>D</v>
      </c>
      <c r="C572">
        <v>571</v>
      </c>
      <c r="D572" t="s">
        <v>14</v>
      </c>
      <c r="E572">
        <v>2</v>
      </c>
      <c r="F572">
        <v>2</v>
      </c>
      <c r="G572">
        <v>3.28</v>
      </c>
      <c r="H572">
        <v>2.3769999999999998</v>
      </c>
    </row>
    <row r="573" spans="1:8" x14ac:dyDescent="0.2">
      <c r="A573" s="25" t="str">
        <f t="shared" si="16"/>
        <v>26/04/2025</v>
      </c>
      <c r="B573" t="str">
        <f t="shared" si="17"/>
        <v>D</v>
      </c>
      <c r="C573">
        <v>572</v>
      </c>
      <c r="D573" t="s">
        <v>14</v>
      </c>
      <c r="E573">
        <v>2</v>
      </c>
      <c r="F573">
        <v>2</v>
      </c>
      <c r="G573">
        <v>3.6339999999999999</v>
      </c>
      <c r="H573">
        <v>2.6419999999999999</v>
      </c>
    </row>
    <row r="574" spans="1:8" x14ac:dyDescent="0.2">
      <c r="A574" s="25" t="str">
        <f t="shared" si="16"/>
        <v>26/04/2025</v>
      </c>
      <c r="B574" t="str">
        <f t="shared" si="17"/>
        <v>D</v>
      </c>
      <c r="C574">
        <v>573</v>
      </c>
      <c r="D574" t="s">
        <v>14</v>
      </c>
      <c r="E574">
        <v>2</v>
      </c>
      <c r="F574">
        <v>2</v>
      </c>
      <c r="G574">
        <v>3.254</v>
      </c>
      <c r="H574">
        <v>2.2549999999999999</v>
      </c>
    </row>
    <row r="575" spans="1:8" x14ac:dyDescent="0.2">
      <c r="A575" s="25" t="str">
        <f t="shared" si="16"/>
        <v>26/04/2025</v>
      </c>
      <c r="B575" t="str">
        <f t="shared" si="17"/>
        <v>D</v>
      </c>
      <c r="C575">
        <v>574</v>
      </c>
      <c r="D575" t="s">
        <v>14</v>
      </c>
      <c r="E575">
        <v>2</v>
      </c>
      <c r="F575">
        <v>2</v>
      </c>
      <c r="G575">
        <v>3.4609999999999999</v>
      </c>
      <c r="H575">
        <v>2.548</v>
      </c>
    </row>
    <row r="576" spans="1:8" x14ac:dyDescent="0.2">
      <c r="A576" s="25" t="str">
        <f t="shared" si="16"/>
        <v>26/04/2025</v>
      </c>
      <c r="B576" t="str">
        <f t="shared" si="17"/>
        <v>D</v>
      </c>
      <c r="C576">
        <v>575</v>
      </c>
      <c r="D576" t="s">
        <v>14</v>
      </c>
      <c r="E576">
        <v>2</v>
      </c>
      <c r="F576">
        <v>2</v>
      </c>
      <c r="G576">
        <v>3.2730000000000001</v>
      </c>
      <c r="H576">
        <v>2.6160000000000001</v>
      </c>
    </row>
    <row r="577" spans="1:8" x14ac:dyDescent="0.2">
      <c r="A577" s="25" t="str">
        <f t="shared" si="16"/>
        <v>26/04/2025</v>
      </c>
      <c r="B577" t="str">
        <f t="shared" si="17"/>
        <v>D</v>
      </c>
      <c r="C577">
        <v>576</v>
      </c>
      <c r="D577" t="s">
        <v>14</v>
      </c>
      <c r="E577">
        <v>2</v>
      </c>
      <c r="F577">
        <v>2</v>
      </c>
      <c r="G577">
        <v>3.4</v>
      </c>
      <c r="H577">
        <v>2.5430000000000001</v>
      </c>
    </row>
    <row r="578" spans="1:8" x14ac:dyDescent="0.2">
      <c r="A578" s="25" t="str">
        <f t="shared" si="16"/>
        <v>26/04/2025</v>
      </c>
      <c r="B578" t="str">
        <f t="shared" si="17"/>
        <v>D</v>
      </c>
      <c r="C578">
        <v>577</v>
      </c>
      <c r="D578" t="s">
        <v>14</v>
      </c>
      <c r="E578">
        <v>2</v>
      </c>
      <c r="F578">
        <v>2</v>
      </c>
      <c r="G578">
        <v>3.3130000000000002</v>
      </c>
      <c r="H578">
        <v>2.3969999999999998</v>
      </c>
    </row>
    <row r="579" spans="1:8" x14ac:dyDescent="0.2">
      <c r="A579" s="25" t="str">
        <f t="shared" ref="A579:A642" si="18">IF(F579&lt;3, "26/04/2025", "01/04/2025")</f>
        <v>26/04/2025</v>
      </c>
      <c r="B579" t="str">
        <f t="shared" ref="B579:B642" si="19">IF(F579&lt;3, "D", "E")</f>
        <v>D</v>
      </c>
      <c r="C579">
        <v>578</v>
      </c>
      <c r="D579" t="s">
        <v>14</v>
      </c>
      <c r="E579">
        <v>2</v>
      </c>
      <c r="F579">
        <v>2</v>
      </c>
      <c r="G579">
        <v>3.5390000000000001</v>
      </c>
      <c r="H579">
        <v>2.3959999999999999</v>
      </c>
    </row>
    <row r="580" spans="1:8" x14ac:dyDescent="0.2">
      <c r="A580" s="25" t="str">
        <f t="shared" si="18"/>
        <v>26/04/2025</v>
      </c>
      <c r="B580" t="str">
        <f t="shared" si="19"/>
        <v>D</v>
      </c>
      <c r="C580">
        <v>579</v>
      </c>
      <c r="D580" t="s">
        <v>14</v>
      </c>
      <c r="E580">
        <v>2</v>
      </c>
      <c r="F580">
        <v>2</v>
      </c>
      <c r="G580">
        <v>3.3050000000000002</v>
      </c>
      <c r="H580">
        <v>2.5739999999999998</v>
      </c>
    </row>
    <row r="581" spans="1:8" x14ac:dyDescent="0.2">
      <c r="A581" s="25" t="str">
        <f t="shared" si="18"/>
        <v>26/04/2025</v>
      </c>
      <c r="B581" t="str">
        <f t="shared" si="19"/>
        <v>D</v>
      </c>
      <c r="C581">
        <v>580</v>
      </c>
      <c r="D581" t="s">
        <v>14</v>
      </c>
      <c r="E581">
        <v>2</v>
      </c>
      <c r="F581">
        <v>2</v>
      </c>
      <c r="G581">
        <v>3.532</v>
      </c>
      <c r="H581">
        <v>2.71</v>
      </c>
    </row>
    <row r="582" spans="1:8" x14ac:dyDescent="0.2">
      <c r="A582" s="25" t="str">
        <f t="shared" si="18"/>
        <v>01/04/2025</v>
      </c>
      <c r="B582" t="str">
        <f t="shared" si="19"/>
        <v>E</v>
      </c>
      <c r="C582">
        <v>581</v>
      </c>
      <c r="D582" t="s">
        <v>14</v>
      </c>
      <c r="E582">
        <v>2</v>
      </c>
      <c r="F582">
        <v>3</v>
      </c>
      <c r="G582">
        <v>3.1829999999999998</v>
      </c>
      <c r="H582">
        <v>2.319</v>
      </c>
    </row>
    <row r="583" spans="1:8" x14ac:dyDescent="0.2">
      <c r="A583" s="25" t="str">
        <f t="shared" si="18"/>
        <v>01/04/2025</v>
      </c>
      <c r="B583" t="str">
        <f t="shared" si="19"/>
        <v>E</v>
      </c>
      <c r="C583">
        <v>582</v>
      </c>
      <c r="D583" t="s">
        <v>14</v>
      </c>
      <c r="E583">
        <v>2</v>
      </c>
      <c r="F583">
        <v>3</v>
      </c>
      <c r="G583">
        <v>3.2930000000000001</v>
      </c>
      <c r="H583">
        <v>2.7829999999999999</v>
      </c>
    </row>
    <row r="584" spans="1:8" x14ac:dyDescent="0.2">
      <c r="A584" s="25" t="str">
        <f t="shared" si="18"/>
        <v>01/04/2025</v>
      </c>
      <c r="B584" t="str">
        <f t="shared" si="19"/>
        <v>E</v>
      </c>
      <c r="C584">
        <v>583</v>
      </c>
      <c r="D584" t="s">
        <v>14</v>
      </c>
      <c r="E584">
        <v>2</v>
      </c>
      <c r="F584">
        <v>3</v>
      </c>
      <c r="G584">
        <v>3.5619999999999998</v>
      </c>
      <c r="H584">
        <v>2.5649999999999999</v>
      </c>
    </row>
    <row r="585" spans="1:8" x14ac:dyDescent="0.2">
      <c r="A585" s="25" t="str">
        <f t="shared" si="18"/>
        <v>01/04/2025</v>
      </c>
      <c r="B585" t="str">
        <f t="shared" si="19"/>
        <v>E</v>
      </c>
      <c r="C585">
        <v>584</v>
      </c>
      <c r="D585" t="s">
        <v>14</v>
      </c>
      <c r="E585">
        <v>2</v>
      </c>
      <c r="F585">
        <v>3</v>
      </c>
      <c r="G585">
        <v>3.1440000000000001</v>
      </c>
      <c r="H585">
        <v>2.4409999999999998</v>
      </c>
    </row>
    <row r="586" spans="1:8" x14ac:dyDescent="0.2">
      <c r="A586" s="25" t="str">
        <f t="shared" si="18"/>
        <v>01/04/2025</v>
      </c>
      <c r="B586" t="str">
        <f t="shared" si="19"/>
        <v>E</v>
      </c>
      <c r="C586">
        <v>585</v>
      </c>
      <c r="D586" t="s">
        <v>14</v>
      </c>
      <c r="E586">
        <v>2</v>
      </c>
      <c r="F586">
        <v>3</v>
      </c>
      <c r="G586">
        <v>3.3559999999999999</v>
      </c>
      <c r="H586">
        <v>2.5790000000000002</v>
      </c>
    </row>
    <row r="587" spans="1:8" x14ac:dyDescent="0.2">
      <c r="A587" s="25" t="str">
        <f t="shared" si="18"/>
        <v>01/04/2025</v>
      </c>
      <c r="B587" t="str">
        <f t="shared" si="19"/>
        <v>E</v>
      </c>
      <c r="C587">
        <v>586</v>
      </c>
      <c r="D587" t="s">
        <v>14</v>
      </c>
      <c r="E587">
        <v>2</v>
      </c>
      <c r="F587">
        <v>3</v>
      </c>
      <c r="G587">
        <v>2.8450000000000002</v>
      </c>
      <c r="H587">
        <v>2.2530000000000001</v>
      </c>
    </row>
    <row r="588" spans="1:8" x14ac:dyDescent="0.2">
      <c r="A588" s="25" t="str">
        <f t="shared" si="18"/>
        <v>01/04/2025</v>
      </c>
      <c r="B588" t="str">
        <f t="shared" si="19"/>
        <v>E</v>
      </c>
      <c r="C588">
        <v>587</v>
      </c>
      <c r="D588" t="s">
        <v>14</v>
      </c>
      <c r="E588">
        <v>2</v>
      </c>
      <c r="F588">
        <v>3</v>
      </c>
      <c r="G588">
        <v>3.71</v>
      </c>
      <c r="H588">
        <v>2.4340000000000002</v>
      </c>
    </row>
    <row r="589" spans="1:8" x14ac:dyDescent="0.2">
      <c r="A589" s="25" t="str">
        <f t="shared" si="18"/>
        <v>01/04/2025</v>
      </c>
      <c r="B589" t="str">
        <f t="shared" si="19"/>
        <v>E</v>
      </c>
      <c r="C589">
        <v>588</v>
      </c>
      <c r="D589" t="s">
        <v>14</v>
      </c>
      <c r="E589">
        <v>2</v>
      </c>
      <c r="F589">
        <v>3</v>
      </c>
      <c r="G589">
        <v>3.2280000000000002</v>
      </c>
      <c r="H589">
        <v>2.4630000000000001</v>
      </c>
    </row>
    <row r="590" spans="1:8" x14ac:dyDescent="0.2">
      <c r="A590" s="25" t="str">
        <f t="shared" si="18"/>
        <v>01/04/2025</v>
      </c>
      <c r="B590" t="str">
        <f t="shared" si="19"/>
        <v>E</v>
      </c>
      <c r="C590">
        <v>589</v>
      </c>
      <c r="D590" t="s">
        <v>14</v>
      </c>
      <c r="E590">
        <v>2</v>
      </c>
      <c r="F590">
        <v>3</v>
      </c>
      <c r="G590">
        <v>3.2930000000000001</v>
      </c>
      <c r="H590">
        <v>2.3370000000000002</v>
      </c>
    </row>
    <row r="591" spans="1:8" x14ac:dyDescent="0.2">
      <c r="A591" s="25" t="str">
        <f t="shared" si="18"/>
        <v>01/04/2025</v>
      </c>
      <c r="B591" t="str">
        <f t="shared" si="19"/>
        <v>E</v>
      </c>
      <c r="C591">
        <v>590</v>
      </c>
      <c r="D591" t="s">
        <v>14</v>
      </c>
      <c r="E591">
        <v>2</v>
      </c>
      <c r="F591">
        <v>3</v>
      </c>
      <c r="G591">
        <v>3.12</v>
      </c>
      <c r="H591">
        <v>2.65</v>
      </c>
    </row>
    <row r="592" spans="1:8" x14ac:dyDescent="0.2">
      <c r="A592" s="25" t="str">
        <f t="shared" si="18"/>
        <v>01/04/2025</v>
      </c>
      <c r="B592" t="str">
        <f t="shared" si="19"/>
        <v>E</v>
      </c>
      <c r="C592">
        <v>591</v>
      </c>
      <c r="D592" t="s">
        <v>14</v>
      </c>
      <c r="E592">
        <v>2</v>
      </c>
      <c r="F592">
        <v>3</v>
      </c>
      <c r="G592">
        <v>3.3029999999999999</v>
      </c>
      <c r="H592">
        <v>2.7890000000000001</v>
      </c>
    </row>
    <row r="593" spans="1:8" x14ac:dyDescent="0.2">
      <c r="A593" s="25" t="str">
        <f t="shared" si="18"/>
        <v>01/04/2025</v>
      </c>
      <c r="B593" t="str">
        <f t="shared" si="19"/>
        <v>E</v>
      </c>
      <c r="C593">
        <v>592</v>
      </c>
      <c r="D593" t="s">
        <v>14</v>
      </c>
      <c r="E593">
        <v>2</v>
      </c>
      <c r="F593">
        <v>3</v>
      </c>
      <c r="G593">
        <v>2.9119999999999999</v>
      </c>
      <c r="H593">
        <v>2.6760000000000002</v>
      </c>
    </row>
    <row r="594" spans="1:8" x14ac:dyDescent="0.2">
      <c r="A594" s="25" t="str">
        <f t="shared" si="18"/>
        <v>01/04/2025</v>
      </c>
      <c r="B594" t="str">
        <f t="shared" si="19"/>
        <v>E</v>
      </c>
      <c r="C594">
        <v>593</v>
      </c>
      <c r="D594" t="s">
        <v>14</v>
      </c>
      <c r="E594">
        <v>2</v>
      </c>
      <c r="F594">
        <v>3</v>
      </c>
      <c r="G594">
        <v>3.5619999999999998</v>
      </c>
      <c r="H594">
        <v>2.411</v>
      </c>
    </row>
    <row r="595" spans="1:8" x14ac:dyDescent="0.2">
      <c r="A595" s="25" t="str">
        <f t="shared" si="18"/>
        <v>26/04/2025</v>
      </c>
      <c r="B595" t="str">
        <f t="shared" si="19"/>
        <v>D</v>
      </c>
      <c r="C595">
        <v>594</v>
      </c>
      <c r="D595" t="s">
        <v>14</v>
      </c>
      <c r="E595">
        <v>3</v>
      </c>
      <c r="F595">
        <v>1</v>
      </c>
      <c r="G595">
        <v>3.641</v>
      </c>
      <c r="H595">
        <v>2.7629999999999999</v>
      </c>
    </row>
    <row r="596" spans="1:8" x14ac:dyDescent="0.2">
      <c r="A596" s="25" t="str">
        <f t="shared" si="18"/>
        <v>26/04/2025</v>
      </c>
      <c r="B596" t="str">
        <f t="shared" si="19"/>
        <v>D</v>
      </c>
      <c r="C596">
        <v>595</v>
      </c>
      <c r="D596" t="s">
        <v>14</v>
      </c>
      <c r="E596">
        <v>3</v>
      </c>
      <c r="F596">
        <v>1</v>
      </c>
      <c r="G596">
        <v>4.1909999999999998</v>
      </c>
      <c r="H596">
        <v>2.61</v>
      </c>
    </row>
    <row r="597" spans="1:8" x14ac:dyDescent="0.2">
      <c r="A597" s="25" t="str">
        <f t="shared" si="18"/>
        <v>26/04/2025</v>
      </c>
      <c r="B597" t="str">
        <f t="shared" si="19"/>
        <v>D</v>
      </c>
      <c r="C597">
        <v>596</v>
      </c>
      <c r="D597" t="s">
        <v>14</v>
      </c>
      <c r="E597">
        <v>3</v>
      </c>
      <c r="F597">
        <v>1</v>
      </c>
      <c r="G597">
        <v>3.8820000000000001</v>
      </c>
      <c r="H597">
        <v>2.0939999999999999</v>
      </c>
    </row>
    <row r="598" spans="1:8" x14ac:dyDescent="0.2">
      <c r="A598" s="25" t="str">
        <f t="shared" si="18"/>
        <v>26/04/2025</v>
      </c>
      <c r="B598" t="str">
        <f t="shared" si="19"/>
        <v>D</v>
      </c>
      <c r="C598">
        <v>597</v>
      </c>
      <c r="D598" t="s">
        <v>14</v>
      </c>
      <c r="E598">
        <v>3</v>
      </c>
      <c r="F598">
        <v>1</v>
      </c>
      <c r="G598">
        <v>3.0369999999999999</v>
      </c>
      <c r="H598">
        <v>2.5139999999999998</v>
      </c>
    </row>
    <row r="599" spans="1:8" x14ac:dyDescent="0.2">
      <c r="A599" s="25" t="str">
        <f t="shared" si="18"/>
        <v>26/04/2025</v>
      </c>
      <c r="B599" t="str">
        <f t="shared" si="19"/>
        <v>D</v>
      </c>
      <c r="C599">
        <v>598</v>
      </c>
      <c r="D599" t="s">
        <v>14</v>
      </c>
      <c r="E599">
        <v>3</v>
      </c>
      <c r="F599">
        <v>1</v>
      </c>
      <c r="G599">
        <v>4.3849999999999998</v>
      </c>
      <c r="H599">
        <v>2.694</v>
      </c>
    </row>
    <row r="600" spans="1:8" x14ac:dyDescent="0.2">
      <c r="A600" s="25" t="str">
        <f t="shared" si="18"/>
        <v>26/04/2025</v>
      </c>
      <c r="B600" t="str">
        <f t="shared" si="19"/>
        <v>D</v>
      </c>
      <c r="C600">
        <v>599</v>
      </c>
      <c r="D600" t="s">
        <v>14</v>
      </c>
      <c r="E600">
        <v>3</v>
      </c>
      <c r="F600">
        <v>1</v>
      </c>
      <c r="G600">
        <v>3.6739999999999999</v>
      </c>
      <c r="H600">
        <v>2.5390000000000001</v>
      </c>
    </row>
    <row r="601" spans="1:8" x14ac:dyDescent="0.2">
      <c r="A601" s="25" t="str">
        <f t="shared" si="18"/>
        <v>26/04/2025</v>
      </c>
      <c r="B601" t="str">
        <f t="shared" si="19"/>
        <v>D</v>
      </c>
      <c r="C601">
        <v>600</v>
      </c>
      <c r="D601" t="s">
        <v>14</v>
      </c>
      <c r="E601">
        <v>3</v>
      </c>
      <c r="F601">
        <v>1</v>
      </c>
      <c r="G601">
        <v>3.6629999999999998</v>
      </c>
      <c r="H601">
        <v>2.4209999999999998</v>
      </c>
    </row>
    <row r="602" spans="1:8" x14ac:dyDescent="0.2">
      <c r="A602" s="25" t="str">
        <f t="shared" si="18"/>
        <v>26/04/2025</v>
      </c>
      <c r="B602" t="str">
        <f t="shared" si="19"/>
        <v>D</v>
      </c>
      <c r="C602">
        <v>601</v>
      </c>
      <c r="D602" t="s">
        <v>14</v>
      </c>
      <c r="E602">
        <v>3</v>
      </c>
      <c r="F602">
        <v>1</v>
      </c>
      <c r="G602">
        <v>4.1289999999999996</v>
      </c>
      <c r="H602">
        <v>2.6059999999999999</v>
      </c>
    </row>
    <row r="603" spans="1:8" x14ac:dyDescent="0.2">
      <c r="A603" s="25" t="str">
        <f t="shared" si="18"/>
        <v>26/04/2025</v>
      </c>
      <c r="B603" t="str">
        <f t="shared" si="19"/>
        <v>D</v>
      </c>
      <c r="C603">
        <v>602</v>
      </c>
      <c r="D603" t="s">
        <v>14</v>
      </c>
      <c r="E603">
        <v>3</v>
      </c>
      <c r="F603">
        <v>1</v>
      </c>
      <c r="G603">
        <v>3.423</v>
      </c>
      <c r="H603">
        <v>2.4550000000000001</v>
      </c>
    </row>
    <row r="604" spans="1:8" x14ac:dyDescent="0.2">
      <c r="A604" s="25" t="str">
        <f t="shared" si="18"/>
        <v>26/04/2025</v>
      </c>
      <c r="B604" t="str">
        <f t="shared" si="19"/>
        <v>D</v>
      </c>
      <c r="C604">
        <v>603</v>
      </c>
      <c r="D604" t="s">
        <v>14</v>
      </c>
      <c r="E604">
        <v>3</v>
      </c>
      <c r="F604">
        <v>1</v>
      </c>
      <c r="G604">
        <v>3.8420000000000001</v>
      </c>
      <c r="H604">
        <v>2.6880000000000002</v>
      </c>
    </row>
    <row r="605" spans="1:8" x14ac:dyDescent="0.2">
      <c r="A605" s="25" t="str">
        <f t="shared" si="18"/>
        <v>26/04/2025</v>
      </c>
      <c r="B605" t="str">
        <f t="shared" si="19"/>
        <v>D</v>
      </c>
      <c r="C605">
        <v>604</v>
      </c>
      <c r="D605" t="s">
        <v>14</v>
      </c>
      <c r="E605">
        <v>3</v>
      </c>
      <c r="F605">
        <v>2</v>
      </c>
      <c r="G605">
        <v>3.62</v>
      </c>
      <c r="H605">
        <v>2.8780000000000001</v>
      </c>
    </row>
    <row r="606" spans="1:8" x14ac:dyDescent="0.2">
      <c r="A606" s="25" t="str">
        <f t="shared" si="18"/>
        <v>01/04/2025</v>
      </c>
      <c r="B606" t="str">
        <f t="shared" si="19"/>
        <v>E</v>
      </c>
      <c r="C606">
        <v>605</v>
      </c>
      <c r="D606" t="s">
        <v>14</v>
      </c>
      <c r="E606">
        <v>3</v>
      </c>
      <c r="F606">
        <v>3</v>
      </c>
      <c r="G606">
        <v>3.9780000000000002</v>
      </c>
      <c r="H606">
        <v>2.7570000000000001</v>
      </c>
    </row>
    <row r="607" spans="1:8" x14ac:dyDescent="0.2">
      <c r="A607" s="25" t="str">
        <f t="shared" si="18"/>
        <v>01/04/2025</v>
      </c>
      <c r="B607" t="str">
        <f t="shared" si="19"/>
        <v>E</v>
      </c>
      <c r="C607">
        <v>606</v>
      </c>
      <c r="D607" t="s">
        <v>14</v>
      </c>
      <c r="E607">
        <v>3</v>
      </c>
      <c r="F607">
        <v>3</v>
      </c>
      <c r="G607">
        <v>3.25</v>
      </c>
      <c r="H607">
        <v>2.552</v>
      </c>
    </row>
    <row r="608" spans="1:8" x14ac:dyDescent="0.2">
      <c r="A608" s="25" t="str">
        <f t="shared" si="18"/>
        <v>01/04/2025</v>
      </c>
      <c r="B608" t="str">
        <f t="shared" si="19"/>
        <v>E</v>
      </c>
      <c r="C608">
        <v>607</v>
      </c>
      <c r="D608" t="s">
        <v>14</v>
      </c>
      <c r="E608">
        <v>3</v>
      </c>
      <c r="F608">
        <v>3</v>
      </c>
      <c r="G608">
        <v>4.13</v>
      </c>
      <c r="H608">
        <v>2.0649999999999999</v>
      </c>
    </row>
    <row r="609" spans="1:8" x14ac:dyDescent="0.2">
      <c r="A609" s="25" t="str">
        <f t="shared" si="18"/>
        <v>01/04/2025</v>
      </c>
      <c r="B609" t="str">
        <f t="shared" si="19"/>
        <v>E</v>
      </c>
      <c r="C609">
        <v>608</v>
      </c>
      <c r="D609" t="s">
        <v>14</v>
      </c>
      <c r="E609">
        <v>3</v>
      </c>
      <c r="F609">
        <v>3</v>
      </c>
      <c r="G609">
        <v>3.843</v>
      </c>
      <c r="H609">
        <v>2.5329999999999999</v>
      </c>
    </row>
    <row r="610" spans="1:8" x14ac:dyDescent="0.2">
      <c r="A610" s="25" t="str">
        <f t="shared" si="18"/>
        <v>01/04/2025</v>
      </c>
      <c r="B610" t="str">
        <f t="shared" si="19"/>
        <v>E</v>
      </c>
      <c r="C610">
        <v>609</v>
      </c>
      <c r="D610" t="s">
        <v>14</v>
      </c>
      <c r="E610">
        <v>3</v>
      </c>
      <c r="F610">
        <v>3</v>
      </c>
      <c r="G610">
        <v>3.484</v>
      </c>
      <c r="H610">
        <v>2.3250000000000002</v>
      </c>
    </row>
    <row r="611" spans="1:8" x14ac:dyDescent="0.2">
      <c r="A611" s="25" t="str">
        <f t="shared" si="18"/>
        <v>01/04/2025</v>
      </c>
      <c r="B611" t="str">
        <f t="shared" si="19"/>
        <v>E</v>
      </c>
      <c r="C611">
        <v>610</v>
      </c>
      <c r="D611" t="s">
        <v>14</v>
      </c>
      <c r="E611">
        <v>3</v>
      </c>
      <c r="F611">
        <v>3</v>
      </c>
      <c r="G611">
        <v>3.6680000000000001</v>
      </c>
      <c r="H611">
        <v>2.8690000000000002</v>
      </c>
    </row>
    <row r="612" spans="1:8" x14ac:dyDescent="0.2">
      <c r="A612" s="25" t="str">
        <f t="shared" si="18"/>
        <v>01/04/2025</v>
      </c>
      <c r="B612" t="str">
        <f t="shared" si="19"/>
        <v>E</v>
      </c>
      <c r="C612">
        <v>611</v>
      </c>
      <c r="D612" t="s">
        <v>14</v>
      </c>
      <c r="E612">
        <v>3</v>
      </c>
      <c r="F612">
        <v>3</v>
      </c>
      <c r="G612">
        <v>3.3410000000000002</v>
      </c>
      <c r="H612">
        <v>2.6349999999999998</v>
      </c>
    </row>
    <row r="613" spans="1:8" x14ac:dyDescent="0.2">
      <c r="A613" s="25" t="str">
        <f t="shared" si="18"/>
        <v>01/04/2025</v>
      </c>
      <c r="B613" t="str">
        <f t="shared" si="19"/>
        <v>E</v>
      </c>
      <c r="C613">
        <v>612</v>
      </c>
      <c r="D613" t="s">
        <v>14</v>
      </c>
      <c r="E613">
        <v>3</v>
      </c>
      <c r="F613">
        <v>3</v>
      </c>
      <c r="G613">
        <v>3.4550000000000001</v>
      </c>
      <c r="H613">
        <v>2.407</v>
      </c>
    </row>
    <row r="614" spans="1:8" x14ac:dyDescent="0.2">
      <c r="A614" s="25" t="str">
        <f t="shared" si="18"/>
        <v>01/04/2025</v>
      </c>
      <c r="B614" t="str">
        <f t="shared" si="19"/>
        <v>E</v>
      </c>
      <c r="C614">
        <v>613</v>
      </c>
      <c r="D614" t="s">
        <v>14</v>
      </c>
      <c r="E614">
        <v>3</v>
      </c>
      <c r="F614">
        <v>3</v>
      </c>
      <c r="G614">
        <v>3.0619999999999998</v>
      </c>
      <c r="H614">
        <v>2.4380000000000002</v>
      </c>
    </row>
    <row r="615" spans="1:8" x14ac:dyDescent="0.2">
      <c r="A615" s="25" t="str">
        <f t="shared" si="18"/>
        <v>26/04/2025</v>
      </c>
      <c r="B615" t="str">
        <f t="shared" si="19"/>
        <v>D</v>
      </c>
      <c r="C615">
        <v>614</v>
      </c>
      <c r="D615" t="s">
        <v>14</v>
      </c>
      <c r="E615">
        <v>4</v>
      </c>
      <c r="F615">
        <v>1</v>
      </c>
      <c r="G615">
        <v>3.7869999999999999</v>
      </c>
      <c r="H615">
        <v>2.726</v>
      </c>
    </row>
    <row r="616" spans="1:8" x14ac:dyDescent="0.2">
      <c r="A616" s="25" t="str">
        <f t="shared" si="18"/>
        <v>26/04/2025</v>
      </c>
      <c r="B616" t="str">
        <f t="shared" si="19"/>
        <v>D</v>
      </c>
      <c r="C616">
        <v>615</v>
      </c>
      <c r="D616" t="s">
        <v>14</v>
      </c>
      <c r="E616">
        <v>4</v>
      </c>
      <c r="F616">
        <v>1</v>
      </c>
      <c r="G616">
        <v>4.3499999999999996</v>
      </c>
      <c r="H616">
        <v>2.927</v>
      </c>
    </row>
    <row r="617" spans="1:8" x14ac:dyDescent="0.2">
      <c r="A617" s="25" t="str">
        <f t="shared" si="18"/>
        <v>26/04/2025</v>
      </c>
      <c r="B617" t="str">
        <f t="shared" si="19"/>
        <v>D</v>
      </c>
      <c r="C617">
        <v>616</v>
      </c>
      <c r="D617" t="s">
        <v>14</v>
      </c>
      <c r="E617">
        <v>4</v>
      </c>
      <c r="F617">
        <v>1</v>
      </c>
      <c r="G617">
        <v>3.641</v>
      </c>
      <c r="H617">
        <v>2.4670000000000001</v>
      </c>
    </row>
    <row r="618" spans="1:8" x14ac:dyDescent="0.2">
      <c r="A618" s="25" t="str">
        <f t="shared" si="18"/>
        <v>26/04/2025</v>
      </c>
      <c r="B618" t="str">
        <f t="shared" si="19"/>
        <v>D</v>
      </c>
      <c r="C618">
        <v>617</v>
      </c>
      <c r="D618" t="s">
        <v>14</v>
      </c>
      <c r="E618">
        <v>4</v>
      </c>
      <c r="F618">
        <v>1</v>
      </c>
      <c r="G618">
        <v>3.7850000000000001</v>
      </c>
      <c r="H618">
        <v>2.37</v>
      </c>
    </row>
    <row r="619" spans="1:8" x14ac:dyDescent="0.2">
      <c r="A619" s="25" t="str">
        <f t="shared" si="18"/>
        <v>26/04/2025</v>
      </c>
      <c r="B619" t="str">
        <f t="shared" si="19"/>
        <v>D</v>
      </c>
      <c r="C619">
        <v>618</v>
      </c>
      <c r="D619" t="s">
        <v>14</v>
      </c>
      <c r="E619">
        <v>4</v>
      </c>
      <c r="F619">
        <v>1</v>
      </c>
      <c r="G619">
        <v>3.2730000000000001</v>
      </c>
      <c r="H619">
        <v>2.5249999999999999</v>
      </c>
    </row>
    <row r="620" spans="1:8" x14ac:dyDescent="0.2">
      <c r="A620" s="25" t="str">
        <f t="shared" si="18"/>
        <v>26/04/2025</v>
      </c>
      <c r="B620" t="str">
        <f t="shared" si="19"/>
        <v>D</v>
      </c>
      <c r="C620">
        <v>619</v>
      </c>
      <c r="D620" t="s">
        <v>14</v>
      </c>
      <c r="E620">
        <v>4</v>
      </c>
      <c r="F620">
        <v>1</v>
      </c>
      <c r="G620">
        <v>3.694</v>
      </c>
      <c r="H620">
        <v>2.6190000000000002</v>
      </c>
    </row>
    <row r="621" spans="1:8" x14ac:dyDescent="0.2">
      <c r="A621" s="25" t="str">
        <f t="shared" si="18"/>
        <v>26/04/2025</v>
      </c>
      <c r="B621" t="str">
        <f t="shared" si="19"/>
        <v>D</v>
      </c>
      <c r="C621">
        <v>620</v>
      </c>
      <c r="D621" t="s">
        <v>14</v>
      </c>
      <c r="E621">
        <v>4</v>
      </c>
      <c r="F621">
        <v>2</v>
      </c>
      <c r="G621">
        <v>4.266</v>
      </c>
      <c r="H621">
        <v>2.911</v>
      </c>
    </row>
    <row r="622" spans="1:8" x14ac:dyDescent="0.2">
      <c r="A622" s="25" t="str">
        <f t="shared" si="18"/>
        <v>26/04/2025</v>
      </c>
      <c r="B622" t="str">
        <f t="shared" si="19"/>
        <v>D</v>
      </c>
      <c r="C622">
        <v>621</v>
      </c>
      <c r="D622" t="s">
        <v>14</v>
      </c>
      <c r="E622">
        <v>4</v>
      </c>
      <c r="F622">
        <v>2</v>
      </c>
      <c r="G622">
        <v>3.839</v>
      </c>
      <c r="H622">
        <v>2.6619999999999999</v>
      </c>
    </row>
    <row r="623" spans="1:8" x14ac:dyDescent="0.2">
      <c r="A623" s="25" t="str">
        <f t="shared" si="18"/>
        <v>26/04/2025</v>
      </c>
      <c r="B623" t="str">
        <f t="shared" si="19"/>
        <v>D</v>
      </c>
      <c r="C623">
        <v>622</v>
      </c>
      <c r="D623" t="s">
        <v>14</v>
      </c>
      <c r="E623">
        <v>4</v>
      </c>
      <c r="F623">
        <v>2</v>
      </c>
      <c r="G623">
        <v>3.6389999999999998</v>
      </c>
      <c r="H623">
        <v>2.6549999999999998</v>
      </c>
    </row>
    <row r="624" spans="1:8" x14ac:dyDescent="0.2">
      <c r="A624" s="25" t="str">
        <f t="shared" si="18"/>
        <v>26/04/2025</v>
      </c>
      <c r="B624" t="str">
        <f t="shared" si="19"/>
        <v>D</v>
      </c>
      <c r="C624">
        <v>623</v>
      </c>
      <c r="D624" t="s">
        <v>14</v>
      </c>
      <c r="E624">
        <v>4</v>
      </c>
      <c r="F624">
        <v>2</v>
      </c>
      <c r="G624">
        <v>3.8490000000000002</v>
      </c>
      <c r="H624">
        <v>2.75</v>
      </c>
    </row>
    <row r="625" spans="1:8" x14ac:dyDescent="0.2">
      <c r="A625" s="25" t="str">
        <f t="shared" si="18"/>
        <v>01/04/2025</v>
      </c>
      <c r="B625" t="str">
        <f t="shared" si="19"/>
        <v>E</v>
      </c>
      <c r="C625">
        <v>624</v>
      </c>
      <c r="D625" t="s">
        <v>14</v>
      </c>
      <c r="E625">
        <v>4</v>
      </c>
      <c r="F625">
        <v>3</v>
      </c>
      <c r="G625">
        <v>3.0880000000000001</v>
      </c>
      <c r="H625">
        <v>2.2370000000000001</v>
      </c>
    </row>
    <row r="626" spans="1:8" x14ac:dyDescent="0.2">
      <c r="A626" s="25" t="str">
        <f t="shared" si="18"/>
        <v>01/04/2025</v>
      </c>
      <c r="B626" t="str">
        <f t="shared" si="19"/>
        <v>E</v>
      </c>
      <c r="C626">
        <v>625</v>
      </c>
      <c r="D626" t="s">
        <v>14</v>
      </c>
      <c r="E626">
        <v>4</v>
      </c>
      <c r="F626">
        <v>3</v>
      </c>
      <c r="G626">
        <v>3.8959999999999999</v>
      </c>
      <c r="H626">
        <v>1.921</v>
      </c>
    </row>
    <row r="627" spans="1:8" x14ac:dyDescent="0.2">
      <c r="A627" s="25" t="str">
        <f t="shared" si="18"/>
        <v>01/04/2025</v>
      </c>
      <c r="B627" t="str">
        <f t="shared" si="19"/>
        <v>E</v>
      </c>
      <c r="C627">
        <v>626</v>
      </c>
      <c r="D627" t="s">
        <v>14</v>
      </c>
      <c r="E627">
        <v>4</v>
      </c>
      <c r="F627">
        <v>3</v>
      </c>
      <c r="G627">
        <v>3.6480000000000001</v>
      </c>
      <c r="H627">
        <v>2.4159999999999999</v>
      </c>
    </row>
    <row r="628" spans="1:8" x14ac:dyDescent="0.2">
      <c r="A628" s="25" t="str">
        <f t="shared" si="18"/>
        <v>01/04/2025</v>
      </c>
      <c r="B628" t="str">
        <f t="shared" si="19"/>
        <v>E</v>
      </c>
      <c r="C628">
        <v>627</v>
      </c>
      <c r="D628" t="s">
        <v>14</v>
      </c>
      <c r="E628">
        <v>4</v>
      </c>
      <c r="F628">
        <v>3</v>
      </c>
      <c r="G628">
        <v>3.3180000000000001</v>
      </c>
      <c r="H628">
        <v>1.9870000000000001</v>
      </c>
    </row>
    <row r="629" spans="1:8" x14ac:dyDescent="0.2">
      <c r="A629" s="25" t="str">
        <f t="shared" si="18"/>
        <v>01/04/2025</v>
      </c>
      <c r="B629" t="str">
        <f t="shared" si="19"/>
        <v>E</v>
      </c>
      <c r="C629">
        <v>628</v>
      </c>
      <c r="D629" t="s">
        <v>14</v>
      </c>
      <c r="E629">
        <v>4</v>
      </c>
      <c r="F629">
        <v>3</v>
      </c>
      <c r="G629">
        <v>4.173</v>
      </c>
      <c r="H629">
        <v>2.2989999999999999</v>
      </c>
    </row>
    <row r="630" spans="1:8" x14ac:dyDescent="0.2">
      <c r="A630" s="25" t="str">
        <f t="shared" si="18"/>
        <v>01/04/2025</v>
      </c>
      <c r="B630" t="str">
        <f t="shared" si="19"/>
        <v>E</v>
      </c>
      <c r="C630">
        <v>629</v>
      </c>
      <c r="D630" t="s">
        <v>14</v>
      </c>
      <c r="E630">
        <v>4</v>
      </c>
      <c r="F630">
        <v>3</v>
      </c>
      <c r="G630">
        <v>3.6440000000000001</v>
      </c>
      <c r="H630">
        <v>2.0259999999999998</v>
      </c>
    </row>
    <row r="631" spans="1:8" x14ac:dyDescent="0.2">
      <c r="A631" s="25" t="str">
        <f t="shared" si="18"/>
        <v>01/04/2025</v>
      </c>
      <c r="B631" t="str">
        <f t="shared" si="19"/>
        <v>E</v>
      </c>
      <c r="C631">
        <v>630</v>
      </c>
      <c r="D631" t="s">
        <v>14</v>
      </c>
      <c r="E631">
        <v>4</v>
      </c>
      <c r="F631">
        <v>3</v>
      </c>
      <c r="G631">
        <v>3.5659999999999998</v>
      </c>
      <c r="H631">
        <v>2.3679999999999999</v>
      </c>
    </row>
    <row r="632" spans="1:8" x14ac:dyDescent="0.2">
      <c r="A632" s="25" t="str">
        <f t="shared" si="18"/>
        <v>26/04/2025</v>
      </c>
      <c r="B632" t="str">
        <f t="shared" si="19"/>
        <v>D</v>
      </c>
      <c r="C632">
        <v>631</v>
      </c>
      <c r="D632" t="s">
        <v>14</v>
      </c>
      <c r="E632">
        <v>5</v>
      </c>
      <c r="F632">
        <v>1</v>
      </c>
      <c r="G632">
        <v>3.7490000000000001</v>
      </c>
      <c r="H632">
        <v>2.69</v>
      </c>
    </row>
    <row r="633" spans="1:8" x14ac:dyDescent="0.2">
      <c r="A633" s="25" t="str">
        <f t="shared" si="18"/>
        <v>26/04/2025</v>
      </c>
      <c r="B633" t="str">
        <f t="shared" si="19"/>
        <v>D</v>
      </c>
      <c r="C633">
        <v>632</v>
      </c>
      <c r="D633" t="s">
        <v>14</v>
      </c>
      <c r="E633">
        <v>5</v>
      </c>
      <c r="F633">
        <v>1</v>
      </c>
      <c r="G633">
        <v>4.1660000000000004</v>
      </c>
      <c r="H633">
        <v>2.64</v>
      </c>
    </row>
    <row r="634" spans="1:8" x14ac:dyDescent="0.2">
      <c r="A634" s="25" t="str">
        <f t="shared" si="18"/>
        <v>26/04/2025</v>
      </c>
      <c r="B634" t="str">
        <f t="shared" si="19"/>
        <v>D</v>
      </c>
      <c r="C634">
        <v>633</v>
      </c>
      <c r="D634" t="s">
        <v>14</v>
      </c>
      <c r="E634">
        <v>5</v>
      </c>
      <c r="F634">
        <v>1</v>
      </c>
      <c r="G634">
        <v>4.6520000000000001</v>
      </c>
      <c r="H634">
        <v>2.41</v>
      </c>
    </row>
    <row r="635" spans="1:8" x14ac:dyDescent="0.2">
      <c r="A635" s="25" t="str">
        <f t="shared" si="18"/>
        <v>26/04/2025</v>
      </c>
      <c r="B635" t="str">
        <f t="shared" si="19"/>
        <v>D</v>
      </c>
      <c r="C635">
        <v>634</v>
      </c>
      <c r="D635" t="s">
        <v>14</v>
      </c>
      <c r="E635">
        <v>5</v>
      </c>
      <c r="F635">
        <v>2</v>
      </c>
      <c r="G635">
        <v>3.5649999999999999</v>
      </c>
      <c r="H635">
        <v>2.1160000000000001</v>
      </c>
    </row>
    <row r="636" spans="1:8" x14ac:dyDescent="0.2">
      <c r="A636" s="25" t="str">
        <f t="shared" si="18"/>
        <v>26/04/2025</v>
      </c>
      <c r="B636" t="str">
        <f t="shared" si="19"/>
        <v>D</v>
      </c>
      <c r="C636">
        <v>635</v>
      </c>
      <c r="D636" t="s">
        <v>14</v>
      </c>
      <c r="E636">
        <v>5</v>
      </c>
      <c r="F636">
        <v>2</v>
      </c>
      <c r="G636">
        <v>2.5529999999999999</v>
      </c>
      <c r="H636">
        <v>2.5939999999999999</v>
      </c>
    </row>
    <row r="637" spans="1:8" x14ac:dyDescent="0.2">
      <c r="A637" s="25" t="str">
        <f t="shared" si="18"/>
        <v>01/04/2025</v>
      </c>
      <c r="B637" t="str">
        <f t="shared" si="19"/>
        <v>E</v>
      </c>
      <c r="C637">
        <v>636</v>
      </c>
      <c r="D637" t="s">
        <v>14</v>
      </c>
      <c r="E637">
        <v>5</v>
      </c>
      <c r="F637">
        <v>3</v>
      </c>
      <c r="G637">
        <v>4.1539999999999999</v>
      </c>
      <c r="H637">
        <v>2.4670000000000001</v>
      </c>
    </row>
    <row r="638" spans="1:8" x14ac:dyDescent="0.2">
      <c r="A638" s="25" t="str">
        <f t="shared" si="18"/>
        <v>01/04/2025</v>
      </c>
      <c r="B638" t="str">
        <f t="shared" si="19"/>
        <v>E</v>
      </c>
      <c r="C638">
        <v>637</v>
      </c>
      <c r="D638" t="s">
        <v>14</v>
      </c>
      <c r="E638">
        <v>5</v>
      </c>
      <c r="F638">
        <v>3</v>
      </c>
      <c r="G638">
        <v>3.452</v>
      </c>
      <c r="H638">
        <v>2.4969999999999999</v>
      </c>
    </row>
    <row r="639" spans="1:8" x14ac:dyDescent="0.2">
      <c r="A639" s="25" t="str">
        <f t="shared" si="18"/>
        <v>01/04/2025</v>
      </c>
      <c r="B639" t="str">
        <f t="shared" si="19"/>
        <v>E</v>
      </c>
      <c r="C639">
        <v>638</v>
      </c>
      <c r="D639" t="s">
        <v>14</v>
      </c>
      <c r="E639">
        <v>5</v>
      </c>
      <c r="F639">
        <v>3</v>
      </c>
      <c r="G639">
        <v>3.948</v>
      </c>
      <c r="H639">
        <v>2.6480000000000001</v>
      </c>
    </row>
    <row r="640" spans="1:8" x14ac:dyDescent="0.2">
      <c r="A640" s="25" t="str">
        <f t="shared" si="18"/>
        <v>01/04/2025</v>
      </c>
      <c r="B640" t="str">
        <f t="shared" si="19"/>
        <v>E</v>
      </c>
      <c r="C640">
        <v>639</v>
      </c>
      <c r="D640" t="s">
        <v>14</v>
      </c>
      <c r="E640">
        <v>5</v>
      </c>
      <c r="F640">
        <v>3</v>
      </c>
      <c r="G640">
        <v>4.0830000000000002</v>
      </c>
      <c r="H640">
        <v>1.8360000000000001</v>
      </c>
    </row>
    <row r="641" spans="1:8" x14ac:dyDescent="0.2">
      <c r="A641" s="25" t="str">
        <f t="shared" si="18"/>
        <v>01/04/2025</v>
      </c>
      <c r="B641" t="str">
        <f t="shared" si="19"/>
        <v>E</v>
      </c>
      <c r="C641">
        <v>640</v>
      </c>
      <c r="D641" t="s">
        <v>14</v>
      </c>
      <c r="E641">
        <v>5</v>
      </c>
      <c r="F641">
        <v>3</v>
      </c>
      <c r="G641">
        <v>4.141</v>
      </c>
      <c r="H641">
        <v>2.351</v>
      </c>
    </row>
    <row r="642" spans="1:8" x14ac:dyDescent="0.2">
      <c r="A642" s="25" t="str">
        <f t="shared" si="18"/>
        <v>26/04/2025</v>
      </c>
      <c r="B642" t="str">
        <f t="shared" si="19"/>
        <v>D</v>
      </c>
      <c r="C642">
        <v>641</v>
      </c>
      <c r="D642" t="s">
        <v>14</v>
      </c>
      <c r="E642">
        <v>6</v>
      </c>
      <c r="F642">
        <v>2</v>
      </c>
      <c r="G642">
        <v>3.4089999999999998</v>
      </c>
      <c r="H642">
        <v>2.5190000000000001</v>
      </c>
    </row>
    <row r="643" spans="1:8" x14ac:dyDescent="0.2">
      <c r="A643" s="25" t="str">
        <f t="shared" ref="A643:A706" si="20">IF(F643&lt;3, "26/04/2025", "01/04/2025")</f>
        <v>26/04/2025</v>
      </c>
      <c r="B643" t="str">
        <f t="shared" ref="B643:B706" si="21">IF(F643&lt;3, "D", "E")</f>
        <v>D</v>
      </c>
      <c r="C643">
        <v>642</v>
      </c>
      <c r="D643" t="s">
        <v>14</v>
      </c>
      <c r="E643">
        <v>7</v>
      </c>
      <c r="F643">
        <v>1</v>
      </c>
      <c r="G643">
        <v>3.3730000000000002</v>
      </c>
      <c r="H643">
        <v>2.306</v>
      </c>
    </row>
    <row r="644" spans="1:8" x14ac:dyDescent="0.2">
      <c r="A644" s="25" t="str">
        <f t="shared" si="20"/>
        <v>26/04/2025</v>
      </c>
      <c r="B644" t="str">
        <f t="shared" si="21"/>
        <v>D</v>
      </c>
      <c r="C644">
        <v>643</v>
      </c>
      <c r="D644" t="s">
        <v>15</v>
      </c>
      <c r="E644">
        <v>1</v>
      </c>
      <c r="F644">
        <v>1</v>
      </c>
      <c r="G644">
        <v>2.9340000000000002</v>
      </c>
      <c r="H644">
        <v>2.0790000000000002</v>
      </c>
    </row>
    <row r="645" spans="1:8" x14ac:dyDescent="0.2">
      <c r="A645" s="25" t="str">
        <f t="shared" si="20"/>
        <v>26/04/2025</v>
      </c>
      <c r="B645" t="str">
        <f t="shared" si="21"/>
        <v>D</v>
      </c>
      <c r="C645">
        <v>644</v>
      </c>
      <c r="D645" t="s">
        <v>15</v>
      </c>
      <c r="E645">
        <v>1</v>
      </c>
      <c r="F645">
        <v>1</v>
      </c>
      <c r="G645">
        <v>2.9510000000000001</v>
      </c>
      <c r="H645">
        <v>2.0870000000000002</v>
      </c>
    </row>
    <row r="646" spans="1:8" x14ac:dyDescent="0.2">
      <c r="A646" s="25" t="str">
        <f t="shared" si="20"/>
        <v>26/04/2025</v>
      </c>
      <c r="B646" t="str">
        <f t="shared" si="21"/>
        <v>D</v>
      </c>
      <c r="C646">
        <v>645</v>
      </c>
      <c r="D646" t="s">
        <v>15</v>
      </c>
      <c r="E646">
        <v>1</v>
      </c>
      <c r="F646">
        <v>1</v>
      </c>
      <c r="G646">
        <v>2.8119999999999998</v>
      </c>
      <c r="H646">
        <v>2.343</v>
      </c>
    </row>
    <row r="647" spans="1:8" x14ac:dyDescent="0.2">
      <c r="A647" s="25" t="str">
        <f t="shared" si="20"/>
        <v>26/04/2025</v>
      </c>
      <c r="B647" t="str">
        <f t="shared" si="21"/>
        <v>D</v>
      </c>
      <c r="C647">
        <v>646</v>
      </c>
      <c r="D647" t="s">
        <v>15</v>
      </c>
      <c r="E647">
        <v>1</v>
      </c>
      <c r="F647">
        <v>1</v>
      </c>
      <c r="G647">
        <v>3.1459999999999999</v>
      </c>
      <c r="H647">
        <v>2.508</v>
      </c>
    </row>
    <row r="648" spans="1:8" x14ac:dyDescent="0.2">
      <c r="A648" s="25" t="str">
        <f t="shared" si="20"/>
        <v>26/04/2025</v>
      </c>
      <c r="B648" t="str">
        <f t="shared" si="21"/>
        <v>D</v>
      </c>
      <c r="C648">
        <v>647</v>
      </c>
      <c r="D648" t="s">
        <v>15</v>
      </c>
      <c r="E648">
        <v>1</v>
      </c>
      <c r="F648">
        <v>1</v>
      </c>
      <c r="G648">
        <v>3.5529999999999999</v>
      </c>
      <c r="H648">
        <v>2.5499999999999998</v>
      </c>
    </row>
    <row r="649" spans="1:8" x14ac:dyDescent="0.2">
      <c r="A649" s="25" t="str">
        <f t="shared" si="20"/>
        <v>26/04/2025</v>
      </c>
      <c r="B649" t="str">
        <f t="shared" si="21"/>
        <v>D</v>
      </c>
      <c r="C649">
        <v>648</v>
      </c>
      <c r="D649" t="s">
        <v>15</v>
      </c>
      <c r="E649">
        <v>1</v>
      </c>
      <c r="F649">
        <v>1</v>
      </c>
      <c r="G649">
        <v>3.1019999999999999</v>
      </c>
      <c r="H649">
        <v>2.2789999999999999</v>
      </c>
    </row>
    <row r="650" spans="1:8" x14ac:dyDescent="0.2">
      <c r="A650" s="25" t="str">
        <f t="shared" si="20"/>
        <v>26/04/2025</v>
      </c>
      <c r="B650" t="str">
        <f t="shared" si="21"/>
        <v>D</v>
      </c>
      <c r="C650">
        <v>649</v>
      </c>
      <c r="D650" t="s">
        <v>15</v>
      </c>
      <c r="E650">
        <v>1</v>
      </c>
      <c r="F650">
        <v>1</v>
      </c>
      <c r="G650">
        <v>2.97</v>
      </c>
      <c r="H650">
        <v>2.4940000000000002</v>
      </c>
    </row>
    <row r="651" spans="1:8" x14ac:dyDescent="0.2">
      <c r="A651" s="25" t="str">
        <f t="shared" si="20"/>
        <v>26/04/2025</v>
      </c>
      <c r="B651" t="str">
        <f t="shared" si="21"/>
        <v>D</v>
      </c>
      <c r="C651">
        <v>650</v>
      </c>
      <c r="D651" t="s">
        <v>15</v>
      </c>
      <c r="E651">
        <v>1</v>
      </c>
      <c r="F651">
        <v>1</v>
      </c>
      <c r="G651">
        <v>3.5550000000000002</v>
      </c>
      <c r="H651">
        <v>2.8719999999999999</v>
      </c>
    </row>
    <row r="652" spans="1:8" x14ac:dyDescent="0.2">
      <c r="A652" s="25" t="str">
        <f t="shared" si="20"/>
        <v>26/04/2025</v>
      </c>
      <c r="B652" t="str">
        <f t="shared" si="21"/>
        <v>D</v>
      </c>
      <c r="C652">
        <v>651</v>
      </c>
      <c r="D652" t="s">
        <v>15</v>
      </c>
      <c r="E652">
        <v>1</v>
      </c>
      <c r="F652">
        <v>1</v>
      </c>
      <c r="G652">
        <v>3.113</v>
      </c>
      <c r="H652">
        <v>2.19</v>
      </c>
    </row>
    <row r="653" spans="1:8" x14ac:dyDescent="0.2">
      <c r="A653" s="25" t="str">
        <f t="shared" si="20"/>
        <v>26/04/2025</v>
      </c>
      <c r="B653" t="str">
        <f t="shared" si="21"/>
        <v>D</v>
      </c>
      <c r="C653">
        <v>652</v>
      </c>
      <c r="D653" t="s">
        <v>15</v>
      </c>
      <c r="E653">
        <v>1</v>
      </c>
      <c r="F653">
        <v>1</v>
      </c>
      <c r="G653">
        <v>3.2789999999999999</v>
      </c>
      <c r="H653">
        <v>2.3199999999999998</v>
      </c>
    </row>
    <row r="654" spans="1:8" x14ac:dyDescent="0.2">
      <c r="A654" s="25" t="str">
        <f t="shared" si="20"/>
        <v>26/04/2025</v>
      </c>
      <c r="B654" t="str">
        <f t="shared" si="21"/>
        <v>D</v>
      </c>
      <c r="C654">
        <v>653</v>
      </c>
      <c r="D654" t="s">
        <v>15</v>
      </c>
      <c r="E654">
        <v>1</v>
      </c>
      <c r="F654">
        <v>1</v>
      </c>
      <c r="G654">
        <v>3.1219999999999999</v>
      </c>
      <c r="H654">
        <v>2.1819999999999999</v>
      </c>
    </row>
    <row r="655" spans="1:8" x14ac:dyDescent="0.2">
      <c r="A655" s="25" t="str">
        <f t="shared" si="20"/>
        <v>26/04/2025</v>
      </c>
      <c r="B655" t="str">
        <f t="shared" si="21"/>
        <v>D</v>
      </c>
      <c r="C655">
        <v>654</v>
      </c>
      <c r="D655" t="s">
        <v>15</v>
      </c>
      <c r="E655">
        <v>1</v>
      </c>
      <c r="F655">
        <v>1</v>
      </c>
      <c r="G655">
        <v>2.7519999999999998</v>
      </c>
      <c r="H655">
        <v>2.532</v>
      </c>
    </row>
    <row r="656" spans="1:8" x14ac:dyDescent="0.2">
      <c r="A656" s="25" t="str">
        <f t="shared" si="20"/>
        <v>26/04/2025</v>
      </c>
      <c r="B656" t="str">
        <f t="shared" si="21"/>
        <v>D</v>
      </c>
      <c r="C656">
        <v>655</v>
      </c>
      <c r="D656" t="s">
        <v>15</v>
      </c>
      <c r="E656">
        <v>1</v>
      </c>
      <c r="F656">
        <v>1</v>
      </c>
      <c r="G656">
        <v>3.0169999999999999</v>
      </c>
      <c r="H656">
        <v>2.4249999999999998</v>
      </c>
    </row>
    <row r="657" spans="1:8" x14ac:dyDescent="0.2">
      <c r="A657" s="25" t="str">
        <f t="shared" si="20"/>
        <v>26/04/2025</v>
      </c>
      <c r="B657" t="str">
        <f t="shared" si="21"/>
        <v>D</v>
      </c>
      <c r="C657">
        <v>656</v>
      </c>
      <c r="D657" t="s">
        <v>15</v>
      </c>
      <c r="E657">
        <v>1</v>
      </c>
      <c r="F657">
        <v>1</v>
      </c>
      <c r="G657">
        <v>2.9209999999999998</v>
      </c>
      <c r="H657">
        <v>2.2869999999999999</v>
      </c>
    </row>
    <row r="658" spans="1:8" x14ac:dyDescent="0.2">
      <c r="A658" s="25" t="str">
        <f t="shared" si="20"/>
        <v>26/04/2025</v>
      </c>
      <c r="B658" t="str">
        <f t="shared" si="21"/>
        <v>D</v>
      </c>
      <c r="C658">
        <v>657</v>
      </c>
      <c r="D658" t="s">
        <v>15</v>
      </c>
      <c r="E658">
        <v>1</v>
      </c>
      <c r="F658">
        <v>1</v>
      </c>
      <c r="G658">
        <v>3.4089999999999998</v>
      </c>
      <c r="H658">
        <v>2.5350000000000001</v>
      </c>
    </row>
    <row r="659" spans="1:8" x14ac:dyDescent="0.2">
      <c r="A659" s="25" t="str">
        <f t="shared" si="20"/>
        <v>26/04/2025</v>
      </c>
      <c r="B659" t="str">
        <f t="shared" si="21"/>
        <v>D</v>
      </c>
      <c r="C659">
        <v>658</v>
      </c>
      <c r="D659" t="s">
        <v>15</v>
      </c>
      <c r="E659">
        <v>1</v>
      </c>
      <c r="F659">
        <v>1</v>
      </c>
      <c r="G659">
        <v>3.528</v>
      </c>
      <c r="H659">
        <v>2.4620000000000002</v>
      </c>
    </row>
    <row r="660" spans="1:8" x14ac:dyDescent="0.2">
      <c r="A660" s="25" t="str">
        <f t="shared" si="20"/>
        <v>26/04/2025</v>
      </c>
      <c r="B660" t="str">
        <f t="shared" si="21"/>
        <v>D</v>
      </c>
      <c r="C660">
        <v>659</v>
      </c>
      <c r="D660" t="s">
        <v>15</v>
      </c>
      <c r="E660">
        <v>1</v>
      </c>
      <c r="F660">
        <v>1</v>
      </c>
      <c r="G660">
        <v>3.359</v>
      </c>
      <c r="H660">
        <v>2.5099999999999998</v>
      </c>
    </row>
    <row r="661" spans="1:8" x14ac:dyDescent="0.2">
      <c r="A661" s="25" t="str">
        <f t="shared" si="20"/>
        <v>26/04/2025</v>
      </c>
      <c r="B661" t="str">
        <f t="shared" si="21"/>
        <v>D</v>
      </c>
      <c r="C661">
        <v>660</v>
      </c>
      <c r="D661" t="s">
        <v>15</v>
      </c>
      <c r="E661">
        <v>1</v>
      </c>
      <c r="F661">
        <v>2</v>
      </c>
      <c r="G661">
        <v>3.23</v>
      </c>
      <c r="H661">
        <v>2.508</v>
      </c>
    </row>
    <row r="662" spans="1:8" x14ac:dyDescent="0.2">
      <c r="A662" s="25" t="str">
        <f t="shared" si="20"/>
        <v>26/04/2025</v>
      </c>
      <c r="B662" t="str">
        <f t="shared" si="21"/>
        <v>D</v>
      </c>
      <c r="C662">
        <v>661</v>
      </c>
      <c r="D662" t="s">
        <v>15</v>
      </c>
      <c r="E662">
        <v>1</v>
      </c>
      <c r="F662">
        <v>2</v>
      </c>
      <c r="G662">
        <v>3.3140000000000001</v>
      </c>
      <c r="H662">
        <v>2.7559999999999998</v>
      </c>
    </row>
    <row r="663" spans="1:8" x14ac:dyDescent="0.2">
      <c r="A663" s="25" t="str">
        <f t="shared" si="20"/>
        <v>26/04/2025</v>
      </c>
      <c r="B663" t="str">
        <f t="shared" si="21"/>
        <v>D</v>
      </c>
      <c r="C663">
        <v>662</v>
      </c>
      <c r="D663" t="s">
        <v>15</v>
      </c>
      <c r="E663">
        <v>1</v>
      </c>
      <c r="F663">
        <v>2</v>
      </c>
      <c r="G663">
        <v>3.6789999999999998</v>
      </c>
      <c r="H663">
        <v>2.516</v>
      </c>
    </row>
    <row r="664" spans="1:8" x14ac:dyDescent="0.2">
      <c r="A664" s="25" t="str">
        <f t="shared" si="20"/>
        <v>26/04/2025</v>
      </c>
      <c r="B664" t="str">
        <f t="shared" si="21"/>
        <v>D</v>
      </c>
      <c r="C664">
        <v>663</v>
      </c>
      <c r="D664" t="s">
        <v>15</v>
      </c>
      <c r="E664">
        <v>1</v>
      </c>
      <c r="F664">
        <v>2</v>
      </c>
      <c r="G664">
        <v>3.8450000000000002</v>
      </c>
      <c r="H664">
        <v>2.5209999999999999</v>
      </c>
    </row>
    <row r="665" spans="1:8" x14ac:dyDescent="0.2">
      <c r="A665" s="25" t="str">
        <f t="shared" si="20"/>
        <v>26/04/2025</v>
      </c>
      <c r="B665" t="str">
        <f t="shared" si="21"/>
        <v>D</v>
      </c>
      <c r="C665">
        <v>664</v>
      </c>
      <c r="D665" t="s">
        <v>15</v>
      </c>
      <c r="E665">
        <v>1</v>
      </c>
      <c r="F665">
        <v>2</v>
      </c>
      <c r="G665">
        <v>3.42</v>
      </c>
      <c r="H665">
        <v>2.3889999999999998</v>
      </c>
    </row>
    <row r="666" spans="1:8" x14ac:dyDescent="0.2">
      <c r="A666" s="25" t="str">
        <f t="shared" si="20"/>
        <v>26/04/2025</v>
      </c>
      <c r="B666" t="str">
        <f t="shared" si="21"/>
        <v>D</v>
      </c>
      <c r="C666">
        <v>665</v>
      </c>
      <c r="D666" t="s">
        <v>15</v>
      </c>
      <c r="E666">
        <v>1</v>
      </c>
      <c r="F666">
        <v>2</v>
      </c>
      <c r="G666">
        <v>3.4470000000000001</v>
      </c>
      <c r="H666">
        <v>2.6629999999999998</v>
      </c>
    </row>
    <row r="667" spans="1:8" x14ac:dyDescent="0.2">
      <c r="A667" s="25" t="str">
        <f t="shared" si="20"/>
        <v>26/04/2025</v>
      </c>
      <c r="B667" t="str">
        <f t="shared" si="21"/>
        <v>D</v>
      </c>
      <c r="C667">
        <v>666</v>
      </c>
      <c r="D667" t="s">
        <v>15</v>
      </c>
      <c r="E667">
        <v>1</v>
      </c>
      <c r="F667">
        <v>2</v>
      </c>
      <c r="G667">
        <v>3.8279999999999998</v>
      </c>
      <c r="H667">
        <v>2.5510000000000002</v>
      </c>
    </row>
    <row r="668" spans="1:8" x14ac:dyDescent="0.2">
      <c r="A668" s="25" t="str">
        <f t="shared" si="20"/>
        <v>26/04/2025</v>
      </c>
      <c r="B668" t="str">
        <f t="shared" si="21"/>
        <v>D</v>
      </c>
      <c r="C668">
        <v>667</v>
      </c>
      <c r="D668" t="s">
        <v>15</v>
      </c>
      <c r="E668">
        <v>1</v>
      </c>
      <c r="F668">
        <v>2</v>
      </c>
      <c r="G668">
        <v>3.7410000000000001</v>
      </c>
      <c r="H668">
        <v>2.1190000000000002</v>
      </c>
    </row>
    <row r="669" spans="1:8" x14ac:dyDescent="0.2">
      <c r="A669" s="25" t="str">
        <f t="shared" si="20"/>
        <v>26/04/2025</v>
      </c>
      <c r="B669" t="str">
        <f t="shared" si="21"/>
        <v>D</v>
      </c>
      <c r="C669">
        <v>668</v>
      </c>
      <c r="D669" t="s">
        <v>15</v>
      </c>
      <c r="E669">
        <v>1</v>
      </c>
      <c r="F669">
        <v>2</v>
      </c>
      <c r="G669">
        <v>2.5499999999999998</v>
      </c>
      <c r="H669">
        <v>3.2850000000000001</v>
      </c>
    </row>
    <row r="670" spans="1:8" x14ac:dyDescent="0.2">
      <c r="A670" s="25" t="str">
        <f t="shared" si="20"/>
        <v>26/04/2025</v>
      </c>
      <c r="B670" t="str">
        <f t="shared" si="21"/>
        <v>D</v>
      </c>
      <c r="C670">
        <v>669</v>
      </c>
      <c r="D670" t="s">
        <v>15</v>
      </c>
      <c r="E670">
        <v>1</v>
      </c>
      <c r="F670">
        <v>2</v>
      </c>
      <c r="G670">
        <v>3.548</v>
      </c>
      <c r="H670">
        <v>2.468</v>
      </c>
    </row>
    <row r="671" spans="1:8" x14ac:dyDescent="0.2">
      <c r="A671" s="25" t="str">
        <f t="shared" si="20"/>
        <v>26/04/2025</v>
      </c>
      <c r="B671" t="str">
        <f t="shared" si="21"/>
        <v>D</v>
      </c>
      <c r="C671">
        <v>670</v>
      </c>
      <c r="D671" t="s">
        <v>15</v>
      </c>
      <c r="E671">
        <v>1</v>
      </c>
      <c r="F671">
        <v>2</v>
      </c>
      <c r="G671">
        <v>3.32</v>
      </c>
      <c r="H671">
        <v>2.4220000000000002</v>
      </c>
    </row>
    <row r="672" spans="1:8" x14ac:dyDescent="0.2">
      <c r="A672" s="25" t="str">
        <f t="shared" si="20"/>
        <v>26/04/2025</v>
      </c>
      <c r="B672" t="str">
        <f t="shared" si="21"/>
        <v>D</v>
      </c>
      <c r="C672">
        <v>671</v>
      </c>
      <c r="D672" t="s">
        <v>15</v>
      </c>
      <c r="E672">
        <v>1</v>
      </c>
      <c r="F672">
        <v>2</v>
      </c>
      <c r="G672">
        <v>3.6030000000000002</v>
      </c>
      <c r="H672">
        <v>2.5209999999999999</v>
      </c>
    </row>
    <row r="673" spans="1:8" x14ac:dyDescent="0.2">
      <c r="A673" s="25" t="str">
        <f t="shared" si="20"/>
        <v>26/04/2025</v>
      </c>
      <c r="B673" t="str">
        <f t="shared" si="21"/>
        <v>D</v>
      </c>
      <c r="C673">
        <v>672</v>
      </c>
      <c r="D673" t="s">
        <v>15</v>
      </c>
      <c r="E673">
        <v>1</v>
      </c>
      <c r="F673">
        <v>2</v>
      </c>
      <c r="G673">
        <v>2.7240000000000002</v>
      </c>
      <c r="H673">
        <v>2.4790000000000001</v>
      </c>
    </row>
    <row r="674" spans="1:8" x14ac:dyDescent="0.2">
      <c r="A674" s="25" t="str">
        <f t="shared" si="20"/>
        <v>26/04/2025</v>
      </c>
      <c r="B674" t="str">
        <f t="shared" si="21"/>
        <v>D</v>
      </c>
      <c r="C674">
        <v>673</v>
      </c>
      <c r="D674" t="s">
        <v>15</v>
      </c>
      <c r="E674">
        <v>1</v>
      </c>
      <c r="F674">
        <v>2</v>
      </c>
      <c r="G674">
        <v>3.5350000000000001</v>
      </c>
      <c r="H674">
        <v>2.7869999999999999</v>
      </c>
    </row>
    <row r="675" spans="1:8" x14ac:dyDescent="0.2">
      <c r="A675" s="25" t="str">
        <f t="shared" si="20"/>
        <v>26/04/2025</v>
      </c>
      <c r="B675" t="str">
        <f t="shared" si="21"/>
        <v>D</v>
      </c>
      <c r="C675">
        <v>674</v>
      </c>
      <c r="D675" t="s">
        <v>15</v>
      </c>
      <c r="E675">
        <v>1</v>
      </c>
      <c r="F675">
        <v>2</v>
      </c>
      <c r="G675">
        <v>3.7480000000000002</v>
      </c>
      <c r="H675">
        <v>2.6040000000000001</v>
      </c>
    </row>
    <row r="676" spans="1:8" x14ac:dyDescent="0.2">
      <c r="A676" s="25" t="str">
        <f t="shared" si="20"/>
        <v>26/04/2025</v>
      </c>
      <c r="B676" t="str">
        <f t="shared" si="21"/>
        <v>D</v>
      </c>
      <c r="C676">
        <v>675</v>
      </c>
      <c r="D676" t="s">
        <v>15</v>
      </c>
      <c r="E676">
        <v>1</v>
      </c>
      <c r="F676">
        <v>2</v>
      </c>
      <c r="G676">
        <v>2.9889999999999999</v>
      </c>
      <c r="H676">
        <v>2.5409999999999999</v>
      </c>
    </row>
    <row r="677" spans="1:8" x14ac:dyDescent="0.2">
      <c r="A677" s="25" t="str">
        <f t="shared" si="20"/>
        <v>26/04/2025</v>
      </c>
      <c r="B677" t="str">
        <f t="shared" si="21"/>
        <v>D</v>
      </c>
      <c r="C677">
        <v>676</v>
      </c>
      <c r="D677" t="s">
        <v>15</v>
      </c>
      <c r="E677">
        <v>1</v>
      </c>
      <c r="F677">
        <v>2</v>
      </c>
      <c r="G677">
        <v>3.085</v>
      </c>
      <c r="H677">
        <v>2.6720000000000002</v>
      </c>
    </row>
    <row r="678" spans="1:8" x14ac:dyDescent="0.2">
      <c r="A678" s="25" t="str">
        <f t="shared" si="20"/>
        <v>26/04/2025</v>
      </c>
      <c r="B678" t="str">
        <f t="shared" si="21"/>
        <v>D</v>
      </c>
      <c r="C678">
        <v>677</v>
      </c>
      <c r="D678" t="s">
        <v>15</v>
      </c>
      <c r="E678">
        <v>1</v>
      </c>
      <c r="F678">
        <v>2</v>
      </c>
      <c r="G678">
        <v>2.681</v>
      </c>
      <c r="H678">
        <v>2.1890000000000001</v>
      </c>
    </row>
    <row r="679" spans="1:8" x14ac:dyDescent="0.2">
      <c r="A679" s="25" t="str">
        <f t="shared" si="20"/>
        <v>26/04/2025</v>
      </c>
      <c r="B679" t="str">
        <f t="shared" si="21"/>
        <v>D</v>
      </c>
      <c r="C679">
        <v>678</v>
      </c>
      <c r="D679" t="s">
        <v>15</v>
      </c>
      <c r="E679">
        <v>1</v>
      </c>
      <c r="F679">
        <v>2</v>
      </c>
      <c r="G679">
        <v>3.9380000000000002</v>
      </c>
      <c r="H679">
        <v>2.2469999999999999</v>
      </c>
    </row>
    <row r="680" spans="1:8" x14ac:dyDescent="0.2">
      <c r="A680" s="25" t="str">
        <f t="shared" si="20"/>
        <v>01/04/2025</v>
      </c>
      <c r="B680" t="str">
        <f t="shared" si="21"/>
        <v>E</v>
      </c>
      <c r="C680">
        <v>679</v>
      </c>
      <c r="D680" t="s">
        <v>15</v>
      </c>
      <c r="E680">
        <v>1</v>
      </c>
      <c r="F680">
        <v>3</v>
      </c>
      <c r="G680">
        <v>3.0179999999999998</v>
      </c>
      <c r="H680">
        <v>2.3679999999999999</v>
      </c>
    </row>
    <row r="681" spans="1:8" x14ac:dyDescent="0.2">
      <c r="A681" s="25" t="str">
        <f t="shared" si="20"/>
        <v>01/04/2025</v>
      </c>
      <c r="B681" t="str">
        <f t="shared" si="21"/>
        <v>E</v>
      </c>
      <c r="C681">
        <v>680</v>
      </c>
      <c r="D681" t="s">
        <v>15</v>
      </c>
      <c r="E681">
        <v>1</v>
      </c>
      <c r="F681">
        <v>3</v>
      </c>
      <c r="G681">
        <v>3.3210000000000002</v>
      </c>
      <c r="H681">
        <v>2.4950000000000001</v>
      </c>
    </row>
    <row r="682" spans="1:8" x14ac:dyDescent="0.2">
      <c r="A682" s="25" t="str">
        <f t="shared" si="20"/>
        <v>01/04/2025</v>
      </c>
      <c r="B682" t="str">
        <f t="shared" si="21"/>
        <v>E</v>
      </c>
      <c r="C682">
        <v>681</v>
      </c>
      <c r="D682" t="s">
        <v>15</v>
      </c>
      <c r="E682">
        <v>1</v>
      </c>
      <c r="F682">
        <v>3</v>
      </c>
      <c r="G682">
        <v>3.3260000000000001</v>
      </c>
      <c r="H682">
        <v>2.4900000000000002</v>
      </c>
    </row>
    <row r="683" spans="1:8" x14ac:dyDescent="0.2">
      <c r="A683" s="25" t="str">
        <f t="shared" si="20"/>
        <v>01/04/2025</v>
      </c>
      <c r="B683" t="str">
        <f t="shared" si="21"/>
        <v>E</v>
      </c>
      <c r="C683">
        <v>682</v>
      </c>
      <c r="D683" t="s">
        <v>15</v>
      </c>
      <c r="E683">
        <v>1</v>
      </c>
      <c r="F683">
        <v>3</v>
      </c>
      <c r="G683">
        <v>3.4430000000000001</v>
      </c>
      <c r="H683">
        <v>2.2879999999999998</v>
      </c>
    </row>
    <row r="684" spans="1:8" x14ac:dyDescent="0.2">
      <c r="A684" s="25" t="str">
        <f t="shared" si="20"/>
        <v>01/04/2025</v>
      </c>
      <c r="B684" t="str">
        <f t="shared" si="21"/>
        <v>E</v>
      </c>
      <c r="C684">
        <v>683</v>
      </c>
      <c r="D684" t="s">
        <v>15</v>
      </c>
      <c r="E684">
        <v>1</v>
      </c>
      <c r="F684">
        <v>3</v>
      </c>
      <c r="G684">
        <v>3.649</v>
      </c>
      <c r="H684">
        <v>2.4300000000000002</v>
      </c>
    </row>
    <row r="685" spans="1:8" x14ac:dyDescent="0.2">
      <c r="A685" s="25" t="str">
        <f t="shared" si="20"/>
        <v>01/04/2025</v>
      </c>
      <c r="B685" t="str">
        <f t="shared" si="21"/>
        <v>E</v>
      </c>
      <c r="C685">
        <v>684</v>
      </c>
      <c r="D685" t="s">
        <v>15</v>
      </c>
      <c r="E685">
        <v>1</v>
      </c>
      <c r="F685">
        <v>3</v>
      </c>
      <c r="G685">
        <v>3.1909999999999998</v>
      </c>
      <c r="H685">
        <v>2.4580000000000002</v>
      </c>
    </row>
    <row r="686" spans="1:8" x14ac:dyDescent="0.2">
      <c r="A686" s="25" t="str">
        <f t="shared" si="20"/>
        <v>01/04/2025</v>
      </c>
      <c r="B686" t="str">
        <f t="shared" si="21"/>
        <v>E</v>
      </c>
      <c r="C686">
        <v>685</v>
      </c>
      <c r="D686" t="s">
        <v>15</v>
      </c>
      <c r="E686">
        <v>1</v>
      </c>
      <c r="F686">
        <v>3</v>
      </c>
      <c r="G686">
        <v>3.1850000000000001</v>
      </c>
      <c r="H686">
        <v>2.2770000000000001</v>
      </c>
    </row>
    <row r="687" spans="1:8" x14ac:dyDescent="0.2">
      <c r="A687" s="25" t="str">
        <f t="shared" si="20"/>
        <v>01/04/2025</v>
      </c>
      <c r="B687" t="str">
        <f t="shared" si="21"/>
        <v>E</v>
      </c>
      <c r="C687">
        <v>686</v>
      </c>
      <c r="D687" t="s">
        <v>15</v>
      </c>
      <c r="E687">
        <v>1</v>
      </c>
      <c r="F687">
        <v>3</v>
      </c>
      <c r="G687">
        <v>3.31</v>
      </c>
      <c r="H687">
        <v>2.1720000000000002</v>
      </c>
    </row>
    <row r="688" spans="1:8" x14ac:dyDescent="0.2">
      <c r="A688" s="25" t="str">
        <f t="shared" si="20"/>
        <v>01/04/2025</v>
      </c>
      <c r="B688" t="str">
        <f t="shared" si="21"/>
        <v>E</v>
      </c>
      <c r="C688">
        <v>687</v>
      </c>
      <c r="D688" t="s">
        <v>15</v>
      </c>
      <c r="E688">
        <v>1</v>
      </c>
      <c r="F688">
        <v>3</v>
      </c>
      <c r="G688">
        <v>3.0880000000000001</v>
      </c>
      <c r="H688">
        <v>2.4470000000000001</v>
      </c>
    </row>
    <row r="689" spans="1:8" x14ac:dyDescent="0.2">
      <c r="A689" s="25" t="str">
        <f t="shared" si="20"/>
        <v>01/04/2025</v>
      </c>
      <c r="B689" t="str">
        <f t="shared" si="21"/>
        <v>E</v>
      </c>
      <c r="C689">
        <v>688</v>
      </c>
      <c r="D689" t="s">
        <v>15</v>
      </c>
      <c r="E689">
        <v>1</v>
      </c>
      <c r="F689">
        <v>3</v>
      </c>
      <c r="G689">
        <v>3.25</v>
      </c>
      <c r="H689">
        <v>2.2349999999999999</v>
      </c>
    </row>
    <row r="690" spans="1:8" x14ac:dyDescent="0.2">
      <c r="A690" s="25" t="str">
        <f t="shared" si="20"/>
        <v>01/04/2025</v>
      </c>
      <c r="B690" t="str">
        <f t="shared" si="21"/>
        <v>E</v>
      </c>
      <c r="C690">
        <v>689</v>
      </c>
      <c r="D690" t="s">
        <v>15</v>
      </c>
      <c r="E690">
        <v>1</v>
      </c>
      <c r="F690">
        <v>3</v>
      </c>
      <c r="G690">
        <v>3.2949999999999999</v>
      </c>
      <c r="H690">
        <v>2.3660000000000001</v>
      </c>
    </row>
    <row r="691" spans="1:8" x14ac:dyDescent="0.2">
      <c r="A691" s="25" t="str">
        <f t="shared" si="20"/>
        <v>01/04/2025</v>
      </c>
      <c r="B691" t="str">
        <f t="shared" si="21"/>
        <v>E</v>
      </c>
      <c r="C691">
        <v>690</v>
      </c>
      <c r="D691" t="s">
        <v>15</v>
      </c>
      <c r="E691">
        <v>1</v>
      </c>
      <c r="F691">
        <v>3</v>
      </c>
      <c r="G691">
        <v>3.2970000000000002</v>
      </c>
      <c r="H691">
        <v>2.2970000000000002</v>
      </c>
    </row>
    <row r="692" spans="1:8" x14ac:dyDescent="0.2">
      <c r="A692" s="25" t="str">
        <f t="shared" si="20"/>
        <v>01/04/2025</v>
      </c>
      <c r="B692" t="str">
        <f t="shared" si="21"/>
        <v>E</v>
      </c>
      <c r="C692">
        <v>691</v>
      </c>
      <c r="D692" t="s">
        <v>15</v>
      </c>
      <c r="E692">
        <v>1</v>
      </c>
      <c r="F692">
        <v>3</v>
      </c>
      <c r="G692">
        <v>2.8769999999999998</v>
      </c>
      <c r="H692">
        <v>2.3199999999999998</v>
      </c>
    </row>
    <row r="693" spans="1:8" x14ac:dyDescent="0.2">
      <c r="A693" s="25" t="str">
        <f t="shared" si="20"/>
        <v>01/04/2025</v>
      </c>
      <c r="B693" t="str">
        <f t="shared" si="21"/>
        <v>E</v>
      </c>
      <c r="C693">
        <v>692</v>
      </c>
      <c r="D693" t="s">
        <v>15</v>
      </c>
      <c r="E693">
        <v>1</v>
      </c>
      <c r="F693">
        <v>3</v>
      </c>
      <c r="G693">
        <v>3.371</v>
      </c>
      <c r="H693">
        <v>2.2389999999999999</v>
      </c>
    </row>
    <row r="694" spans="1:8" x14ac:dyDescent="0.2">
      <c r="A694" s="25" t="str">
        <f t="shared" si="20"/>
        <v>01/04/2025</v>
      </c>
      <c r="B694" t="str">
        <f t="shared" si="21"/>
        <v>E</v>
      </c>
      <c r="C694">
        <v>693</v>
      </c>
      <c r="D694" t="s">
        <v>15</v>
      </c>
      <c r="E694">
        <v>1</v>
      </c>
      <c r="F694">
        <v>3</v>
      </c>
      <c r="G694">
        <v>3.43</v>
      </c>
      <c r="H694">
        <v>2.37</v>
      </c>
    </row>
    <row r="695" spans="1:8" x14ac:dyDescent="0.2">
      <c r="A695" s="25" t="str">
        <f t="shared" si="20"/>
        <v>01/04/2025</v>
      </c>
      <c r="B695" t="str">
        <f t="shared" si="21"/>
        <v>E</v>
      </c>
      <c r="C695">
        <v>694</v>
      </c>
      <c r="D695" t="s">
        <v>15</v>
      </c>
      <c r="E695">
        <v>1</v>
      </c>
      <c r="F695">
        <v>3</v>
      </c>
      <c r="G695">
        <v>3.2559999999999998</v>
      </c>
      <c r="H695">
        <v>2.4860000000000002</v>
      </c>
    </row>
    <row r="696" spans="1:8" x14ac:dyDescent="0.2">
      <c r="A696" s="25" t="str">
        <f t="shared" si="20"/>
        <v>01/04/2025</v>
      </c>
      <c r="B696" t="str">
        <f t="shared" si="21"/>
        <v>E</v>
      </c>
      <c r="C696">
        <v>695</v>
      </c>
      <c r="D696" t="s">
        <v>15</v>
      </c>
      <c r="E696">
        <v>1</v>
      </c>
      <c r="F696">
        <v>3</v>
      </c>
      <c r="G696">
        <v>3.0670000000000002</v>
      </c>
      <c r="H696">
        <v>2.2850000000000001</v>
      </c>
    </row>
    <row r="697" spans="1:8" x14ac:dyDescent="0.2">
      <c r="A697" s="25" t="str">
        <f t="shared" si="20"/>
        <v>01/04/2025</v>
      </c>
      <c r="B697" t="str">
        <f t="shared" si="21"/>
        <v>E</v>
      </c>
      <c r="C697">
        <v>696</v>
      </c>
      <c r="D697" t="s">
        <v>15</v>
      </c>
      <c r="E697">
        <v>1</v>
      </c>
      <c r="F697">
        <v>3</v>
      </c>
      <c r="G697">
        <v>3.036</v>
      </c>
      <c r="H697">
        <v>2.403</v>
      </c>
    </row>
    <row r="698" spans="1:8" x14ac:dyDescent="0.2">
      <c r="A698" s="25" t="str">
        <f t="shared" si="20"/>
        <v>01/04/2025</v>
      </c>
      <c r="B698" t="str">
        <f t="shared" si="21"/>
        <v>E</v>
      </c>
      <c r="C698">
        <v>697</v>
      </c>
      <c r="D698" t="s">
        <v>15</v>
      </c>
      <c r="E698">
        <v>1</v>
      </c>
      <c r="F698">
        <v>3</v>
      </c>
      <c r="G698">
        <v>3.2210000000000001</v>
      </c>
      <c r="H698">
        <v>2.37</v>
      </c>
    </row>
    <row r="699" spans="1:8" x14ac:dyDescent="0.2">
      <c r="A699" s="25" t="str">
        <f t="shared" si="20"/>
        <v>01/04/2025</v>
      </c>
      <c r="B699" t="str">
        <f t="shared" si="21"/>
        <v>E</v>
      </c>
      <c r="C699">
        <v>698</v>
      </c>
      <c r="D699" t="s">
        <v>15</v>
      </c>
      <c r="E699">
        <v>1</v>
      </c>
      <c r="F699">
        <v>3</v>
      </c>
      <c r="G699">
        <v>2.9790000000000001</v>
      </c>
      <c r="H699">
        <v>2.3479999999999999</v>
      </c>
    </row>
    <row r="700" spans="1:8" x14ac:dyDescent="0.2">
      <c r="A700" s="25" t="str">
        <f t="shared" si="20"/>
        <v>01/04/2025</v>
      </c>
      <c r="B700" t="str">
        <f t="shared" si="21"/>
        <v>E</v>
      </c>
      <c r="C700">
        <v>699</v>
      </c>
      <c r="D700" t="s">
        <v>15</v>
      </c>
      <c r="E700">
        <v>1</v>
      </c>
      <c r="F700">
        <v>3</v>
      </c>
      <c r="G700">
        <v>3.3250000000000002</v>
      </c>
      <c r="H700">
        <v>2.3210000000000002</v>
      </c>
    </row>
    <row r="701" spans="1:8" x14ac:dyDescent="0.2">
      <c r="A701" s="25" t="str">
        <f t="shared" si="20"/>
        <v>26/04/2025</v>
      </c>
      <c r="B701" t="str">
        <f t="shared" si="21"/>
        <v>D</v>
      </c>
      <c r="C701">
        <v>700</v>
      </c>
      <c r="D701" t="s">
        <v>15</v>
      </c>
      <c r="E701">
        <v>2</v>
      </c>
      <c r="F701">
        <v>1</v>
      </c>
      <c r="G701">
        <v>3.07</v>
      </c>
      <c r="H701">
        <v>2.593</v>
      </c>
    </row>
    <row r="702" spans="1:8" x14ac:dyDescent="0.2">
      <c r="A702" s="25" t="str">
        <f t="shared" si="20"/>
        <v>26/04/2025</v>
      </c>
      <c r="B702" t="str">
        <f t="shared" si="21"/>
        <v>D</v>
      </c>
      <c r="C702">
        <v>701</v>
      </c>
      <c r="D702" t="s">
        <v>15</v>
      </c>
      <c r="E702">
        <v>2</v>
      </c>
      <c r="F702">
        <v>1</v>
      </c>
      <c r="G702">
        <v>3.1779999999999999</v>
      </c>
      <c r="H702">
        <v>2.673</v>
      </c>
    </row>
    <row r="703" spans="1:8" x14ac:dyDescent="0.2">
      <c r="A703" s="25" t="str">
        <f t="shared" si="20"/>
        <v>26/04/2025</v>
      </c>
      <c r="B703" t="str">
        <f t="shared" si="21"/>
        <v>D</v>
      </c>
      <c r="C703">
        <v>702</v>
      </c>
      <c r="D703" t="s">
        <v>15</v>
      </c>
      <c r="E703">
        <v>2</v>
      </c>
      <c r="F703">
        <v>1</v>
      </c>
      <c r="G703">
        <v>2.8929999999999998</v>
      </c>
      <c r="H703">
        <v>2.492</v>
      </c>
    </row>
    <row r="704" spans="1:8" x14ac:dyDescent="0.2">
      <c r="A704" s="25" t="str">
        <f t="shared" si="20"/>
        <v>26/04/2025</v>
      </c>
      <c r="B704" t="str">
        <f t="shared" si="21"/>
        <v>D</v>
      </c>
      <c r="C704">
        <v>703</v>
      </c>
      <c r="D704" t="s">
        <v>15</v>
      </c>
      <c r="E704">
        <v>2</v>
      </c>
      <c r="F704">
        <v>2</v>
      </c>
      <c r="G704">
        <v>2.645</v>
      </c>
      <c r="H704">
        <v>2.41</v>
      </c>
    </row>
    <row r="705" spans="1:8" x14ac:dyDescent="0.2">
      <c r="A705" s="25" t="str">
        <f t="shared" si="20"/>
        <v>26/04/2025</v>
      </c>
      <c r="B705" t="str">
        <f t="shared" si="21"/>
        <v>D</v>
      </c>
      <c r="C705">
        <v>704</v>
      </c>
      <c r="D705" t="s">
        <v>15</v>
      </c>
      <c r="E705">
        <v>2</v>
      </c>
      <c r="F705">
        <v>2</v>
      </c>
      <c r="G705">
        <v>3.3679999999999999</v>
      </c>
      <c r="H705">
        <v>2.7509999999999999</v>
      </c>
    </row>
    <row r="706" spans="1:8" x14ac:dyDescent="0.2">
      <c r="A706" s="25" t="str">
        <f t="shared" si="20"/>
        <v>26/04/2025</v>
      </c>
      <c r="B706" t="str">
        <f t="shared" si="21"/>
        <v>D</v>
      </c>
      <c r="C706">
        <v>705</v>
      </c>
      <c r="D706" t="s">
        <v>15</v>
      </c>
      <c r="E706">
        <v>2</v>
      </c>
      <c r="F706">
        <v>2</v>
      </c>
      <c r="G706">
        <v>3.3180000000000001</v>
      </c>
      <c r="H706">
        <v>2.6389999999999998</v>
      </c>
    </row>
    <row r="707" spans="1:8" x14ac:dyDescent="0.2">
      <c r="A707" s="25" t="str">
        <f t="shared" ref="A707:A770" si="22">IF(F707&lt;3, "26/04/2025", "01/04/2025")</f>
        <v>26/04/2025</v>
      </c>
      <c r="B707" t="str">
        <f t="shared" ref="B707:B770" si="23">IF(F707&lt;3, "D", "E")</f>
        <v>D</v>
      </c>
      <c r="C707">
        <v>706</v>
      </c>
      <c r="D707" t="s">
        <v>15</v>
      </c>
      <c r="E707">
        <v>2</v>
      </c>
      <c r="F707">
        <v>2</v>
      </c>
      <c r="G707">
        <v>3.4</v>
      </c>
      <c r="H707">
        <v>2.5819999999999999</v>
      </c>
    </row>
    <row r="708" spans="1:8" x14ac:dyDescent="0.2">
      <c r="A708" s="25" t="str">
        <f t="shared" si="22"/>
        <v>26/04/2025</v>
      </c>
      <c r="B708" t="str">
        <f t="shared" si="23"/>
        <v>D</v>
      </c>
      <c r="C708">
        <v>707</v>
      </c>
      <c r="D708" t="s">
        <v>15</v>
      </c>
      <c r="E708">
        <v>2</v>
      </c>
      <c r="F708">
        <v>2</v>
      </c>
      <c r="G708">
        <v>3.121</v>
      </c>
      <c r="H708">
        <v>2.3490000000000002</v>
      </c>
    </row>
    <row r="709" spans="1:8" x14ac:dyDescent="0.2">
      <c r="A709" s="25" t="str">
        <f t="shared" si="22"/>
        <v>26/04/2025</v>
      </c>
      <c r="B709" t="str">
        <f t="shared" si="23"/>
        <v>D</v>
      </c>
      <c r="C709">
        <v>708</v>
      </c>
      <c r="D709" t="s">
        <v>15</v>
      </c>
      <c r="E709">
        <v>2</v>
      </c>
      <c r="F709">
        <v>2</v>
      </c>
      <c r="G709">
        <v>3.1120000000000001</v>
      </c>
      <c r="H709">
        <v>2.8940000000000001</v>
      </c>
    </row>
    <row r="710" spans="1:8" x14ac:dyDescent="0.2">
      <c r="A710" s="25" t="str">
        <f t="shared" si="22"/>
        <v>01/04/2025</v>
      </c>
      <c r="B710" t="str">
        <f t="shared" si="23"/>
        <v>E</v>
      </c>
      <c r="C710">
        <v>709</v>
      </c>
      <c r="D710" t="s">
        <v>15</v>
      </c>
      <c r="E710">
        <v>2</v>
      </c>
      <c r="F710">
        <v>3</v>
      </c>
      <c r="G710">
        <v>3.3490000000000002</v>
      </c>
      <c r="H710">
        <v>2.6070000000000002</v>
      </c>
    </row>
    <row r="711" spans="1:8" x14ac:dyDescent="0.2">
      <c r="A711" s="25" t="str">
        <f t="shared" si="22"/>
        <v>01/04/2025</v>
      </c>
      <c r="B711" t="str">
        <f t="shared" si="23"/>
        <v>E</v>
      </c>
      <c r="C711">
        <v>710</v>
      </c>
      <c r="D711" t="s">
        <v>15</v>
      </c>
      <c r="E711">
        <v>2</v>
      </c>
      <c r="F711">
        <v>3</v>
      </c>
      <c r="G711">
        <v>3.4590000000000001</v>
      </c>
      <c r="H711">
        <v>2.2909999999999999</v>
      </c>
    </row>
    <row r="712" spans="1:8" x14ac:dyDescent="0.2">
      <c r="A712" s="25" t="str">
        <f t="shared" si="22"/>
        <v>01/04/2025</v>
      </c>
      <c r="B712" t="str">
        <f t="shared" si="23"/>
        <v>E</v>
      </c>
      <c r="C712">
        <v>711</v>
      </c>
      <c r="D712" t="s">
        <v>15</v>
      </c>
      <c r="E712">
        <v>2</v>
      </c>
      <c r="F712">
        <v>3</v>
      </c>
      <c r="G712">
        <v>3.2989999999999999</v>
      </c>
      <c r="H712">
        <v>2.3479999999999999</v>
      </c>
    </row>
    <row r="713" spans="1:8" x14ac:dyDescent="0.2">
      <c r="A713" s="25" t="str">
        <f t="shared" si="22"/>
        <v>01/04/2025</v>
      </c>
      <c r="B713" t="str">
        <f t="shared" si="23"/>
        <v>E</v>
      </c>
      <c r="C713">
        <v>712</v>
      </c>
      <c r="D713" t="s">
        <v>15</v>
      </c>
      <c r="E713">
        <v>2</v>
      </c>
      <c r="F713">
        <v>3</v>
      </c>
      <c r="G713">
        <v>3.6120000000000001</v>
      </c>
      <c r="H713">
        <v>2.415</v>
      </c>
    </row>
    <row r="714" spans="1:8" x14ac:dyDescent="0.2">
      <c r="A714" s="25" t="str">
        <f t="shared" si="22"/>
        <v>01/04/2025</v>
      </c>
      <c r="B714" t="str">
        <f t="shared" si="23"/>
        <v>E</v>
      </c>
      <c r="C714">
        <v>713</v>
      </c>
      <c r="D714" t="s">
        <v>15</v>
      </c>
      <c r="E714">
        <v>2</v>
      </c>
      <c r="F714">
        <v>3</v>
      </c>
      <c r="G714">
        <v>3.266</v>
      </c>
      <c r="H714">
        <v>2.516</v>
      </c>
    </row>
    <row r="715" spans="1:8" x14ac:dyDescent="0.2">
      <c r="A715" s="25" t="str">
        <f t="shared" si="22"/>
        <v>01/04/2025</v>
      </c>
      <c r="B715" t="str">
        <f t="shared" si="23"/>
        <v>E</v>
      </c>
      <c r="C715">
        <v>714</v>
      </c>
      <c r="D715" t="s">
        <v>15</v>
      </c>
      <c r="E715">
        <v>2</v>
      </c>
      <c r="F715">
        <v>3</v>
      </c>
      <c r="G715">
        <v>3.63</v>
      </c>
      <c r="H715">
        <v>2.597</v>
      </c>
    </row>
    <row r="716" spans="1:8" x14ac:dyDescent="0.2">
      <c r="A716" s="25" t="str">
        <f t="shared" si="22"/>
        <v>01/04/2025</v>
      </c>
      <c r="B716" t="str">
        <f t="shared" si="23"/>
        <v>E</v>
      </c>
      <c r="C716">
        <v>715</v>
      </c>
      <c r="D716" t="s">
        <v>15</v>
      </c>
      <c r="E716">
        <v>2</v>
      </c>
      <c r="F716">
        <v>3</v>
      </c>
      <c r="G716">
        <v>3.544</v>
      </c>
      <c r="H716">
        <v>2.2799999999999998</v>
      </c>
    </row>
    <row r="717" spans="1:8" x14ac:dyDescent="0.2">
      <c r="A717" s="25" t="str">
        <f t="shared" si="22"/>
        <v>01/04/2025</v>
      </c>
      <c r="B717" t="str">
        <f t="shared" si="23"/>
        <v>E</v>
      </c>
      <c r="C717">
        <v>716</v>
      </c>
      <c r="D717" t="s">
        <v>15</v>
      </c>
      <c r="E717">
        <v>2</v>
      </c>
      <c r="F717">
        <v>3</v>
      </c>
      <c r="G717">
        <v>3.4790000000000001</v>
      </c>
      <c r="H717">
        <v>2.6739999999999999</v>
      </c>
    </row>
    <row r="718" spans="1:8" x14ac:dyDescent="0.2">
      <c r="A718" s="25" t="str">
        <f t="shared" si="22"/>
        <v>01/04/2025</v>
      </c>
      <c r="B718" t="str">
        <f t="shared" si="23"/>
        <v>E</v>
      </c>
      <c r="C718">
        <v>717</v>
      </c>
      <c r="D718" t="s">
        <v>15</v>
      </c>
      <c r="E718">
        <v>2</v>
      </c>
      <c r="F718">
        <v>3</v>
      </c>
      <c r="G718">
        <v>3.6080000000000001</v>
      </c>
      <c r="H718">
        <v>2.2909999999999999</v>
      </c>
    </row>
    <row r="719" spans="1:8" x14ac:dyDescent="0.2">
      <c r="A719" s="25" t="str">
        <f t="shared" si="22"/>
        <v>01/04/2025</v>
      </c>
      <c r="B719" t="str">
        <f t="shared" si="23"/>
        <v>E</v>
      </c>
      <c r="C719">
        <v>718</v>
      </c>
      <c r="D719" t="s">
        <v>15</v>
      </c>
      <c r="E719">
        <v>2</v>
      </c>
      <c r="F719">
        <v>3</v>
      </c>
      <c r="G719">
        <v>3.0910000000000002</v>
      </c>
      <c r="H719">
        <v>2.31</v>
      </c>
    </row>
    <row r="720" spans="1:8" x14ac:dyDescent="0.2">
      <c r="A720" s="25" t="str">
        <f t="shared" si="22"/>
        <v>01/04/2025</v>
      </c>
      <c r="B720" t="str">
        <f t="shared" si="23"/>
        <v>E</v>
      </c>
      <c r="C720">
        <v>719</v>
      </c>
      <c r="D720" t="s">
        <v>15</v>
      </c>
      <c r="E720">
        <v>2</v>
      </c>
      <c r="F720">
        <v>3</v>
      </c>
      <c r="G720">
        <v>3.2160000000000002</v>
      </c>
      <c r="H720">
        <v>2.2970000000000002</v>
      </c>
    </row>
    <row r="721" spans="1:8" x14ac:dyDescent="0.2">
      <c r="A721" s="25" t="str">
        <f t="shared" si="22"/>
        <v>01/04/2025</v>
      </c>
      <c r="B721" t="str">
        <f t="shared" si="23"/>
        <v>E</v>
      </c>
      <c r="C721">
        <v>720</v>
      </c>
      <c r="D721" t="s">
        <v>15</v>
      </c>
      <c r="E721">
        <v>2</v>
      </c>
      <c r="F721">
        <v>3</v>
      </c>
      <c r="G721">
        <v>3.4049999999999998</v>
      </c>
      <c r="H721">
        <v>2.048</v>
      </c>
    </row>
    <row r="722" spans="1:8" x14ac:dyDescent="0.2">
      <c r="A722" s="25" t="str">
        <f t="shared" si="22"/>
        <v>01/04/2025</v>
      </c>
      <c r="B722" t="str">
        <f t="shared" si="23"/>
        <v>E</v>
      </c>
      <c r="C722">
        <v>721</v>
      </c>
      <c r="D722" t="s">
        <v>15</v>
      </c>
      <c r="E722">
        <v>2</v>
      </c>
      <c r="F722">
        <v>3</v>
      </c>
      <c r="G722">
        <v>3.72</v>
      </c>
      <c r="H722">
        <v>2.391</v>
      </c>
    </row>
    <row r="723" spans="1:8" x14ac:dyDescent="0.2">
      <c r="A723" s="25" t="str">
        <f t="shared" si="22"/>
        <v>01/04/2025</v>
      </c>
      <c r="B723" t="str">
        <f t="shared" si="23"/>
        <v>E</v>
      </c>
      <c r="C723">
        <v>722</v>
      </c>
      <c r="D723" t="s">
        <v>15</v>
      </c>
      <c r="E723">
        <v>2</v>
      </c>
      <c r="F723">
        <v>3</v>
      </c>
      <c r="G723">
        <v>3.4990000000000001</v>
      </c>
      <c r="H723">
        <v>2.347</v>
      </c>
    </row>
    <row r="724" spans="1:8" x14ac:dyDescent="0.2">
      <c r="A724" s="25" t="str">
        <f t="shared" si="22"/>
        <v>01/04/2025</v>
      </c>
      <c r="B724" t="str">
        <f t="shared" si="23"/>
        <v>E</v>
      </c>
      <c r="C724">
        <v>723</v>
      </c>
      <c r="D724" t="s">
        <v>15</v>
      </c>
      <c r="E724">
        <v>2</v>
      </c>
      <c r="F724">
        <v>3</v>
      </c>
      <c r="G724">
        <v>3.093</v>
      </c>
      <c r="H724">
        <v>2.2970000000000002</v>
      </c>
    </row>
    <row r="725" spans="1:8" x14ac:dyDescent="0.2">
      <c r="A725" s="25" t="str">
        <f t="shared" si="22"/>
        <v>01/04/2025</v>
      </c>
      <c r="B725" t="str">
        <f t="shared" si="23"/>
        <v>E</v>
      </c>
      <c r="C725">
        <v>724</v>
      </c>
      <c r="D725" t="s">
        <v>15</v>
      </c>
      <c r="E725">
        <v>2</v>
      </c>
      <c r="F725">
        <v>3</v>
      </c>
      <c r="G725">
        <v>3.3660000000000001</v>
      </c>
      <c r="H725">
        <v>2.391</v>
      </c>
    </row>
    <row r="726" spans="1:8" x14ac:dyDescent="0.2">
      <c r="A726" s="25" t="str">
        <f t="shared" si="22"/>
        <v>01/04/2025</v>
      </c>
      <c r="B726" t="str">
        <f t="shared" si="23"/>
        <v>E</v>
      </c>
      <c r="C726">
        <v>725</v>
      </c>
      <c r="D726" t="s">
        <v>15</v>
      </c>
      <c r="E726">
        <v>2</v>
      </c>
      <c r="F726">
        <v>3</v>
      </c>
      <c r="G726">
        <v>3.5049999999999999</v>
      </c>
      <c r="H726">
        <v>2.4929999999999999</v>
      </c>
    </row>
    <row r="727" spans="1:8" x14ac:dyDescent="0.2">
      <c r="A727" s="25" t="str">
        <f t="shared" si="22"/>
        <v>26/04/2025</v>
      </c>
      <c r="B727" t="str">
        <f t="shared" si="23"/>
        <v>D</v>
      </c>
      <c r="C727">
        <v>726</v>
      </c>
      <c r="D727" t="s">
        <v>15</v>
      </c>
      <c r="E727">
        <v>3</v>
      </c>
      <c r="F727">
        <v>1</v>
      </c>
      <c r="G727">
        <v>3.802</v>
      </c>
      <c r="H727">
        <v>2.9279999999999999</v>
      </c>
    </row>
    <row r="728" spans="1:8" x14ac:dyDescent="0.2">
      <c r="A728" s="25" t="str">
        <f t="shared" si="22"/>
        <v>26/04/2025</v>
      </c>
      <c r="B728" t="str">
        <f t="shared" si="23"/>
        <v>D</v>
      </c>
      <c r="C728">
        <v>727</v>
      </c>
      <c r="D728" t="s">
        <v>15</v>
      </c>
      <c r="E728">
        <v>3</v>
      </c>
      <c r="F728">
        <v>1</v>
      </c>
      <c r="G728">
        <v>3.5190000000000001</v>
      </c>
      <c r="H728">
        <v>2.9710000000000001</v>
      </c>
    </row>
    <row r="729" spans="1:8" x14ac:dyDescent="0.2">
      <c r="A729" s="25" t="str">
        <f t="shared" si="22"/>
        <v>26/04/2025</v>
      </c>
      <c r="B729" t="str">
        <f t="shared" si="23"/>
        <v>D</v>
      </c>
      <c r="C729">
        <v>728</v>
      </c>
      <c r="D729" t="s">
        <v>15</v>
      </c>
      <c r="E729">
        <v>3</v>
      </c>
      <c r="F729">
        <v>1</v>
      </c>
      <c r="G729">
        <v>3.1080000000000001</v>
      </c>
      <c r="H729">
        <v>2.5609999999999999</v>
      </c>
    </row>
    <row r="730" spans="1:8" x14ac:dyDescent="0.2">
      <c r="A730" s="25" t="str">
        <f t="shared" si="22"/>
        <v>26/04/2025</v>
      </c>
      <c r="B730" t="str">
        <f t="shared" si="23"/>
        <v>D</v>
      </c>
      <c r="C730">
        <v>729</v>
      </c>
      <c r="D730" t="s">
        <v>15</v>
      </c>
      <c r="E730">
        <v>3</v>
      </c>
      <c r="F730">
        <v>1</v>
      </c>
      <c r="G730">
        <v>3.1509999999999998</v>
      </c>
      <c r="H730">
        <v>2.6110000000000002</v>
      </c>
    </row>
    <row r="731" spans="1:8" x14ac:dyDescent="0.2">
      <c r="A731" s="25" t="str">
        <f t="shared" si="22"/>
        <v>26/04/2025</v>
      </c>
      <c r="B731" t="str">
        <f t="shared" si="23"/>
        <v>D</v>
      </c>
      <c r="C731">
        <v>730</v>
      </c>
      <c r="D731" t="s">
        <v>15</v>
      </c>
      <c r="E731">
        <v>3</v>
      </c>
      <c r="F731">
        <v>1</v>
      </c>
      <c r="G731">
        <v>3.2410000000000001</v>
      </c>
      <c r="H731">
        <v>2.1880000000000002</v>
      </c>
    </row>
    <row r="732" spans="1:8" x14ac:dyDescent="0.2">
      <c r="A732" s="25" t="str">
        <f t="shared" si="22"/>
        <v>26/04/2025</v>
      </c>
      <c r="B732" t="str">
        <f t="shared" si="23"/>
        <v>D</v>
      </c>
      <c r="C732">
        <v>731</v>
      </c>
      <c r="D732" t="s">
        <v>15</v>
      </c>
      <c r="E732">
        <v>3</v>
      </c>
      <c r="F732">
        <v>1</v>
      </c>
      <c r="G732">
        <v>3.097</v>
      </c>
      <c r="H732">
        <v>2.27</v>
      </c>
    </row>
    <row r="733" spans="1:8" x14ac:dyDescent="0.2">
      <c r="A733" s="25" t="str">
        <f t="shared" si="22"/>
        <v>26/04/2025</v>
      </c>
      <c r="B733" t="str">
        <f t="shared" si="23"/>
        <v>D</v>
      </c>
      <c r="C733">
        <v>732</v>
      </c>
      <c r="D733" t="s">
        <v>15</v>
      </c>
      <c r="E733">
        <v>3</v>
      </c>
      <c r="F733">
        <v>1</v>
      </c>
      <c r="G733">
        <v>3.7410000000000001</v>
      </c>
      <c r="H733">
        <v>2.899</v>
      </c>
    </row>
    <row r="734" spans="1:8" x14ac:dyDescent="0.2">
      <c r="A734" s="25" t="str">
        <f t="shared" si="22"/>
        <v>26/04/2025</v>
      </c>
      <c r="B734" t="str">
        <f t="shared" si="23"/>
        <v>D</v>
      </c>
      <c r="C734">
        <v>733</v>
      </c>
      <c r="D734" t="s">
        <v>15</v>
      </c>
      <c r="E734">
        <v>3</v>
      </c>
      <c r="F734">
        <v>1</v>
      </c>
      <c r="G734">
        <v>3.282</v>
      </c>
      <c r="H734">
        <v>2.5430000000000001</v>
      </c>
    </row>
    <row r="735" spans="1:8" x14ac:dyDescent="0.2">
      <c r="A735" s="25" t="str">
        <f t="shared" si="22"/>
        <v>26/04/2025</v>
      </c>
      <c r="B735" t="str">
        <f t="shared" si="23"/>
        <v>D</v>
      </c>
      <c r="C735">
        <v>734</v>
      </c>
      <c r="D735" t="s">
        <v>15</v>
      </c>
      <c r="E735">
        <v>3</v>
      </c>
      <c r="F735">
        <v>1</v>
      </c>
      <c r="G735">
        <v>3.6040000000000001</v>
      </c>
      <c r="H735">
        <v>2.706</v>
      </c>
    </row>
    <row r="736" spans="1:8" x14ac:dyDescent="0.2">
      <c r="A736" s="25" t="str">
        <f t="shared" si="22"/>
        <v>26/04/2025</v>
      </c>
      <c r="B736" t="str">
        <f t="shared" si="23"/>
        <v>D</v>
      </c>
      <c r="C736">
        <v>735</v>
      </c>
      <c r="D736" t="s">
        <v>15</v>
      </c>
      <c r="E736">
        <v>3</v>
      </c>
      <c r="F736">
        <v>1</v>
      </c>
      <c r="G736">
        <v>2.9569999999999999</v>
      </c>
      <c r="H736">
        <v>2.109</v>
      </c>
    </row>
    <row r="737" spans="1:8" x14ac:dyDescent="0.2">
      <c r="A737" s="25" t="str">
        <f t="shared" si="22"/>
        <v>26/04/2025</v>
      </c>
      <c r="B737" t="str">
        <f t="shared" si="23"/>
        <v>D</v>
      </c>
      <c r="C737">
        <v>736</v>
      </c>
      <c r="D737" t="s">
        <v>15</v>
      </c>
      <c r="E737">
        <v>3</v>
      </c>
      <c r="F737">
        <v>2</v>
      </c>
      <c r="G737">
        <v>3.72</v>
      </c>
      <c r="H737">
        <v>2.6640000000000001</v>
      </c>
    </row>
    <row r="738" spans="1:8" x14ac:dyDescent="0.2">
      <c r="A738" s="25" t="str">
        <f t="shared" si="22"/>
        <v>26/04/2025</v>
      </c>
      <c r="B738" t="str">
        <f t="shared" si="23"/>
        <v>D</v>
      </c>
      <c r="C738">
        <v>737</v>
      </c>
      <c r="D738" t="s">
        <v>15</v>
      </c>
      <c r="E738">
        <v>3</v>
      </c>
      <c r="F738">
        <v>2</v>
      </c>
      <c r="G738">
        <v>3.371</v>
      </c>
      <c r="H738">
        <v>2.5779999999999998</v>
      </c>
    </row>
    <row r="739" spans="1:8" x14ac:dyDescent="0.2">
      <c r="A739" s="25" t="str">
        <f t="shared" si="22"/>
        <v>26/04/2025</v>
      </c>
      <c r="B739" t="str">
        <f t="shared" si="23"/>
        <v>D</v>
      </c>
      <c r="C739">
        <v>738</v>
      </c>
      <c r="D739" t="s">
        <v>15</v>
      </c>
      <c r="E739">
        <v>3</v>
      </c>
      <c r="F739">
        <v>2</v>
      </c>
      <c r="G739">
        <v>4.3769999999999998</v>
      </c>
      <c r="H739">
        <v>2.335</v>
      </c>
    </row>
    <row r="740" spans="1:8" x14ac:dyDescent="0.2">
      <c r="A740" s="25" t="str">
        <f t="shared" si="22"/>
        <v>26/04/2025</v>
      </c>
      <c r="B740" t="str">
        <f t="shared" si="23"/>
        <v>D</v>
      </c>
      <c r="C740">
        <v>739</v>
      </c>
      <c r="D740" t="s">
        <v>15</v>
      </c>
      <c r="E740">
        <v>3</v>
      </c>
      <c r="F740">
        <v>2</v>
      </c>
      <c r="G740">
        <v>4.173</v>
      </c>
      <c r="H740">
        <v>2.4500000000000002</v>
      </c>
    </row>
    <row r="741" spans="1:8" x14ac:dyDescent="0.2">
      <c r="A741" s="25" t="str">
        <f t="shared" si="22"/>
        <v>26/04/2025</v>
      </c>
      <c r="B741" t="str">
        <f t="shared" si="23"/>
        <v>D</v>
      </c>
      <c r="C741">
        <v>740</v>
      </c>
      <c r="D741" t="s">
        <v>15</v>
      </c>
      <c r="E741">
        <v>3</v>
      </c>
      <c r="F741">
        <v>2</v>
      </c>
      <c r="G741">
        <v>3.9329999999999998</v>
      </c>
      <c r="H741">
        <v>2.742</v>
      </c>
    </row>
    <row r="742" spans="1:8" x14ac:dyDescent="0.2">
      <c r="A742" s="25" t="str">
        <f t="shared" si="22"/>
        <v>26/04/2025</v>
      </c>
      <c r="B742" t="str">
        <f t="shared" si="23"/>
        <v>D</v>
      </c>
      <c r="C742">
        <v>741</v>
      </c>
      <c r="D742" t="s">
        <v>15</v>
      </c>
      <c r="E742">
        <v>3</v>
      </c>
      <c r="F742">
        <v>2</v>
      </c>
      <c r="G742">
        <v>3.625</v>
      </c>
      <c r="H742">
        <v>2.5680000000000001</v>
      </c>
    </row>
    <row r="743" spans="1:8" x14ac:dyDescent="0.2">
      <c r="A743" s="25" t="str">
        <f t="shared" si="22"/>
        <v>26/04/2025</v>
      </c>
      <c r="B743" t="str">
        <f t="shared" si="23"/>
        <v>D</v>
      </c>
      <c r="C743">
        <v>742</v>
      </c>
      <c r="D743" t="s">
        <v>15</v>
      </c>
      <c r="E743">
        <v>3</v>
      </c>
      <c r="F743">
        <v>2</v>
      </c>
      <c r="G743">
        <v>4.194</v>
      </c>
      <c r="H743">
        <v>2.9430000000000001</v>
      </c>
    </row>
    <row r="744" spans="1:8" x14ac:dyDescent="0.2">
      <c r="A744" s="25" t="str">
        <f t="shared" si="22"/>
        <v>26/04/2025</v>
      </c>
      <c r="B744" t="str">
        <f t="shared" si="23"/>
        <v>D</v>
      </c>
      <c r="C744">
        <v>743</v>
      </c>
      <c r="D744" t="s">
        <v>15</v>
      </c>
      <c r="E744">
        <v>3</v>
      </c>
      <c r="F744">
        <v>2</v>
      </c>
      <c r="G744">
        <v>3.9079999999999999</v>
      </c>
      <c r="H744">
        <v>2.7890000000000001</v>
      </c>
    </row>
    <row r="745" spans="1:8" x14ac:dyDescent="0.2">
      <c r="A745" s="25" t="str">
        <f t="shared" si="22"/>
        <v>26/04/2025</v>
      </c>
      <c r="B745" t="str">
        <f t="shared" si="23"/>
        <v>D</v>
      </c>
      <c r="C745">
        <v>744</v>
      </c>
      <c r="D745" t="s">
        <v>15</v>
      </c>
      <c r="E745">
        <v>3</v>
      </c>
      <c r="F745">
        <v>2</v>
      </c>
      <c r="G745">
        <v>3.3479999999999999</v>
      </c>
      <c r="H745">
        <v>2.6829999999999998</v>
      </c>
    </row>
    <row r="746" spans="1:8" x14ac:dyDescent="0.2">
      <c r="A746" s="25" t="str">
        <f t="shared" si="22"/>
        <v>26/04/2025</v>
      </c>
      <c r="B746" t="str">
        <f t="shared" si="23"/>
        <v>D</v>
      </c>
      <c r="C746">
        <v>745</v>
      </c>
      <c r="D746" t="s">
        <v>15</v>
      </c>
      <c r="E746">
        <v>3</v>
      </c>
      <c r="F746">
        <v>2</v>
      </c>
      <c r="G746">
        <v>3.42</v>
      </c>
      <c r="H746">
        <v>2.3929999999999998</v>
      </c>
    </row>
    <row r="747" spans="1:8" x14ac:dyDescent="0.2">
      <c r="A747" s="25" t="str">
        <f t="shared" si="22"/>
        <v>26/04/2025</v>
      </c>
      <c r="B747" t="str">
        <f t="shared" si="23"/>
        <v>D</v>
      </c>
      <c r="C747">
        <v>746</v>
      </c>
      <c r="D747" t="s">
        <v>15</v>
      </c>
      <c r="E747">
        <v>3</v>
      </c>
      <c r="F747">
        <v>2</v>
      </c>
      <c r="G747">
        <v>3.9</v>
      </c>
      <c r="H747">
        <v>2.641</v>
      </c>
    </row>
    <row r="748" spans="1:8" x14ac:dyDescent="0.2">
      <c r="A748" s="25" t="str">
        <f t="shared" si="22"/>
        <v>01/04/2025</v>
      </c>
      <c r="B748" t="str">
        <f t="shared" si="23"/>
        <v>E</v>
      </c>
      <c r="C748">
        <v>747</v>
      </c>
      <c r="D748" t="s">
        <v>15</v>
      </c>
      <c r="E748">
        <v>3</v>
      </c>
      <c r="F748">
        <v>3</v>
      </c>
      <c r="G748">
        <v>3.5409999999999999</v>
      </c>
      <c r="H748">
        <v>2.4249999999999998</v>
      </c>
    </row>
    <row r="749" spans="1:8" x14ac:dyDescent="0.2">
      <c r="A749" s="25" t="str">
        <f t="shared" si="22"/>
        <v>01/04/2025</v>
      </c>
      <c r="B749" t="str">
        <f t="shared" si="23"/>
        <v>E</v>
      </c>
      <c r="C749">
        <v>748</v>
      </c>
      <c r="D749" t="s">
        <v>15</v>
      </c>
      <c r="E749">
        <v>3</v>
      </c>
      <c r="F749">
        <v>3</v>
      </c>
      <c r="G749">
        <v>3.738</v>
      </c>
      <c r="H749">
        <v>2.3780000000000001</v>
      </c>
    </row>
    <row r="750" spans="1:8" x14ac:dyDescent="0.2">
      <c r="A750" s="25" t="str">
        <f t="shared" si="22"/>
        <v>01/04/2025</v>
      </c>
      <c r="B750" t="str">
        <f t="shared" si="23"/>
        <v>E</v>
      </c>
      <c r="C750">
        <v>749</v>
      </c>
      <c r="D750" t="s">
        <v>15</v>
      </c>
      <c r="E750">
        <v>3</v>
      </c>
      <c r="F750">
        <v>3</v>
      </c>
      <c r="G750">
        <v>3.4220000000000002</v>
      </c>
      <c r="H750">
        <v>2.5169999999999999</v>
      </c>
    </row>
    <row r="751" spans="1:8" x14ac:dyDescent="0.2">
      <c r="A751" s="25" t="str">
        <f t="shared" si="22"/>
        <v>01/04/2025</v>
      </c>
      <c r="B751" t="str">
        <f t="shared" si="23"/>
        <v>E</v>
      </c>
      <c r="C751">
        <v>750</v>
      </c>
      <c r="D751" t="s">
        <v>15</v>
      </c>
      <c r="E751">
        <v>3</v>
      </c>
      <c r="F751">
        <v>3</v>
      </c>
      <c r="G751">
        <v>3.3090000000000002</v>
      </c>
      <c r="H751">
        <v>2.2120000000000002</v>
      </c>
    </row>
    <row r="752" spans="1:8" x14ac:dyDescent="0.2">
      <c r="A752" s="25" t="str">
        <f t="shared" si="22"/>
        <v>01/04/2025</v>
      </c>
      <c r="B752" t="str">
        <f t="shared" si="23"/>
        <v>E</v>
      </c>
      <c r="C752">
        <v>751</v>
      </c>
      <c r="D752" t="s">
        <v>15</v>
      </c>
      <c r="E752">
        <v>3</v>
      </c>
      <c r="F752">
        <v>3</v>
      </c>
      <c r="G752">
        <v>3.5019999999999998</v>
      </c>
      <c r="H752">
        <v>2.6219999999999999</v>
      </c>
    </row>
    <row r="753" spans="1:8" x14ac:dyDescent="0.2">
      <c r="A753" s="25" t="str">
        <f t="shared" si="22"/>
        <v>01/04/2025</v>
      </c>
      <c r="B753" t="str">
        <f t="shared" si="23"/>
        <v>E</v>
      </c>
      <c r="C753">
        <v>752</v>
      </c>
      <c r="D753" t="s">
        <v>15</v>
      </c>
      <c r="E753">
        <v>3</v>
      </c>
      <c r="F753">
        <v>3</v>
      </c>
      <c r="G753">
        <v>3.5880000000000001</v>
      </c>
      <c r="H753">
        <v>2.484</v>
      </c>
    </row>
    <row r="754" spans="1:8" x14ac:dyDescent="0.2">
      <c r="A754" s="25" t="str">
        <f t="shared" si="22"/>
        <v>01/04/2025</v>
      </c>
      <c r="B754" t="str">
        <f t="shared" si="23"/>
        <v>E</v>
      </c>
      <c r="C754">
        <v>753</v>
      </c>
      <c r="D754" t="s">
        <v>15</v>
      </c>
      <c r="E754">
        <v>3</v>
      </c>
      <c r="F754">
        <v>3</v>
      </c>
      <c r="G754">
        <v>3.2509999999999999</v>
      </c>
      <c r="H754">
        <v>2.3149999999999999</v>
      </c>
    </row>
    <row r="755" spans="1:8" x14ac:dyDescent="0.2">
      <c r="A755" s="25" t="str">
        <f t="shared" si="22"/>
        <v>01/04/2025</v>
      </c>
      <c r="B755" t="str">
        <f t="shared" si="23"/>
        <v>E</v>
      </c>
      <c r="C755">
        <v>754</v>
      </c>
      <c r="D755" t="s">
        <v>15</v>
      </c>
      <c r="E755">
        <v>3</v>
      </c>
      <c r="F755">
        <v>3</v>
      </c>
      <c r="G755">
        <v>3.0289999999999999</v>
      </c>
      <c r="H755">
        <v>2.504</v>
      </c>
    </row>
    <row r="756" spans="1:8" x14ac:dyDescent="0.2">
      <c r="A756" s="25" t="str">
        <f t="shared" si="22"/>
        <v>01/04/2025</v>
      </c>
      <c r="B756" t="str">
        <f t="shared" si="23"/>
        <v>E</v>
      </c>
      <c r="C756">
        <v>755</v>
      </c>
      <c r="D756" t="s">
        <v>15</v>
      </c>
      <c r="E756">
        <v>3</v>
      </c>
      <c r="F756">
        <v>3</v>
      </c>
      <c r="G756">
        <v>3.6869999999999998</v>
      </c>
      <c r="H756">
        <v>2.476</v>
      </c>
    </row>
    <row r="757" spans="1:8" x14ac:dyDescent="0.2">
      <c r="A757" s="25" t="str">
        <f t="shared" si="22"/>
        <v>01/04/2025</v>
      </c>
      <c r="B757" t="str">
        <f t="shared" si="23"/>
        <v>E</v>
      </c>
      <c r="C757">
        <v>756</v>
      </c>
      <c r="D757" t="s">
        <v>15</v>
      </c>
      <c r="E757">
        <v>3</v>
      </c>
      <c r="F757">
        <v>3</v>
      </c>
      <c r="G757">
        <v>3.3260000000000001</v>
      </c>
      <c r="H757">
        <v>2.4609999999999999</v>
      </c>
    </row>
    <row r="758" spans="1:8" x14ac:dyDescent="0.2">
      <c r="A758" s="25" t="str">
        <f t="shared" si="22"/>
        <v>01/04/2025</v>
      </c>
      <c r="B758" t="str">
        <f t="shared" si="23"/>
        <v>E</v>
      </c>
      <c r="C758">
        <v>757</v>
      </c>
      <c r="D758" t="s">
        <v>15</v>
      </c>
      <c r="E758">
        <v>3</v>
      </c>
      <c r="F758">
        <v>3</v>
      </c>
      <c r="G758">
        <v>3.3479999999999999</v>
      </c>
      <c r="H758">
        <v>2.278</v>
      </c>
    </row>
    <row r="759" spans="1:8" x14ac:dyDescent="0.2">
      <c r="A759" s="25" t="str">
        <f t="shared" si="22"/>
        <v>01/04/2025</v>
      </c>
      <c r="B759" t="str">
        <f t="shared" si="23"/>
        <v>E</v>
      </c>
      <c r="C759">
        <v>758</v>
      </c>
      <c r="D759" t="s">
        <v>15</v>
      </c>
      <c r="E759">
        <v>3</v>
      </c>
      <c r="F759">
        <v>3</v>
      </c>
      <c r="G759">
        <v>3.8170000000000002</v>
      </c>
      <c r="H759">
        <v>2.5139999999999998</v>
      </c>
    </row>
    <row r="760" spans="1:8" x14ac:dyDescent="0.2">
      <c r="A760" s="25" t="str">
        <f t="shared" si="22"/>
        <v>01/04/2025</v>
      </c>
      <c r="B760" t="str">
        <f t="shared" si="23"/>
        <v>E</v>
      </c>
      <c r="C760">
        <v>759</v>
      </c>
      <c r="D760" t="s">
        <v>15</v>
      </c>
      <c r="E760">
        <v>3</v>
      </c>
      <c r="F760">
        <v>3</v>
      </c>
      <c r="G760">
        <v>3.327</v>
      </c>
      <c r="H760">
        <v>2.3330000000000002</v>
      </c>
    </row>
    <row r="761" spans="1:8" x14ac:dyDescent="0.2">
      <c r="A761" s="25" t="str">
        <f t="shared" si="22"/>
        <v>01/04/2025</v>
      </c>
      <c r="B761" t="str">
        <f t="shared" si="23"/>
        <v>E</v>
      </c>
      <c r="C761">
        <v>760</v>
      </c>
      <c r="D761" t="s">
        <v>15</v>
      </c>
      <c r="E761">
        <v>3</v>
      </c>
      <c r="F761">
        <v>3</v>
      </c>
      <c r="G761">
        <v>3.665</v>
      </c>
      <c r="H761">
        <v>2.7109999999999999</v>
      </c>
    </row>
    <row r="762" spans="1:8" x14ac:dyDescent="0.2">
      <c r="A762" s="25" t="str">
        <f t="shared" si="22"/>
        <v>01/04/2025</v>
      </c>
      <c r="B762" t="str">
        <f t="shared" si="23"/>
        <v>E</v>
      </c>
      <c r="C762">
        <v>761</v>
      </c>
      <c r="D762" t="s">
        <v>15</v>
      </c>
      <c r="E762">
        <v>3</v>
      </c>
      <c r="F762">
        <v>3</v>
      </c>
      <c r="G762">
        <v>3.8769999999999998</v>
      </c>
      <c r="H762">
        <v>2.4950000000000001</v>
      </c>
    </row>
    <row r="763" spans="1:8" x14ac:dyDescent="0.2">
      <c r="A763" s="25" t="str">
        <f t="shared" si="22"/>
        <v>01/04/2025</v>
      </c>
      <c r="B763" t="str">
        <f t="shared" si="23"/>
        <v>E</v>
      </c>
      <c r="C763">
        <v>762</v>
      </c>
      <c r="D763" t="s">
        <v>15</v>
      </c>
      <c r="E763">
        <v>3</v>
      </c>
      <c r="F763">
        <v>3</v>
      </c>
      <c r="G763">
        <v>3.327</v>
      </c>
      <c r="H763">
        <v>2.355</v>
      </c>
    </row>
    <row r="764" spans="1:8" x14ac:dyDescent="0.2">
      <c r="A764" s="25" t="str">
        <f t="shared" si="22"/>
        <v>01/04/2025</v>
      </c>
      <c r="B764" t="str">
        <f t="shared" si="23"/>
        <v>E</v>
      </c>
      <c r="C764">
        <v>763</v>
      </c>
      <c r="D764" t="s">
        <v>15</v>
      </c>
      <c r="E764">
        <v>3</v>
      </c>
      <c r="F764">
        <v>3</v>
      </c>
      <c r="G764">
        <v>3.4409999999999998</v>
      </c>
      <c r="H764">
        <v>2.694</v>
      </c>
    </row>
    <row r="765" spans="1:8" x14ac:dyDescent="0.2">
      <c r="A765" s="25" t="str">
        <f t="shared" si="22"/>
        <v>01/04/2025</v>
      </c>
      <c r="B765" t="str">
        <f t="shared" si="23"/>
        <v>E</v>
      </c>
      <c r="C765">
        <v>764</v>
      </c>
      <c r="D765" t="s">
        <v>15</v>
      </c>
      <c r="E765">
        <v>3</v>
      </c>
      <c r="F765">
        <v>3</v>
      </c>
      <c r="G765">
        <v>3.7570000000000001</v>
      </c>
      <c r="H765">
        <v>2.7839999999999998</v>
      </c>
    </row>
    <row r="766" spans="1:8" x14ac:dyDescent="0.2">
      <c r="A766" s="25" t="str">
        <f t="shared" si="22"/>
        <v>26/04/2025</v>
      </c>
      <c r="B766" t="str">
        <f t="shared" si="23"/>
        <v>D</v>
      </c>
      <c r="C766">
        <v>765</v>
      </c>
      <c r="D766" t="s">
        <v>15</v>
      </c>
      <c r="E766">
        <v>4</v>
      </c>
      <c r="F766">
        <v>1</v>
      </c>
      <c r="G766">
        <v>3.5339999999999998</v>
      </c>
      <c r="H766">
        <v>2.5680000000000001</v>
      </c>
    </row>
    <row r="767" spans="1:8" x14ac:dyDescent="0.2">
      <c r="A767" s="25" t="str">
        <f t="shared" si="22"/>
        <v>26/04/2025</v>
      </c>
      <c r="B767" t="str">
        <f t="shared" si="23"/>
        <v>D</v>
      </c>
      <c r="C767">
        <v>766</v>
      </c>
      <c r="D767" t="s">
        <v>15</v>
      </c>
      <c r="E767">
        <v>4</v>
      </c>
      <c r="F767">
        <v>1</v>
      </c>
      <c r="G767">
        <v>4.3499999999999996</v>
      </c>
      <c r="H767">
        <v>2.7360000000000002</v>
      </c>
    </row>
    <row r="768" spans="1:8" x14ac:dyDescent="0.2">
      <c r="A768" s="25" t="str">
        <f t="shared" si="22"/>
        <v>26/04/2025</v>
      </c>
      <c r="B768" t="str">
        <f t="shared" si="23"/>
        <v>D</v>
      </c>
      <c r="C768">
        <v>767</v>
      </c>
      <c r="D768" t="s">
        <v>15</v>
      </c>
      <c r="E768">
        <v>4</v>
      </c>
      <c r="F768">
        <v>1</v>
      </c>
      <c r="G768">
        <v>3.097</v>
      </c>
      <c r="H768">
        <v>2.4169999999999998</v>
      </c>
    </row>
    <row r="769" spans="1:8" x14ac:dyDescent="0.2">
      <c r="A769" s="25" t="str">
        <f t="shared" si="22"/>
        <v>26/04/2025</v>
      </c>
      <c r="B769" t="str">
        <f t="shared" si="23"/>
        <v>D</v>
      </c>
      <c r="C769">
        <v>768</v>
      </c>
      <c r="D769" t="s">
        <v>15</v>
      </c>
      <c r="E769">
        <v>4</v>
      </c>
      <c r="F769">
        <v>1</v>
      </c>
      <c r="G769">
        <v>3.4020000000000001</v>
      </c>
      <c r="H769">
        <v>2.577</v>
      </c>
    </row>
    <row r="770" spans="1:8" x14ac:dyDescent="0.2">
      <c r="A770" s="25" t="str">
        <f t="shared" si="22"/>
        <v>26/04/2025</v>
      </c>
      <c r="B770" t="str">
        <f t="shared" si="23"/>
        <v>D</v>
      </c>
      <c r="C770">
        <v>769</v>
      </c>
      <c r="D770" t="s">
        <v>15</v>
      </c>
      <c r="E770">
        <v>4</v>
      </c>
      <c r="F770">
        <v>1</v>
      </c>
      <c r="G770">
        <v>4.1669999999999998</v>
      </c>
      <c r="H770">
        <v>2.3239999999999998</v>
      </c>
    </row>
    <row r="771" spans="1:8" x14ac:dyDescent="0.2">
      <c r="A771" s="25" t="str">
        <f t="shared" ref="A771:A817" si="24">IF(F771&lt;3, "26/04/2025", "01/04/2025")</f>
        <v>26/04/2025</v>
      </c>
      <c r="B771" t="str">
        <f t="shared" ref="B771:B817" si="25">IF(F771&lt;3, "D", "E")</f>
        <v>D</v>
      </c>
      <c r="C771">
        <v>770</v>
      </c>
      <c r="D771" t="s">
        <v>15</v>
      </c>
      <c r="E771">
        <v>4</v>
      </c>
      <c r="F771">
        <v>1</v>
      </c>
      <c r="G771">
        <v>3.2869999999999999</v>
      </c>
      <c r="H771">
        <v>2.1560000000000001</v>
      </c>
    </row>
    <row r="772" spans="1:8" x14ac:dyDescent="0.2">
      <c r="A772" s="25" t="str">
        <f t="shared" si="24"/>
        <v>26/04/2025</v>
      </c>
      <c r="B772" t="str">
        <f t="shared" si="25"/>
        <v>D</v>
      </c>
      <c r="C772">
        <v>771</v>
      </c>
      <c r="D772" t="s">
        <v>15</v>
      </c>
      <c r="E772">
        <v>4</v>
      </c>
      <c r="F772">
        <v>1</v>
      </c>
      <c r="G772">
        <v>4.0069999999999997</v>
      </c>
      <c r="H772">
        <v>2.3820000000000001</v>
      </c>
    </row>
    <row r="773" spans="1:8" x14ac:dyDescent="0.2">
      <c r="A773" s="25" t="str">
        <f t="shared" si="24"/>
        <v>26/04/2025</v>
      </c>
      <c r="B773" t="str">
        <f t="shared" si="25"/>
        <v>D</v>
      </c>
      <c r="C773">
        <v>772</v>
      </c>
      <c r="D773" t="s">
        <v>15</v>
      </c>
      <c r="E773">
        <v>4</v>
      </c>
      <c r="F773">
        <v>2</v>
      </c>
      <c r="G773">
        <v>3.5289999999999999</v>
      </c>
      <c r="H773">
        <v>2.4990000000000001</v>
      </c>
    </row>
    <row r="774" spans="1:8" x14ac:dyDescent="0.2">
      <c r="A774" s="25" t="str">
        <f t="shared" si="24"/>
        <v>01/04/2025</v>
      </c>
      <c r="B774" t="str">
        <f t="shared" si="25"/>
        <v>E</v>
      </c>
      <c r="C774">
        <v>773</v>
      </c>
      <c r="D774" t="s">
        <v>15</v>
      </c>
      <c r="E774">
        <v>4</v>
      </c>
      <c r="F774">
        <v>3</v>
      </c>
      <c r="G774">
        <v>3.4769999999999999</v>
      </c>
      <c r="H774">
        <v>2.448</v>
      </c>
    </row>
    <row r="775" spans="1:8" x14ac:dyDescent="0.2">
      <c r="A775" s="25" t="str">
        <f t="shared" si="24"/>
        <v>01/04/2025</v>
      </c>
      <c r="B775" t="str">
        <f t="shared" si="25"/>
        <v>E</v>
      </c>
      <c r="C775">
        <v>774</v>
      </c>
      <c r="D775" t="s">
        <v>15</v>
      </c>
      <c r="E775">
        <v>4</v>
      </c>
      <c r="F775">
        <v>3</v>
      </c>
      <c r="G775">
        <v>3.4489999999999998</v>
      </c>
      <c r="H775">
        <v>2.4039999999999999</v>
      </c>
    </row>
    <row r="776" spans="1:8" x14ac:dyDescent="0.2">
      <c r="A776" s="25" t="str">
        <f t="shared" si="24"/>
        <v>01/04/2025</v>
      </c>
      <c r="B776" t="str">
        <f t="shared" si="25"/>
        <v>E</v>
      </c>
      <c r="C776">
        <v>775</v>
      </c>
      <c r="D776" t="s">
        <v>15</v>
      </c>
      <c r="E776">
        <v>4</v>
      </c>
      <c r="F776">
        <v>3</v>
      </c>
      <c r="G776">
        <v>3.5550000000000002</v>
      </c>
      <c r="H776">
        <v>2.4569999999999999</v>
      </c>
    </row>
    <row r="777" spans="1:8" x14ac:dyDescent="0.2">
      <c r="A777" s="25" t="str">
        <f t="shared" si="24"/>
        <v>01/04/2025</v>
      </c>
      <c r="B777" t="str">
        <f t="shared" si="25"/>
        <v>E</v>
      </c>
      <c r="C777">
        <v>776</v>
      </c>
      <c r="D777" t="s">
        <v>15</v>
      </c>
      <c r="E777">
        <v>4</v>
      </c>
      <c r="F777">
        <v>3</v>
      </c>
      <c r="G777">
        <v>3.911</v>
      </c>
      <c r="H777">
        <v>2.7029999999999998</v>
      </c>
    </row>
    <row r="778" spans="1:8" x14ac:dyDescent="0.2">
      <c r="A778" s="25" t="str">
        <f t="shared" si="24"/>
        <v>01/04/2025</v>
      </c>
      <c r="B778" t="str">
        <f t="shared" si="25"/>
        <v>E</v>
      </c>
      <c r="C778">
        <v>777</v>
      </c>
      <c r="D778" t="s">
        <v>15</v>
      </c>
      <c r="E778">
        <v>4</v>
      </c>
      <c r="F778">
        <v>3</v>
      </c>
      <c r="G778">
        <v>3.9849999999999999</v>
      </c>
      <c r="H778">
        <v>2.5950000000000002</v>
      </c>
    </row>
    <row r="779" spans="1:8" x14ac:dyDescent="0.2">
      <c r="A779" s="25" t="str">
        <f t="shared" si="24"/>
        <v>01/04/2025</v>
      </c>
      <c r="B779" t="str">
        <f t="shared" si="25"/>
        <v>E</v>
      </c>
      <c r="C779">
        <v>778</v>
      </c>
      <c r="D779" t="s">
        <v>15</v>
      </c>
      <c r="E779">
        <v>4</v>
      </c>
      <c r="F779">
        <v>3</v>
      </c>
      <c r="G779">
        <v>3.4580000000000002</v>
      </c>
      <c r="H779">
        <v>2.67</v>
      </c>
    </row>
    <row r="780" spans="1:8" x14ac:dyDescent="0.2">
      <c r="A780" s="25" t="str">
        <f t="shared" si="24"/>
        <v>26/04/2025</v>
      </c>
      <c r="B780" t="str">
        <f t="shared" si="25"/>
        <v>D</v>
      </c>
      <c r="C780">
        <v>779</v>
      </c>
      <c r="D780" t="s">
        <v>15</v>
      </c>
      <c r="E780">
        <v>5</v>
      </c>
      <c r="F780">
        <v>1</v>
      </c>
      <c r="G780">
        <v>4.024</v>
      </c>
      <c r="H780">
        <v>2.6989999999999998</v>
      </c>
    </row>
    <row r="781" spans="1:8" x14ac:dyDescent="0.2">
      <c r="A781" s="25" t="str">
        <f t="shared" si="24"/>
        <v>26/04/2025</v>
      </c>
      <c r="B781" t="str">
        <f t="shared" si="25"/>
        <v>D</v>
      </c>
      <c r="C781">
        <v>780</v>
      </c>
      <c r="D781" t="s">
        <v>15</v>
      </c>
      <c r="E781">
        <v>5</v>
      </c>
      <c r="F781">
        <v>1</v>
      </c>
      <c r="G781">
        <v>3.78</v>
      </c>
      <c r="H781">
        <v>2.3039999999999998</v>
      </c>
    </row>
    <row r="782" spans="1:8" x14ac:dyDescent="0.2">
      <c r="A782" s="25" t="str">
        <f t="shared" si="24"/>
        <v>26/04/2025</v>
      </c>
      <c r="B782" t="str">
        <f t="shared" si="25"/>
        <v>D</v>
      </c>
      <c r="C782">
        <v>781</v>
      </c>
      <c r="D782" t="s">
        <v>15</v>
      </c>
      <c r="E782">
        <v>5</v>
      </c>
      <c r="F782">
        <v>1</v>
      </c>
      <c r="G782">
        <v>3.698</v>
      </c>
      <c r="H782">
        <v>2.4710000000000001</v>
      </c>
    </row>
    <row r="783" spans="1:8" x14ac:dyDescent="0.2">
      <c r="A783" s="25" t="str">
        <f t="shared" si="24"/>
        <v>26/04/2025</v>
      </c>
      <c r="B783" t="str">
        <f t="shared" si="25"/>
        <v>D</v>
      </c>
      <c r="C783">
        <v>782</v>
      </c>
      <c r="D783" t="s">
        <v>15</v>
      </c>
      <c r="E783">
        <v>5</v>
      </c>
      <c r="F783">
        <v>1</v>
      </c>
      <c r="G783">
        <v>3.839</v>
      </c>
      <c r="H783">
        <v>2.1909999999999998</v>
      </c>
    </row>
    <row r="784" spans="1:8" x14ac:dyDescent="0.2">
      <c r="A784" s="25" t="str">
        <f t="shared" si="24"/>
        <v>26/04/2025</v>
      </c>
      <c r="B784" t="str">
        <f t="shared" si="25"/>
        <v>D</v>
      </c>
      <c r="C784">
        <v>783</v>
      </c>
      <c r="D784" t="s">
        <v>15</v>
      </c>
      <c r="E784">
        <v>5</v>
      </c>
      <c r="F784">
        <v>1</v>
      </c>
      <c r="G784">
        <v>3.7530000000000001</v>
      </c>
      <c r="H784">
        <v>2.7949999999999999</v>
      </c>
    </row>
    <row r="785" spans="1:8" x14ac:dyDescent="0.2">
      <c r="A785" s="25" t="str">
        <f t="shared" si="24"/>
        <v>26/04/2025</v>
      </c>
      <c r="B785" t="str">
        <f t="shared" si="25"/>
        <v>D</v>
      </c>
      <c r="C785">
        <v>784</v>
      </c>
      <c r="D785" t="s">
        <v>15</v>
      </c>
      <c r="E785">
        <v>5</v>
      </c>
      <c r="F785">
        <v>1</v>
      </c>
      <c r="G785">
        <v>3.617</v>
      </c>
      <c r="H785">
        <v>2.5</v>
      </c>
    </row>
    <row r="786" spans="1:8" x14ac:dyDescent="0.2">
      <c r="A786" s="25" t="str">
        <f t="shared" si="24"/>
        <v>26/04/2025</v>
      </c>
      <c r="B786" t="str">
        <f t="shared" si="25"/>
        <v>D</v>
      </c>
      <c r="C786">
        <v>785</v>
      </c>
      <c r="D786" t="s">
        <v>15</v>
      </c>
      <c r="E786">
        <v>5</v>
      </c>
      <c r="F786">
        <v>2</v>
      </c>
      <c r="G786">
        <v>3.7690000000000001</v>
      </c>
      <c r="H786">
        <v>2.5619999999999998</v>
      </c>
    </row>
    <row r="787" spans="1:8" x14ac:dyDescent="0.2">
      <c r="A787" s="25" t="str">
        <f t="shared" si="24"/>
        <v>26/04/2025</v>
      </c>
      <c r="B787" t="str">
        <f t="shared" si="25"/>
        <v>D</v>
      </c>
      <c r="C787">
        <v>786</v>
      </c>
      <c r="D787" t="s">
        <v>15</v>
      </c>
      <c r="E787">
        <v>5</v>
      </c>
      <c r="F787">
        <v>2</v>
      </c>
      <c r="G787">
        <v>3.7949999999999999</v>
      </c>
      <c r="H787">
        <v>2.5880000000000001</v>
      </c>
    </row>
    <row r="788" spans="1:8" x14ac:dyDescent="0.2">
      <c r="A788" s="25" t="str">
        <f t="shared" si="24"/>
        <v>26/04/2025</v>
      </c>
      <c r="B788" t="str">
        <f t="shared" si="25"/>
        <v>D</v>
      </c>
      <c r="C788">
        <v>787</v>
      </c>
      <c r="D788" t="s">
        <v>15</v>
      </c>
      <c r="E788">
        <v>5</v>
      </c>
      <c r="F788">
        <v>2</v>
      </c>
      <c r="G788">
        <v>4.0279999999999996</v>
      </c>
      <c r="H788">
        <v>2.6240000000000001</v>
      </c>
    </row>
    <row r="789" spans="1:8" x14ac:dyDescent="0.2">
      <c r="A789" s="25" t="str">
        <f t="shared" si="24"/>
        <v>26/04/2025</v>
      </c>
      <c r="B789" t="str">
        <f t="shared" si="25"/>
        <v>D</v>
      </c>
      <c r="C789">
        <v>788</v>
      </c>
      <c r="D789" t="s">
        <v>15</v>
      </c>
      <c r="E789">
        <v>5</v>
      </c>
      <c r="F789">
        <v>2</v>
      </c>
      <c r="G789">
        <v>3.3140000000000001</v>
      </c>
      <c r="H789">
        <v>2.6240000000000001</v>
      </c>
    </row>
    <row r="790" spans="1:8" x14ac:dyDescent="0.2">
      <c r="A790" s="25" t="str">
        <f t="shared" si="24"/>
        <v>26/04/2025</v>
      </c>
      <c r="B790" t="str">
        <f t="shared" si="25"/>
        <v>D</v>
      </c>
      <c r="C790">
        <v>789</v>
      </c>
      <c r="D790" t="s">
        <v>15</v>
      </c>
      <c r="E790">
        <v>5</v>
      </c>
      <c r="F790">
        <v>2</v>
      </c>
      <c r="G790">
        <v>3.6019999999999999</v>
      </c>
      <c r="H790">
        <v>2.6720000000000002</v>
      </c>
    </row>
    <row r="791" spans="1:8" x14ac:dyDescent="0.2">
      <c r="A791" s="25" t="str">
        <f t="shared" si="24"/>
        <v>01/04/2025</v>
      </c>
      <c r="B791" t="str">
        <f t="shared" si="25"/>
        <v>E</v>
      </c>
      <c r="C791">
        <v>790</v>
      </c>
      <c r="D791" t="s">
        <v>15</v>
      </c>
      <c r="E791">
        <v>5</v>
      </c>
      <c r="F791">
        <v>3</v>
      </c>
      <c r="G791">
        <v>3.4279999999999999</v>
      </c>
      <c r="H791">
        <v>2.2389999999999999</v>
      </c>
    </row>
    <row r="792" spans="1:8" x14ac:dyDescent="0.2">
      <c r="A792" s="25" t="str">
        <f t="shared" si="24"/>
        <v>01/04/2025</v>
      </c>
      <c r="B792" t="str">
        <f t="shared" si="25"/>
        <v>E</v>
      </c>
      <c r="C792">
        <v>791</v>
      </c>
      <c r="D792" t="s">
        <v>15</v>
      </c>
      <c r="E792">
        <v>5</v>
      </c>
      <c r="F792">
        <v>3</v>
      </c>
      <c r="G792">
        <v>3.4390000000000001</v>
      </c>
      <c r="H792">
        <v>1.9359999999999999</v>
      </c>
    </row>
    <row r="793" spans="1:8" x14ac:dyDescent="0.2">
      <c r="A793" s="25" t="str">
        <f t="shared" si="24"/>
        <v>26/04/2025</v>
      </c>
      <c r="B793" t="str">
        <f t="shared" si="25"/>
        <v>D</v>
      </c>
      <c r="C793">
        <v>792</v>
      </c>
      <c r="D793" t="s">
        <v>15</v>
      </c>
      <c r="E793">
        <v>7</v>
      </c>
      <c r="F793">
        <v>2</v>
      </c>
      <c r="G793">
        <v>3.0129999999999999</v>
      </c>
      <c r="H793">
        <v>2.2109999999999999</v>
      </c>
    </row>
    <row r="794" spans="1:8" x14ac:dyDescent="0.2">
      <c r="A794" s="25" t="str">
        <f t="shared" si="24"/>
        <v>01/04/2025</v>
      </c>
      <c r="B794" t="str">
        <f t="shared" si="25"/>
        <v>E</v>
      </c>
      <c r="C794">
        <v>793</v>
      </c>
      <c r="D794" t="s">
        <v>15</v>
      </c>
      <c r="E794">
        <v>7</v>
      </c>
      <c r="F794">
        <v>3</v>
      </c>
      <c r="G794">
        <v>2.82</v>
      </c>
      <c r="H794">
        <v>2.1429999999999998</v>
      </c>
    </row>
    <row r="795" spans="1:8" x14ac:dyDescent="0.2">
      <c r="A795" s="25" t="str">
        <f t="shared" si="24"/>
        <v>26/04/2025</v>
      </c>
      <c r="B795" t="str">
        <f t="shared" si="25"/>
        <v>D</v>
      </c>
      <c r="C795">
        <v>794</v>
      </c>
      <c r="D795" t="s">
        <v>16</v>
      </c>
      <c r="E795">
        <v>0</v>
      </c>
      <c r="F795">
        <v>1</v>
      </c>
      <c r="G795">
        <v>3.4750000000000001</v>
      </c>
      <c r="H795">
        <v>2.7290000000000001</v>
      </c>
    </row>
    <row r="796" spans="1:8" x14ac:dyDescent="0.2">
      <c r="A796" s="25" t="str">
        <f t="shared" si="24"/>
        <v>26/04/2025</v>
      </c>
      <c r="B796" t="str">
        <f t="shared" si="25"/>
        <v>D</v>
      </c>
      <c r="C796">
        <v>795</v>
      </c>
      <c r="D796" t="s">
        <v>16</v>
      </c>
      <c r="E796">
        <v>0</v>
      </c>
      <c r="F796">
        <v>1</v>
      </c>
      <c r="G796">
        <v>3.7050000000000001</v>
      </c>
      <c r="H796">
        <v>2.7719999999999998</v>
      </c>
    </row>
    <row r="797" spans="1:8" x14ac:dyDescent="0.2">
      <c r="A797" s="25" t="str">
        <f t="shared" si="24"/>
        <v>26/04/2025</v>
      </c>
      <c r="B797" t="str">
        <f t="shared" si="25"/>
        <v>D</v>
      </c>
      <c r="C797">
        <v>796</v>
      </c>
      <c r="D797" t="s">
        <v>16</v>
      </c>
      <c r="E797">
        <v>0</v>
      </c>
      <c r="F797">
        <v>1</v>
      </c>
      <c r="G797">
        <v>3.649</v>
      </c>
      <c r="H797">
        <v>2.8029999999999999</v>
      </c>
    </row>
    <row r="798" spans="1:8" x14ac:dyDescent="0.2">
      <c r="A798" s="25" t="str">
        <f t="shared" si="24"/>
        <v>26/04/2025</v>
      </c>
      <c r="B798" t="str">
        <f t="shared" si="25"/>
        <v>D</v>
      </c>
      <c r="C798">
        <v>797</v>
      </c>
      <c r="D798" t="s">
        <v>16</v>
      </c>
      <c r="E798">
        <v>0</v>
      </c>
      <c r="F798">
        <v>1</v>
      </c>
      <c r="G798">
        <v>3.3580000000000001</v>
      </c>
      <c r="H798">
        <v>2.33</v>
      </c>
    </row>
    <row r="799" spans="1:8" x14ac:dyDescent="0.2">
      <c r="A799" s="25" t="str">
        <f t="shared" si="24"/>
        <v>26/04/2025</v>
      </c>
      <c r="B799" t="str">
        <f t="shared" si="25"/>
        <v>D</v>
      </c>
      <c r="C799">
        <v>798</v>
      </c>
      <c r="D799" t="s">
        <v>16</v>
      </c>
      <c r="E799">
        <v>0</v>
      </c>
      <c r="F799">
        <v>1</v>
      </c>
      <c r="G799">
        <v>3.4289999999999998</v>
      </c>
      <c r="H799">
        <v>2.3079999999999998</v>
      </c>
    </row>
    <row r="800" spans="1:8" x14ac:dyDescent="0.2">
      <c r="A800" s="25" t="str">
        <f t="shared" si="24"/>
        <v>26/04/2025</v>
      </c>
      <c r="B800" t="str">
        <f t="shared" si="25"/>
        <v>D</v>
      </c>
      <c r="C800">
        <v>799</v>
      </c>
      <c r="D800" t="s">
        <v>16</v>
      </c>
      <c r="E800">
        <v>0</v>
      </c>
      <c r="F800">
        <v>1</v>
      </c>
      <c r="G800">
        <v>3.2080000000000002</v>
      </c>
      <c r="H800">
        <v>2.597</v>
      </c>
    </row>
    <row r="801" spans="1:8" x14ac:dyDescent="0.2">
      <c r="A801" s="25" t="str">
        <f t="shared" si="24"/>
        <v>26/04/2025</v>
      </c>
      <c r="B801" t="str">
        <f t="shared" si="25"/>
        <v>D</v>
      </c>
      <c r="C801">
        <v>800</v>
      </c>
      <c r="D801" t="s">
        <v>16</v>
      </c>
      <c r="E801">
        <v>0</v>
      </c>
      <c r="F801">
        <v>1</v>
      </c>
      <c r="G801">
        <v>3.2810000000000001</v>
      </c>
      <c r="H801">
        <v>1.9810000000000001</v>
      </c>
    </row>
    <row r="802" spans="1:8" x14ac:dyDescent="0.2">
      <c r="A802" s="25" t="str">
        <f t="shared" si="24"/>
        <v>26/04/2025</v>
      </c>
      <c r="B802" t="str">
        <f t="shared" si="25"/>
        <v>D</v>
      </c>
      <c r="C802">
        <v>801</v>
      </c>
      <c r="D802" t="s">
        <v>16</v>
      </c>
      <c r="E802">
        <v>0</v>
      </c>
      <c r="F802">
        <v>1</v>
      </c>
      <c r="G802">
        <v>3.169</v>
      </c>
      <c r="H802">
        <v>2.4049999999999998</v>
      </c>
    </row>
    <row r="803" spans="1:8" x14ac:dyDescent="0.2">
      <c r="A803" s="25" t="str">
        <f t="shared" si="24"/>
        <v>26/04/2025</v>
      </c>
      <c r="B803" t="str">
        <f t="shared" si="25"/>
        <v>D</v>
      </c>
      <c r="C803">
        <v>802</v>
      </c>
      <c r="D803" t="s">
        <v>16</v>
      </c>
      <c r="E803">
        <v>0</v>
      </c>
      <c r="F803">
        <v>1</v>
      </c>
      <c r="G803">
        <v>3.2360000000000002</v>
      </c>
      <c r="H803">
        <v>2.7759999999999998</v>
      </c>
    </row>
    <row r="804" spans="1:8" x14ac:dyDescent="0.2">
      <c r="A804" s="25" t="str">
        <f t="shared" si="24"/>
        <v>26/04/2025</v>
      </c>
      <c r="B804" t="str">
        <f t="shared" si="25"/>
        <v>D</v>
      </c>
      <c r="C804">
        <v>803</v>
      </c>
      <c r="D804" t="s">
        <v>16</v>
      </c>
      <c r="E804">
        <v>0</v>
      </c>
      <c r="F804">
        <v>2</v>
      </c>
      <c r="G804">
        <v>3.9860000000000002</v>
      </c>
      <c r="H804">
        <v>2.58</v>
      </c>
    </row>
    <row r="805" spans="1:8" x14ac:dyDescent="0.2">
      <c r="A805" s="25" t="str">
        <f t="shared" si="24"/>
        <v>26/04/2025</v>
      </c>
      <c r="B805" t="str">
        <f t="shared" si="25"/>
        <v>D</v>
      </c>
      <c r="C805">
        <v>804</v>
      </c>
      <c r="D805" t="s">
        <v>16</v>
      </c>
      <c r="E805">
        <v>0</v>
      </c>
      <c r="F805">
        <v>2</v>
      </c>
      <c r="G805">
        <v>3.88</v>
      </c>
      <c r="H805">
        <v>2.8170000000000002</v>
      </c>
    </row>
    <row r="806" spans="1:8" x14ac:dyDescent="0.2">
      <c r="A806" s="25" t="str">
        <f t="shared" si="24"/>
        <v>26/04/2025</v>
      </c>
      <c r="B806" t="str">
        <f t="shared" si="25"/>
        <v>D</v>
      </c>
      <c r="C806">
        <v>805</v>
      </c>
      <c r="D806" t="s">
        <v>16</v>
      </c>
      <c r="E806">
        <v>0</v>
      </c>
      <c r="F806">
        <v>2</v>
      </c>
      <c r="G806">
        <v>3.8879999999999999</v>
      </c>
      <c r="H806">
        <v>2.7709999999999999</v>
      </c>
    </row>
    <row r="807" spans="1:8" x14ac:dyDescent="0.2">
      <c r="A807" s="25" t="str">
        <f t="shared" si="24"/>
        <v>01/04/2025</v>
      </c>
      <c r="B807" t="str">
        <f t="shared" si="25"/>
        <v>E</v>
      </c>
      <c r="C807">
        <v>806</v>
      </c>
      <c r="D807" t="s">
        <v>16</v>
      </c>
      <c r="E807">
        <v>0</v>
      </c>
      <c r="F807">
        <v>3</v>
      </c>
      <c r="G807">
        <v>3.0830000000000002</v>
      </c>
      <c r="H807">
        <v>2.4500000000000002</v>
      </c>
    </row>
    <row r="808" spans="1:8" x14ac:dyDescent="0.2">
      <c r="A808" s="25" t="str">
        <f t="shared" si="24"/>
        <v>01/04/2025</v>
      </c>
      <c r="B808" t="str">
        <f t="shared" si="25"/>
        <v>E</v>
      </c>
      <c r="C808">
        <v>807</v>
      </c>
      <c r="D808" t="s">
        <v>16</v>
      </c>
      <c r="E808">
        <v>0</v>
      </c>
      <c r="F808">
        <v>3</v>
      </c>
      <c r="G808">
        <v>4.08</v>
      </c>
      <c r="H808">
        <v>2.4980000000000002</v>
      </c>
    </row>
    <row r="809" spans="1:8" x14ac:dyDescent="0.2">
      <c r="A809" s="25" t="str">
        <f t="shared" si="24"/>
        <v>01/04/2025</v>
      </c>
      <c r="B809" t="str">
        <f t="shared" si="25"/>
        <v>E</v>
      </c>
      <c r="C809">
        <v>808</v>
      </c>
      <c r="D809" t="s">
        <v>16</v>
      </c>
      <c r="E809">
        <v>0</v>
      </c>
      <c r="F809">
        <v>3</v>
      </c>
      <c r="G809">
        <v>3.3420000000000001</v>
      </c>
      <c r="H809">
        <v>2.4740000000000002</v>
      </c>
    </row>
    <row r="810" spans="1:8" x14ac:dyDescent="0.2">
      <c r="A810" s="25" t="str">
        <f t="shared" si="24"/>
        <v>01/04/2025</v>
      </c>
      <c r="B810" t="str">
        <f t="shared" si="25"/>
        <v>E</v>
      </c>
      <c r="C810">
        <v>809</v>
      </c>
      <c r="D810" t="s">
        <v>16</v>
      </c>
      <c r="E810">
        <v>0</v>
      </c>
      <c r="F810">
        <v>3</v>
      </c>
      <c r="G810">
        <v>3.7970000000000002</v>
      </c>
      <c r="H810">
        <v>2.597</v>
      </c>
    </row>
    <row r="811" spans="1:8" x14ac:dyDescent="0.2">
      <c r="A811" s="25" t="str">
        <f t="shared" si="24"/>
        <v>01/04/2025</v>
      </c>
      <c r="B811" t="str">
        <f t="shared" si="25"/>
        <v>E</v>
      </c>
      <c r="C811">
        <v>810</v>
      </c>
      <c r="D811" t="s">
        <v>16</v>
      </c>
      <c r="E811">
        <v>0</v>
      </c>
      <c r="F811">
        <v>3</v>
      </c>
      <c r="G811">
        <v>3.3450000000000002</v>
      </c>
      <c r="H811">
        <v>2.5379999999999998</v>
      </c>
    </row>
    <row r="812" spans="1:8" x14ac:dyDescent="0.2">
      <c r="A812" s="25" t="str">
        <f t="shared" si="24"/>
        <v>01/04/2025</v>
      </c>
      <c r="B812" t="str">
        <f t="shared" si="25"/>
        <v>E</v>
      </c>
      <c r="C812">
        <v>811</v>
      </c>
      <c r="D812" t="s">
        <v>16</v>
      </c>
      <c r="E812">
        <v>0</v>
      </c>
      <c r="F812">
        <v>3</v>
      </c>
      <c r="G812">
        <v>3.4729999999999999</v>
      </c>
      <c r="H812">
        <v>2.593</v>
      </c>
    </row>
    <row r="813" spans="1:8" x14ac:dyDescent="0.2">
      <c r="A813" s="25" t="str">
        <f t="shared" si="24"/>
        <v>01/04/2025</v>
      </c>
      <c r="B813" t="str">
        <f t="shared" si="25"/>
        <v>E</v>
      </c>
      <c r="C813">
        <v>812</v>
      </c>
      <c r="D813" t="s">
        <v>16</v>
      </c>
      <c r="E813">
        <v>0</v>
      </c>
      <c r="F813">
        <v>3</v>
      </c>
      <c r="G813">
        <v>3.5990000000000002</v>
      </c>
      <c r="H813">
        <v>2.3210000000000002</v>
      </c>
    </row>
    <row r="814" spans="1:8" x14ac:dyDescent="0.2">
      <c r="A814" s="25" t="str">
        <f t="shared" si="24"/>
        <v>01/04/2025</v>
      </c>
      <c r="B814" t="str">
        <f t="shared" si="25"/>
        <v>E</v>
      </c>
      <c r="C814">
        <v>813</v>
      </c>
      <c r="D814" t="s">
        <v>16</v>
      </c>
      <c r="E814">
        <v>0</v>
      </c>
      <c r="F814">
        <v>3</v>
      </c>
      <c r="G814">
        <v>3.33</v>
      </c>
      <c r="H814">
        <v>2.649</v>
      </c>
    </row>
    <row r="815" spans="1:8" x14ac:dyDescent="0.2">
      <c r="A815" s="25" t="str">
        <f t="shared" si="24"/>
        <v>01/04/2025</v>
      </c>
      <c r="B815" t="str">
        <f t="shared" si="25"/>
        <v>E</v>
      </c>
      <c r="C815">
        <v>814</v>
      </c>
      <c r="D815" t="s">
        <v>16</v>
      </c>
      <c r="E815">
        <v>0</v>
      </c>
      <c r="F815">
        <v>3</v>
      </c>
      <c r="G815">
        <v>3.431</v>
      </c>
      <c r="H815">
        <v>2.4430000000000001</v>
      </c>
    </row>
    <row r="816" spans="1:8" x14ac:dyDescent="0.2">
      <c r="A816" s="25" t="str">
        <f t="shared" si="24"/>
        <v>01/04/2025</v>
      </c>
      <c r="B816" t="str">
        <f t="shared" si="25"/>
        <v>E</v>
      </c>
      <c r="C816">
        <v>815</v>
      </c>
      <c r="D816" t="s">
        <v>16</v>
      </c>
      <c r="E816">
        <v>0</v>
      </c>
      <c r="F816">
        <v>3</v>
      </c>
      <c r="G816">
        <v>3.298</v>
      </c>
      <c r="H816">
        <v>2.4500000000000002</v>
      </c>
    </row>
    <row r="817" spans="1:8" x14ac:dyDescent="0.2">
      <c r="A817" s="25" t="str">
        <f t="shared" si="24"/>
        <v>01/04/2025</v>
      </c>
      <c r="B817" t="str">
        <f t="shared" si="25"/>
        <v>E</v>
      </c>
      <c r="C817">
        <v>816</v>
      </c>
      <c r="D817" t="s">
        <v>16</v>
      </c>
      <c r="E817">
        <v>0</v>
      </c>
      <c r="F817">
        <v>3</v>
      </c>
      <c r="G817">
        <v>3.056</v>
      </c>
      <c r="H817">
        <v>2.4609999999999999</v>
      </c>
    </row>
    <row r="818" spans="1:8" x14ac:dyDescent="0.2">
      <c r="D818" t="s">
        <v>12</v>
      </c>
      <c r="E818">
        <v>7</v>
      </c>
    </row>
    <row r="819" spans="1:8" x14ac:dyDescent="0.2">
      <c r="D819" t="s">
        <v>15</v>
      </c>
      <c r="E819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41E2-76C2-434B-A87F-697D52F93778}">
  <dimension ref="A1:L8"/>
  <sheetViews>
    <sheetView workbookViewId="0">
      <selection activeCell="L9" sqref="L9"/>
    </sheetView>
  </sheetViews>
  <sheetFormatPr baseColWidth="10" defaultRowHeight="16" x14ac:dyDescent="0.2"/>
  <sheetData>
    <row r="1" spans="1:12" x14ac:dyDescent="0.2">
      <c r="A1" t="s">
        <v>0</v>
      </c>
      <c r="B1" t="s">
        <v>38</v>
      </c>
      <c r="C1" t="s">
        <v>53</v>
      </c>
      <c r="D1" t="s">
        <v>1</v>
      </c>
      <c r="E1" t="s">
        <v>51</v>
      </c>
      <c r="F1" t="s">
        <v>52</v>
      </c>
    </row>
    <row r="2" spans="1:12" x14ac:dyDescent="0.2">
      <c r="A2" s="25">
        <v>45742</v>
      </c>
      <c r="B2">
        <v>1</v>
      </c>
      <c r="C2" t="s">
        <v>54</v>
      </c>
      <c r="D2">
        <v>0</v>
      </c>
      <c r="E2">
        <v>564.79999999999995</v>
      </c>
    </row>
    <row r="3" spans="1:12" x14ac:dyDescent="0.2">
      <c r="A3" s="25">
        <v>45742</v>
      </c>
      <c r="B3">
        <v>2</v>
      </c>
      <c r="C3" t="s">
        <v>55</v>
      </c>
      <c r="D3">
        <v>0</v>
      </c>
      <c r="E3">
        <v>612.29999999999995</v>
      </c>
    </row>
    <row r="4" spans="1:12" x14ac:dyDescent="0.2">
      <c r="A4" s="25">
        <v>45742</v>
      </c>
      <c r="B4">
        <v>3</v>
      </c>
      <c r="C4" t="s">
        <v>54</v>
      </c>
      <c r="D4">
        <v>0</v>
      </c>
      <c r="E4">
        <v>572.29999999999995</v>
      </c>
    </row>
    <row r="5" spans="1:12" x14ac:dyDescent="0.2">
      <c r="A5" s="25">
        <v>45742</v>
      </c>
      <c r="B5">
        <v>4</v>
      </c>
      <c r="C5" t="s">
        <v>55</v>
      </c>
      <c r="D5">
        <v>0</v>
      </c>
      <c r="E5">
        <v>375.5</v>
      </c>
    </row>
    <row r="8" spans="1:12" x14ac:dyDescent="0.2">
      <c r="L8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67DC-E444-4C42-846B-32DEF1BD372A}">
  <dimension ref="A1:B23"/>
  <sheetViews>
    <sheetView tabSelected="1" workbookViewId="0">
      <selection activeCell="B26" sqref="B26"/>
    </sheetView>
  </sheetViews>
  <sheetFormatPr baseColWidth="10" defaultRowHeight="16" x14ac:dyDescent="0.2"/>
  <cols>
    <col min="1" max="1" width="20.33203125" style="47" customWidth="1"/>
  </cols>
  <sheetData>
    <row r="1" spans="1:2" x14ac:dyDescent="0.2">
      <c r="A1" s="47" t="s">
        <v>0</v>
      </c>
      <c r="B1" t="s">
        <v>67</v>
      </c>
    </row>
    <row r="2" spans="1:2" x14ac:dyDescent="0.2">
      <c r="A2" s="47" t="s">
        <v>1</v>
      </c>
      <c r="B2" t="s">
        <v>74</v>
      </c>
    </row>
    <row r="3" spans="1:2" x14ac:dyDescent="0.2">
      <c r="A3" s="47" t="s">
        <v>17</v>
      </c>
      <c r="B3" t="s">
        <v>66</v>
      </c>
    </row>
    <row r="4" spans="1:2" x14ac:dyDescent="0.2">
      <c r="A4" s="48" t="s">
        <v>38</v>
      </c>
      <c r="B4" t="s">
        <v>65</v>
      </c>
    </row>
    <row r="5" spans="1:2" x14ac:dyDescent="0.2">
      <c r="A5" s="48" t="s">
        <v>5</v>
      </c>
      <c r="B5" t="s">
        <v>64</v>
      </c>
    </row>
    <row r="6" spans="1:2" x14ac:dyDescent="0.2">
      <c r="A6" s="48" t="s">
        <v>4</v>
      </c>
      <c r="B6" t="s">
        <v>63</v>
      </c>
    </row>
    <row r="7" spans="1:2" x14ac:dyDescent="0.2">
      <c r="A7" s="48" t="s">
        <v>6</v>
      </c>
      <c r="B7" t="s">
        <v>76</v>
      </c>
    </row>
    <row r="8" spans="1:2" x14ac:dyDescent="0.2">
      <c r="A8" s="48" t="s">
        <v>42</v>
      </c>
      <c r="B8" t="s">
        <v>75</v>
      </c>
    </row>
    <row r="9" spans="1:2" x14ac:dyDescent="0.2">
      <c r="A9" s="48" t="s">
        <v>40</v>
      </c>
      <c r="B9" t="s">
        <v>77</v>
      </c>
    </row>
    <row r="10" spans="1:2" x14ac:dyDescent="0.2">
      <c r="A10" s="48" t="s">
        <v>39</v>
      </c>
      <c r="B10" t="s">
        <v>78</v>
      </c>
    </row>
    <row r="11" spans="1:2" x14ac:dyDescent="0.2">
      <c r="A11" s="48" t="s">
        <v>2</v>
      </c>
      <c r="B11" t="s">
        <v>79</v>
      </c>
    </row>
    <row r="12" spans="1:2" x14ac:dyDescent="0.2">
      <c r="A12" s="47" t="s">
        <v>29</v>
      </c>
      <c r="B12" t="s">
        <v>68</v>
      </c>
    </row>
    <row r="13" spans="1:2" x14ac:dyDescent="0.2">
      <c r="A13" s="47" t="s">
        <v>28</v>
      </c>
      <c r="B13" t="s">
        <v>69</v>
      </c>
    </row>
    <row r="14" spans="1:2" x14ac:dyDescent="0.2">
      <c r="A14" s="47" t="s">
        <v>3</v>
      </c>
      <c r="B14" t="s">
        <v>70</v>
      </c>
    </row>
    <row r="15" spans="1:2" x14ac:dyDescent="0.2">
      <c r="A15" s="47" t="s">
        <v>41</v>
      </c>
      <c r="B15" t="s">
        <v>80</v>
      </c>
    </row>
    <row r="16" spans="1:2" x14ac:dyDescent="0.2">
      <c r="A16" s="47" t="s">
        <v>7</v>
      </c>
      <c r="B16" t="s">
        <v>82</v>
      </c>
    </row>
    <row r="17" spans="1:2" x14ac:dyDescent="0.2">
      <c r="A17" s="47" t="s">
        <v>8</v>
      </c>
      <c r="B17" t="s">
        <v>83</v>
      </c>
    </row>
    <row r="18" spans="1:2" x14ac:dyDescent="0.2">
      <c r="A18" s="47" t="s">
        <v>10</v>
      </c>
      <c r="B18" t="s">
        <v>71</v>
      </c>
    </row>
    <row r="19" spans="1:2" x14ac:dyDescent="0.2">
      <c r="A19" s="47" t="s">
        <v>59</v>
      </c>
      <c r="B19" t="s">
        <v>73</v>
      </c>
    </row>
    <row r="20" spans="1:2" x14ac:dyDescent="0.2">
      <c r="A20" s="47" t="s">
        <v>58</v>
      </c>
      <c r="B20" t="s">
        <v>72</v>
      </c>
    </row>
    <row r="21" spans="1:2" x14ac:dyDescent="0.2">
      <c r="A21" s="49" t="s">
        <v>56</v>
      </c>
      <c r="B21" t="s">
        <v>61</v>
      </c>
    </row>
    <row r="22" spans="1:2" x14ac:dyDescent="0.2">
      <c r="A22" s="49" t="s">
        <v>57</v>
      </c>
      <c r="B22" t="s">
        <v>62</v>
      </c>
    </row>
    <row r="23" spans="1:2" x14ac:dyDescent="0.2">
      <c r="A23" s="47" t="s">
        <v>9</v>
      </c>
      <c r="B2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ReproAutumn2024</vt:lpstr>
      <vt:lpstr>ReproSpring2025weight</vt:lpstr>
      <vt:lpstr>ReproSpring2025weightfasting</vt:lpstr>
      <vt:lpstr>ReproSpring2025hatchlingsLotD</vt:lpstr>
      <vt:lpstr>ReproSpring2025hatchlingsLotE</vt:lpstr>
      <vt:lpstr>ReproSpring2025coc</vt:lpstr>
      <vt:lpstr>ReproSpring2025cocsize</vt:lpstr>
      <vt:lpstr>T0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2024-10-16T14:30:41Z</dcterms:created>
  <dcterms:modified xsi:type="dcterms:W3CDTF">2026-06-03T14:40:48Z</dcterms:modified>
</cp:coreProperties>
</file>