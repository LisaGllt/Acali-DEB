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lisagollot/Library/CloudStorage/OneDrive-Personnel/Documents/0_These/0_RepoGit/Acali-DEB/data/Data_expe_raw/"/>
    </mc:Choice>
  </mc:AlternateContent>
  <xr:revisionPtr revIDLastSave="0" documentId="13_ncr:1_{6471C174-6E0B-AB4D-AC94-0A58E28B5B3F}" xr6:coauthVersionLast="47" xr6:coauthVersionMax="47" xr10:uidLastSave="{00000000-0000-0000-0000-000000000000}"/>
  <bookViews>
    <workbookView xWindow="-34560" yWindow="-1240" windowWidth="24220" windowHeight="13780" xr2:uid="{1F865021-A1C9-49F8-B60B-9226F64A7D7C}"/>
  </bookViews>
  <sheets>
    <sheet name="Reproduction" sheetId="2" r:id="rId1"/>
  </sheets>
  <definedNames>
    <definedName name="_xlnm._FilterDatabase" localSheetId="0" hidden="1">Reproduction!$A$1:$K$126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26" i="2" l="1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65" i="2"/>
  <c r="J65" i="2" s="1"/>
  <c r="I66" i="2"/>
  <c r="J66" i="2" s="1"/>
  <c r="I67" i="2"/>
  <c r="J67" i="2" s="1"/>
  <c r="I68" i="2"/>
  <c r="J68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9" i="2"/>
  <c r="J69" i="2" s="1"/>
  <c r="I70" i="2"/>
  <c r="J70" i="2" s="1"/>
  <c r="I71" i="2"/>
  <c r="J71" i="2" s="1"/>
  <c r="I72" i="2"/>
  <c r="J72" i="2" s="1"/>
  <c r="I73" i="2"/>
  <c r="J73" i="2" s="1"/>
  <c r="J89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I80" i="2"/>
  <c r="I2" i="2"/>
  <c r="J88" i="2" l="1"/>
  <c r="J83" i="2"/>
  <c r="J99" i="2" s="1"/>
  <c r="J115" i="2" s="1"/>
  <c r="J82" i="2"/>
  <c r="J98" i="2" s="1"/>
  <c r="J114" i="2" s="1"/>
  <c r="J91" i="2"/>
  <c r="J107" i="2" s="1"/>
  <c r="J123" i="2" s="1"/>
  <c r="J90" i="2"/>
  <c r="J106" i="2" s="1"/>
  <c r="J122" i="2" s="1"/>
  <c r="J94" i="2"/>
  <c r="J110" i="2" s="1"/>
  <c r="J126" i="2" s="1"/>
  <c r="J86" i="2"/>
  <c r="J102" i="2" s="1"/>
  <c r="J118" i="2" s="1"/>
  <c r="J85" i="2"/>
  <c r="J101" i="2" s="1"/>
  <c r="J117" i="2" s="1"/>
  <c r="J92" i="2"/>
  <c r="J108" i="2" s="1"/>
  <c r="J124" i="2" s="1"/>
  <c r="J84" i="2"/>
  <c r="J100" i="2" s="1"/>
  <c r="J116" i="2" s="1"/>
  <c r="J81" i="2"/>
  <c r="J97" i="2" s="1"/>
  <c r="J113" i="2" s="1"/>
  <c r="J93" i="2"/>
  <c r="J109" i="2" s="1"/>
  <c r="J125" i="2" s="1"/>
  <c r="J87" i="2"/>
  <c r="J103" i="2" s="1"/>
  <c r="J119" i="2" s="1"/>
  <c r="J104" i="2"/>
  <c r="J120" i="2"/>
  <c r="J105" i="2"/>
  <c r="J121" i="2" s="1"/>
</calcChain>
</file>

<file path=xl/sharedStrings.xml><?xml version="1.0" encoding="utf-8"?>
<sst xmlns="http://schemas.openxmlformats.org/spreadsheetml/2006/main" count="386" uniqueCount="20">
  <si>
    <t>Date</t>
  </si>
  <si>
    <t>t</t>
  </si>
  <si>
    <t>Nb_vdt</t>
  </si>
  <si>
    <t>Condition</t>
  </si>
  <si>
    <t>Nb_rep</t>
  </si>
  <si>
    <t>Food</t>
  </si>
  <si>
    <t>D1</t>
  </si>
  <si>
    <t>D2</t>
  </si>
  <si>
    <t>D5</t>
  </si>
  <si>
    <t>D7</t>
  </si>
  <si>
    <t>D2b</t>
  </si>
  <si>
    <t>Lot</t>
  </si>
  <si>
    <t>A</t>
  </si>
  <si>
    <t>B</t>
  </si>
  <si>
    <t>Keep</t>
  </si>
  <si>
    <t>Yes</t>
  </si>
  <si>
    <t>No</t>
  </si>
  <si>
    <t>Nb_cocoons</t>
  </si>
  <si>
    <t>Nb_cocoons_ind</t>
  </si>
  <si>
    <t>Reproduction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</si>
</sst>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4" fontId="0" fillId="0" borderId="1" xfId="0" applyNumberFormat="1" applyBorder="1"/>
    <xf numFmtId="0" fontId="0" fillId="0" borderId="1" xfId="0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6D1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6AFCD-BF4B-1447-B360-B662B8741FD8}">
  <dimension ref="A1:K126"/>
  <sheetViews>
    <sheetView tabSelected="1" workbookViewId="0">
      <pane ySplit="1" topLeftCell="A2" activePane="bottomLeft" state="frozen"/>
      <selection pane="bottomLeft" activeCell="L6" sqref="L6"/>
    </sheetView>
  </sheetViews>
  <sheetFormatPr baseColWidth="10" defaultRowHeight="15" x14ac:dyDescent="0.2"/>
  <cols>
    <col min="8" max="8" width="17.33203125" customWidth="1"/>
    <col min="9" max="9" width="15" customWidth="1"/>
    <col min="10" max="10" width="17.5" customWidth="1"/>
  </cols>
  <sheetData>
    <row r="1" spans="1:11" s="4" customFormat="1" x14ac:dyDescent="0.2">
      <c r="A1" s="4" t="s">
        <v>0</v>
      </c>
      <c r="B1" s="4" t="s">
        <v>1</v>
      </c>
      <c r="C1" s="4" t="s">
        <v>11</v>
      </c>
      <c r="D1" s="4" t="s">
        <v>3</v>
      </c>
      <c r="E1" s="4" t="s">
        <v>4</v>
      </c>
      <c r="F1" s="4" t="s">
        <v>2</v>
      </c>
      <c r="G1" s="4" t="s">
        <v>5</v>
      </c>
      <c r="H1" s="4" t="s">
        <v>17</v>
      </c>
      <c r="I1" s="4" t="s">
        <v>18</v>
      </c>
      <c r="J1" s="4" t="s">
        <v>19</v>
      </c>
      <c r="K1" s="4" t="s">
        <v>14</v>
      </c>
    </row>
    <row r="2" spans="1:11" x14ac:dyDescent="0.2">
      <c r="A2" s="1">
        <v>45826</v>
      </c>
      <c r="B2">
        <v>0</v>
      </c>
      <c r="C2" t="s">
        <v>12</v>
      </c>
      <c r="D2" t="s">
        <v>6</v>
      </c>
      <c r="E2">
        <v>1</v>
      </c>
      <c r="F2">
        <v>1</v>
      </c>
      <c r="G2">
        <v>3</v>
      </c>
      <c r="H2">
        <v>0</v>
      </c>
      <c r="I2">
        <f>H2/F2</f>
        <v>0</v>
      </c>
      <c r="J2">
        <v>0</v>
      </c>
      <c r="K2" t="s">
        <v>15</v>
      </c>
    </row>
    <row r="3" spans="1:11" x14ac:dyDescent="0.2">
      <c r="A3" s="1">
        <v>45826</v>
      </c>
      <c r="B3">
        <v>0</v>
      </c>
      <c r="C3" t="s">
        <v>12</v>
      </c>
      <c r="D3" t="s">
        <v>6</v>
      </c>
      <c r="E3">
        <v>2</v>
      </c>
      <c r="F3">
        <v>1</v>
      </c>
      <c r="G3">
        <v>3</v>
      </c>
      <c r="H3">
        <v>0</v>
      </c>
      <c r="I3">
        <f>H3/F3</f>
        <v>0</v>
      </c>
      <c r="J3">
        <v>0</v>
      </c>
      <c r="K3" t="s">
        <v>15</v>
      </c>
    </row>
    <row r="4" spans="1:11" x14ac:dyDescent="0.2">
      <c r="A4" s="1">
        <v>45826</v>
      </c>
      <c r="B4">
        <v>0</v>
      </c>
      <c r="C4" t="s">
        <v>12</v>
      </c>
      <c r="D4" t="s">
        <v>6</v>
      </c>
      <c r="E4">
        <v>3</v>
      </c>
      <c r="F4">
        <v>1</v>
      </c>
      <c r="G4">
        <v>3</v>
      </c>
      <c r="H4">
        <v>0</v>
      </c>
      <c r="I4">
        <f>H4/F4</f>
        <v>0</v>
      </c>
      <c r="J4">
        <v>0</v>
      </c>
      <c r="K4" t="s">
        <v>15</v>
      </c>
    </row>
    <row r="5" spans="1:11" x14ac:dyDescent="0.2">
      <c r="A5" s="1">
        <v>45826</v>
      </c>
      <c r="B5">
        <v>0</v>
      </c>
      <c r="C5" t="s">
        <v>12</v>
      </c>
      <c r="D5" t="s">
        <v>6</v>
      </c>
      <c r="E5">
        <v>4</v>
      </c>
      <c r="F5">
        <v>1</v>
      </c>
      <c r="G5">
        <v>3</v>
      </c>
      <c r="H5">
        <v>0</v>
      </c>
      <c r="I5">
        <f>H5/F5</f>
        <v>0</v>
      </c>
      <c r="J5">
        <v>0</v>
      </c>
      <c r="K5" t="s">
        <v>15</v>
      </c>
    </row>
    <row r="6" spans="1:11" x14ac:dyDescent="0.2">
      <c r="A6" s="1">
        <v>45826</v>
      </c>
      <c r="B6">
        <v>0</v>
      </c>
      <c r="C6" t="s">
        <v>12</v>
      </c>
      <c r="D6" t="s">
        <v>7</v>
      </c>
      <c r="E6">
        <v>1</v>
      </c>
      <c r="F6">
        <v>2</v>
      </c>
      <c r="G6">
        <v>1.5</v>
      </c>
      <c r="H6">
        <v>0</v>
      </c>
      <c r="I6">
        <f>H6/F6</f>
        <v>0</v>
      </c>
      <c r="J6">
        <v>0</v>
      </c>
      <c r="K6" t="s">
        <v>15</v>
      </c>
    </row>
    <row r="7" spans="1:11" x14ac:dyDescent="0.2">
      <c r="A7" s="1">
        <v>45826</v>
      </c>
      <c r="B7">
        <v>0</v>
      </c>
      <c r="C7" t="s">
        <v>12</v>
      </c>
      <c r="D7" t="s">
        <v>7</v>
      </c>
      <c r="E7">
        <v>2</v>
      </c>
      <c r="F7">
        <v>2</v>
      </c>
      <c r="G7">
        <v>1.5</v>
      </c>
      <c r="H7">
        <v>0</v>
      </c>
      <c r="I7">
        <f>H7/F7</f>
        <v>0</v>
      </c>
      <c r="J7">
        <v>0</v>
      </c>
      <c r="K7" t="s">
        <v>15</v>
      </c>
    </row>
    <row r="8" spans="1:11" x14ac:dyDescent="0.2">
      <c r="A8" s="1">
        <v>45826</v>
      </c>
      <c r="B8">
        <v>0</v>
      </c>
      <c r="C8" t="s">
        <v>12</v>
      </c>
      <c r="D8" t="s">
        <v>7</v>
      </c>
      <c r="E8">
        <v>3</v>
      </c>
      <c r="F8">
        <v>2</v>
      </c>
      <c r="G8">
        <v>1.5</v>
      </c>
      <c r="H8">
        <v>0</v>
      </c>
      <c r="I8">
        <f>H8/F8</f>
        <v>0</v>
      </c>
      <c r="J8">
        <v>0</v>
      </c>
      <c r="K8" t="s">
        <v>15</v>
      </c>
    </row>
    <row r="9" spans="1:11" x14ac:dyDescent="0.2">
      <c r="A9" s="1">
        <v>45826</v>
      </c>
      <c r="B9">
        <v>0</v>
      </c>
      <c r="C9" t="s">
        <v>12</v>
      </c>
      <c r="D9" t="s">
        <v>7</v>
      </c>
      <c r="E9">
        <v>4</v>
      </c>
      <c r="F9">
        <v>2</v>
      </c>
      <c r="G9">
        <v>1.5</v>
      </c>
      <c r="H9">
        <v>0</v>
      </c>
      <c r="I9">
        <f>H9/F9</f>
        <v>0</v>
      </c>
      <c r="J9">
        <v>0</v>
      </c>
      <c r="K9" t="s">
        <v>15</v>
      </c>
    </row>
    <row r="10" spans="1:11" x14ac:dyDescent="0.2">
      <c r="A10" s="1">
        <v>45826</v>
      </c>
      <c r="B10">
        <v>0</v>
      </c>
      <c r="C10" t="s">
        <v>12</v>
      </c>
      <c r="D10" t="s">
        <v>10</v>
      </c>
      <c r="E10">
        <v>1</v>
      </c>
      <c r="F10">
        <v>2</v>
      </c>
      <c r="G10">
        <v>3</v>
      </c>
      <c r="H10">
        <v>0</v>
      </c>
      <c r="I10">
        <f>H10/F10</f>
        <v>0</v>
      </c>
      <c r="J10">
        <v>0</v>
      </c>
      <c r="K10" t="s">
        <v>15</v>
      </c>
    </row>
    <row r="11" spans="1:11" x14ac:dyDescent="0.2">
      <c r="A11" s="1">
        <v>45826</v>
      </c>
      <c r="B11">
        <v>0</v>
      </c>
      <c r="C11" t="s">
        <v>12</v>
      </c>
      <c r="D11" t="s">
        <v>10</v>
      </c>
      <c r="E11">
        <v>2</v>
      </c>
      <c r="F11">
        <v>2</v>
      </c>
      <c r="G11">
        <v>3</v>
      </c>
      <c r="H11">
        <v>0</v>
      </c>
      <c r="I11">
        <f>H11/F11</f>
        <v>0</v>
      </c>
      <c r="J11">
        <v>0</v>
      </c>
      <c r="K11" t="s">
        <v>15</v>
      </c>
    </row>
    <row r="12" spans="1:11" x14ac:dyDescent="0.2">
      <c r="A12" s="1">
        <v>45826</v>
      </c>
      <c r="B12">
        <v>0</v>
      </c>
      <c r="C12" t="s">
        <v>12</v>
      </c>
      <c r="D12" t="s">
        <v>10</v>
      </c>
      <c r="E12">
        <v>3</v>
      </c>
      <c r="F12">
        <v>2</v>
      </c>
      <c r="G12">
        <v>3</v>
      </c>
      <c r="H12">
        <v>0</v>
      </c>
      <c r="I12">
        <f>H12/F12</f>
        <v>0</v>
      </c>
      <c r="J12">
        <v>0</v>
      </c>
      <c r="K12" t="s">
        <v>15</v>
      </c>
    </row>
    <row r="13" spans="1:11" x14ac:dyDescent="0.2">
      <c r="A13" s="1">
        <v>45826</v>
      </c>
      <c r="B13">
        <v>0</v>
      </c>
      <c r="C13" t="s">
        <v>12</v>
      </c>
      <c r="D13" t="s">
        <v>10</v>
      </c>
      <c r="E13">
        <v>4</v>
      </c>
      <c r="F13">
        <v>2</v>
      </c>
      <c r="G13">
        <v>3</v>
      </c>
      <c r="H13">
        <v>0</v>
      </c>
      <c r="I13">
        <f>H13/F13</f>
        <v>0</v>
      </c>
      <c r="J13">
        <v>0</v>
      </c>
      <c r="K13" t="s">
        <v>15</v>
      </c>
    </row>
    <row r="14" spans="1:11" x14ac:dyDescent="0.2">
      <c r="A14" s="1">
        <v>45826</v>
      </c>
      <c r="B14">
        <v>0</v>
      </c>
      <c r="C14" t="s">
        <v>12</v>
      </c>
      <c r="D14" t="s">
        <v>8</v>
      </c>
      <c r="E14">
        <v>1</v>
      </c>
      <c r="F14">
        <v>5</v>
      </c>
      <c r="G14">
        <v>0.6</v>
      </c>
      <c r="H14">
        <v>0</v>
      </c>
      <c r="I14">
        <f>H14/F14</f>
        <v>0</v>
      </c>
      <c r="J14">
        <v>0</v>
      </c>
      <c r="K14" t="s">
        <v>15</v>
      </c>
    </row>
    <row r="15" spans="1:11" x14ac:dyDescent="0.2">
      <c r="A15" s="1">
        <v>45826</v>
      </c>
      <c r="B15">
        <v>0</v>
      </c>
      <c r="C15" t="s">
        <v>12</v>
      </c>
      <c r="D15" t="s">
        <v>8</v>
      </c>
      <c r="E15">
        <v>2</v>
      </c>
      <c r="F15">
        <v>5</v>
      </c>
      <c r="G15">
        <v>0.6</v>
      </c>
      <c r="H15">
        <v>0</v>
      </c>
      <c r="I15">
        <f>H15/F15</f>
        <v>0</v>
      </c>
      <c r="J15">
        <v>0</v>
      </c>
      <c r="K15" t="s">
        <v>15</v>
      </c>
    </row>
    <row r="16" spans="1:11" x14ac:dyDescent="0.2">
      <c r="A16" s="1">
        <v>45826</v>
      </c>
      <c r="B16">
        <v>0</v>
      </c>
      <c r="C16" t="s">
        <v>12</v>
      </c>
      <c r="D16" t="s">
        <v>8</v>
      </c>
      <c r="E16">
        <v>3</v>
      </c>
      <c r="F16">
        <v>5</v>
      </c>
      <c r="G16">
        <v>0.6</v>
      </c>
      <c r="H16">
        <v>0</v>
      </c>
      <c r="I16">
        <f>H16/F16</f>
        <v>0</v>
      </c>
      <c r="J16">
        <v>0</v>
      </c>
      <c r="K16" t="s">
        <v>15</v>
      </c>
    </row>
    <row r="17" spans="1:11" x14ac:dyDescent="0.2">
      <c r="A17" s="1">
        <v>45826</v>
      </c>
      <c r="B17">
        <v>0</v>
      </c>
      <c r="C17" t="s">
        <v>12</v>
      </c>
      <c r="D17" t="s">
        <v>8</v>
      </c>
      <c r="E17">
        <v>4</v>
      </c>
      <c r="F17">
        <v>5</v>
      </c>
      <c r="G17">
        <v>0.6</v>
      </c>
      <c r="H17">
        <v>0</v>
      </c>
      <c r="I17">
        <f>H17/F17</f>
        <v>0</v>
      </c>
      <c r="J17">
        <v>0</v>
      </c>
      <c r="K17" t="s">
        <v>15</v>
      </c>
    </row>
    <row r="18" spans="1:11" x14ac:dyDescent="0.2">
      <c r="A18" s="1">
        <v>45826</v>
      </c>
      <c r="B18">
        <v>0</v>
      </c>
      <c r="C18" t="s">
        <v>12</v>
      </c>
      <c r="D18" t="s">
        <v>9</v>
      </c>
      <c r="E18">
        <v>1</v>
      </c>
      <c r="F18">
        <v>7</v>
      </c>
      <c r="G18">
        <v>0.42857142857142855</v>
      </c>
      <c r="H18">
        <v>0</v>
      </c>
      <c r="I18">
        <f>H18/F18</f>
        <v>0</v>
      </c>
      <c r="J18">
        <v>0</v>
      </c>
      <c r="K18" t="s">
        <v>15</v>
      </c>
    </row>
    <row r="19" spans="1:11" x14ac:dyDescent="0.2">
      <c r="A19" s="1">
        <v>45826</v>
      </c>
      <c r="B19">
        <v>0</v>
      </c>
      <c r="C19" t="s">
        <v>12</v>
      </c>
      <c r="D19" t="s">
        <v>9</v>
      </c>
      <c r="E19">
        <v>2</v>
      </c>
      <c r="F19">
        <v>7</v>
      </c>
      <c r="G19">
        <v>0.42857142857142855</v>
      </c>
      <c r="H19">
        <v>0</v>
      </c>
      <c r="I19">
        <f>H19/F19</f>
        <v>0</v>
      </c>
      <c r="J19">
        <v>0</v>
      </c>
      <c r="K19" t="s">
        <v>15</v>
      </c>
    </row>
    <row r="20" spans="1:11" x14ac:dyDescent="0.2">
      <c r="A20" s="1">
        <v>45826</v>
      </c>
      <c r="B20">
        <v>0</v>
      </c>
      <c r="C20" t="s">
        <v>12</v>
      </c>
      <c r="D20" t="s">
        <v>9</v>
      </c>
      <c r="E20">
        <v>3</v>
      </c>
      <c r="F20">
        <v>7</v>
      </c>
      <c r="G20">
        <v>0.42857142857142855</v>
      </c>
      <c r="H20">
        <v>0</v>
      </c>
      <c r="I20">
        <f>H20/F20</f>
        <v>0</v>
      </c>
      <c r="J20">
        <v>0</v>
      </c>
      <c r="K20" t="s">
        <v>15</v>
      </c>
    </row>
    <row r="21" spans="1:11" s="3" customFormat="1" x14ac:dyDescent="0.2">
      <c r="A21" s="2">
        <v>45826</v>
      </c>
      <c r="B21" s="3">
        <v>0</v>
      </c>
      <c r="C21" s="3" t="s">
        <v>12</v>
      </c>
      <c r="D21" s="3" t="s">
        <v>9</v>
      </c>
      <c r="E21" s="3">
        <v>4</v>
      </c>
      <c r="F21" s="3">
        <v>7</v>
      </c>
      <c r="G21" s="3">
        <v>0.42857142857142855</v>
      </c>
      <c r="H21" s="3">
        <v>0</v>
      </c>
      <c r="I21" s="3">
        <f>H21/F21</f>
        <v>0</v>
      </c>
      <c r="J21" s="3">
        <v>0</v>
      </c>
      <c r="K21" s="3" t="s">
        <v>15</v>
      </c>
    </row>
    <row r="22" spans="1:11" x14ac:dyDescent="0.2">
      <c r="A22" s="1">
        <v>45854</v>
      </c>
      <c r="B22">
        <v>28</v>
      </c>
      <c r="C22" t="s">
        <v>12</v>
      </c>
      <c r="D22" t="s">
        <v>6</v>
      </c>
      <c r="E22">
        <v>1</v>
      </c>
      <c r="F22">
        <v>1</v>
      </c>
      <c r="G22">
        <v>3</v>
      </c>
      <c r="H22">
        <v>0</v>
      </c>
      <c r="I22">
        <f>H22/F22</f>
        <v>0</v>
      </c>
      <c r="J22">
        <v>0</v>
      </c>
      <c r="K22" t="s">
        <v>15</v>
      </c>
    </row>
    <row r="23" spans="1:11" x14ac:dyDescent="0.2">
      <c r="A23" s="1">
        <v>45854</v>
      </c>
      <c r="B23">
        <v>28</v>
      </c>
      <c r="C23" t="s">
        <v>12</v>
      </c>
      <c r="D23" t="s">
        <v>6</v>
      </c>
      <c r="E23">
        <v>2</v>
      </c>
      <c r="F23">
        <v>1</v>
      </c>
      <c r="G23">
        <v>3</v>
      </c>
      <c r="H23">
        <v>0</v>
      </c>
      <c r="I23">
        <f>H23/F23</f>
        <v>0</v>
      </c>
      <c r="J23">
        <v>0</v>
      </c>
      <c r="K23" t="s">
        <v>15</v>
      </c>
    </row>
    <row r="24" spans="1:11" x14ac:dyDescent="0.2">
      <c r="A24" s="1">
        <v>45854</v>
      </c>
      <c r="B24">
        <v>28</v>
      </c>
      <c r="C24" t="s">
        <v>12</v>
      </c>
      <c r="D24" t="s">
        <v>6</v>
      </c>
      <c r="E24">
        <v>3</v>
      </c>
      <c r="F24">
        <v>1</v>
      </c>
      <c r="G24">
        <v>3</v>
      </c>
      <c r="H24">
        <v>0</v>
      </c>
      <c r="I24">
        <f>H24/F24</f>
        <v>0</v>
      </c>
      <c r="J24">
        <v>0</v>
      </c>
      <c r="K24" t="s">
        <v>15</v>
      </c>
    </row>
    <row r="25" spans="1:11" x14ac:dyDescent="0.2">
      <c r="A25" s="1">
        <v>45854</v>
      </c>
      <c r="B25">
        <v>28</v>
      </c>
      <c r="C25" t="s">
        <v>12</v>
      </c>
      <c r="D25" t="s">
        <v>6</v>
      </c>
      <c r="E25">
        <v>4</v>
      </c>
      <c r="F25">
        <v>1</v>
      </c>
      <c r="G25">
        <v>3</v>
      </c>
      <c r="H25">
        <v>0</v>
      </c>
      <c r="I25">
        <f>H25/F25</f>
        <v>0</v>
      </c>
      <c r="J25">
        <v>0</v>
      </c>
      <c r="K25" t="s">
        <v>15</v>
      </c>
    </row>
    <row r="26" spans="1:11" x14ac:dyDescent="0.2">
      <c r="A26" s="1">
        <v>45854</v>
      </c>
      <c r="B26">
        <v>28</v>
      </c>
      <c r="C26" t="s">
        <v>12</v>
      </c>
      <c r="D26" t="s">
        <v>7</v>
      </c>
      <c r="E26">
        <v>1</v>
      </c>
      <c r="F26">
        <v>2</v>
      </c>
      <c r="G26">
        <v>1.5</v>
      </c>
      <c r="H26">
        <v>0</v>
      </c>
      <c r="I26">
        <f>H26/F26</f>
        <v>0</v>
      </c>
      <c r="J26">
        <v>0</v>
      </c>
      <c r="K26" t="s">
        <v>15</v>
      </c>
    </row>
    <row r="27" spans="1:11" x14ac:dyDescent="0.2">
      <c r="A27" s="1">
        <v>45854</v>
      </c>
      <c r="B27">
        <v>28</v>
      </c>
      <c r="C27" t="s">
        <v>12</v>
      </c>
      <c r="D27" t="s">
        <v>7</v>
      </c>
      <c r="E27">
        <v>2</v>
      </c>
      <c r="F27">
        <v>2</v>
      </c>
      <c r="G27">
        <v>1.5</v>
      </c>
      <c r="H27">
        <v>0</v>
      </c>
      <c r="I27">
        <f>H27/F27</f>
        <v>0</v>
      </c>
      <c r="J27">
        <v>0</v>
      </c>
      <c r="K27" t="s">
        <v>15</v>
      </c>
    </row>
    <row r="28" spans="1:11" x14ac:dyDescent="0.2">
      <c r="A28" s="1">
        <v>45854</v>
      </c>
      <c r="B28">
        <v>28</v>
      </c>
      <c r="C28" t="s">
        <v>12</v>
      </c>
      <c r="D28" t="s">
        <v>7</v>
      </c>
      <c r="E28">
        <v>3</v>
      </c>
      <c r="F28">
        <v>2</v>
      </c>
      <c r="G28">
        <v>1.5</v>
      </c>
      <c r="H28">
        <v>0</v>
      </c>
      <c r="I28">
        <f>H28/F28</f>
        <v>0</v>
      </c>
      <c r="J28">
        <v>0</v>
      </c>
      <c r="K28" t="s">
        <v>15</v>
      </c>
    </row>
    <row r="29" spans="1:11" x14ac:dyDescent="0.2">
      <c r="A29" s="1">
        <v>45854</v>
      </c>
      <c r="B29">
        <v>28</v>
      </c>
      <c r="C29" t="s">
        <v>12</v>
      </c>
      <c r="D29" t="s">
        <v>7</v>
      </c>
      <c r="E29">
        <v>4</v>
      </c>
      <c r="F29">
        <v>2</v>
      </c>
      <c r="G29">
        <v>1.5</v>
      </c>
      <c r="H29">
        <v>0</v>
      </c>
      <c r="I29">
        <f>H29/F29</f>
        <v>0</v>
      </c>
      <c r="J29">
        <v>0</v>
      </c>
      <c r="K29" t="s">
        <v>15</v>
      </c>
    </row>
    <row r="30" spans="1:11" x14ac:dyDescent="0.2">
      <c r="A30" s="1">
        <v>45854</v>
      </c>
      <c r="B30">
        <v>28</v>
      </c>
      <c r="C30" t="s">
        <v>12</v>
      </c>
      <c r="D30" t="s">
        <v>10</v>
      </c>
      <c r="E30">
        <v>1</v>
      </c>
      <c r="F30">
        <v>1</v>
      </c>
      <c r="G30">
        <v>3</v>
      </c>
      <c r="H30">
        <v>0</v>
      </c>
      <c r="I30">
        <f>H30/F30</f>
        <v>0</v>
      </c>
      <c r="J30">
        <v>0</v>
      </c>
      <c r="K30" t="s">
        <v>15</v>
      </c>
    </row>
    <row r="31" spans="1:11" x14ac:dyDescent="0.2">
      <c r="A31" s="1">
        <v>45854</v>
      </c>
      <c r="B31">
        <v>28</v>
      </c>
      <c r="C31" t="s">
        <v>12</v>
      </c>
      <c r="D31" t="s">
        <v>10</v>
      </c>
      <c r="E31">
        <v>2</v>
      </c>
      <c r="F31">
        <v>1</v>
      </c>
      <c r="G31">
        <v>3</v>
      </c>
      <c r="H31">
        <v>0</v>
      </c>
      <c r="I31">
        <f>H31/F31</f>
        <v>0</v>
      </c>
      <c r="J31">
        <v>0</v>
      </c>
      <c r="K31" t="s">
        <v>16</v>
      </c>
    </row>
    <row r="32" spans="1:11" x14ac:dyDescent="0.2">
      <c r="A32" s="1">
        <v>45854</v>
      </c>
      <c r="B32">
        <v>28</v>
      </c>
      <c r="C32" t="s">
        <v>12</v>
      </c>
      <c r="D32" t="s">
        <v>10</v>
      </c>
      <c r="E32">
        <v>3</v>
      </c>
      <c r="F32">
        <v>1</v>
      </c>
      <c r="G32">
        <v>3</v>
      </c>
      <c r="H32">
        <v>0</v>
      </c>
      <c r="I32">
        <f>H32/F32</f>
        <v>0</v>
      </c>
      <c r="J32">
        <v>0</v>
      </c>
      <c r="K32" t="s">
        <v>16</v>
      </c>
    </row>
    <row r="33" spans="1:11" x14ac:dyDescent="0.2">
      <c r="A33" s="1">
        <v>45854</v>
      </c>
      <c r="B33">
        <v>0</v>
      </c>
      <c r="C33" t="s">
        <v>13</v>
      </c>
      <c r="D33" t="s">
        <v>10</v>
      </c>
      <c r="E33">
        <v>1</v>
      </c>
      <c r="F33">
        <v>2</v>
      </c>
      <c r="G33">
        <v>3</v>
      </c>
      <c r="H33">
        <v>0</v>
      </c>
      <c r="I33">
        <f>H33/F33</f>
        <v>0</v>
      </c>
      <c r="J33">
        <v>0</v>
      </c>
      <c r="K33" t="s">
        <v>15</v>
      </c>
    </row>
    <row r="34" spans="1:11" x14ac:dyDescent="0.2">
      <c r="A34" s="1">
        <v>45854</v>
      </c>
      <c r="B34">
        <v>0</v>
      </c>
      <c r="C34" t="s">
        <v>13</v>
      </c>
      <c r="D34" t="s">
        <v>10</v>
      </c>
      <c r="E34">
        <v>2</v>
      </c>
      <c r="F34">
        <v>2</v>
      </c>
      <c r="G34">
        <v>3</v>
      </c>
      <c r="H34">
        <v>0</v>
      </c>
      <c r="I34">
        <f>H34/F34</f>
        <v>0</v>
      </c>
      <c r="J34">
        <v>0</v>
      </c>
      <c r="K34" t="s">
        <v>15</v>
      </c>
    </row>
    <row r="35" spans="1:11" x14ac:dyDescent="0.2">
      <c r="A35" s="1">
        <v>45854</v>
      </c>
      <c r="B35">
        <v>0</v>
      </c>
      <c r="C35" t="s">
        <v>13</v>
      </c>
      <c r="D35" t="s">
        <v>10</v>
      </c>
      <c r="E35">
        <v>3</v>
      </c>
      <c r="F35">
        <v>2</v>
      </c>
      <c r="G35">
        <v>3</v>
      </c>
      <c r="H35">
        <v>0</v>
      </c>
      <c r="I35">
        <f>H35/F35</f>
        <v>0</v>
      </c>
      <c r="J35">
        <v>0</v>
      </c>
      <c r="K35" t="s">
        <v>15</v>
      </c>
    </row>
    <row r="36" spans="1:11" x14ac:dyDescent="0.2">
      <c r="A36" s="1">
        <v>45854</v>
      </c>
      <c r="B36">
        <v>28</v>
      </c>
      <c r="C36" t="s">
        <v>12</v>
      </c>
      <c r="D36" t="s">
        <v>10</v>
      </c>
      <c r="E36">
        <v>4</v>
      </c>
      <c r="F36">
        <v>2</v>
      </c>
      <c r="G36">
        <v>3</v>
      </c>
      <c r="H36">
        <v>0</v>
      </c>
      <c r="I36">
        <f>H36/F36</f>
        <v>0</v>
      </c>
      <c r="J36">
        <v>0</v>
      </c>
      <c r="K36" t="s">
        <v>15</v>
      </c>
    </row>
    <row r="37" spans="1:11" x14ac:dyDescent="0.2">
      <c r="A37" s="1">
        <v>45854</v>
      </c>
      <c r="B37">
        <v>28</v>
      </c>
      <c r="C37" t="s">
        <v>12</v>
      </c>
      <c r="D37" t="s">
        <v>8</v>
      </c>
      <c r="E37">
        <v>1</v>
      </c>
      <c r="F37">
        <v>5</v>
      </c>
      <c r="G37">
        <v>0.6</v>
      </c>
      <c r="H37">
        <v>0</v>
      </c>
      <c r="I37">
        <f>H37/F37</f>
        <v>0</v>
      </c>
      <c r="J37">
        <v>0</v>
      </c>
      <c r="K37" t="s">
        <v>15</v>
      </c>
    </row>
    <row r="38" spans="1:11" x14ac:dyDescent="0.2">
      <c r="A38" s="1">
        <v>45854</v>
      </c>
      <c r="B38">
        <v>28</v>
      </c>
      <c r="C38" t="s">
        <v>12</v>
      </c>
      <c r="D38" t="s">
        <v>8</v>
      </c>
      <c r="E38">
        <v>2</v>
      </c>
      <c r="F38">
        <v>5</v>
      </c>
      <c r="G38">
        <v>0.6</v>
      </c>
      <c r="H38">
        <v>0</v>
      </c>
      <c r="I38">
        <f>H38/F38</f>
        <v>0</v>
      </c>
      <c r="J38">
        <v>0</v>
      </c>
      <c r="K38" t="s">
        <v>15</v>
      </c>
    </row>
    <row r="39" spans="1:11" x14ac:dyDescent="0.2">
      <c r="A39" s="1">
        <v>45854</v>
      </c>
      <c r="B39">
        <v>28</v>
      </c>
      <c r="C39" t="s">
        <v>12</v>
      </c>
      <c r="D39" t="s">
        <v>8</v>
      </c>
      <c r="E39">
        <v>3</v>
      </c>
      <c r="F39">
        <v>5</v>
      </c>
      <c r="G39">
        <v>0.6</v>
      </c>
      <c r="H39">
        <v>0</v>
      </c>
      <c r="I39">
        <f>H39/F39</f>
        <v>0</v>
      </c>
      <c r="J39">
        <v>0</v>
      </c>
      <c r="K39" t="s">
        <v>15</v>
      </c>
    </row>
    <row r="40" spans="1:11" x14ac:dyDescent="0.2">
      <c r="A40" s="1">
        <v>45854</v>
      </c>
      <c r="B40">
        <v>28</v>
      </c>
      <c r="C40" t="s">
        <v>12</v>
      </c>
      <c r="D40" t="s">
        <v>8</v>
      </c>
      <c r="E40">
        <v>4</v>
      </c>
      <c r="F40">
        <v>5</v>
      </c>
      <c r="G40">
        <v>0.6</v>
      </c>
      <c r="H40">
        <v>0</v>
      </c>
      <c r="I40">
        <f>H40/F40</f>
        <v>0</v>
      </c>
      <c r="J40">
        <v>0</v>
      </c>
      <c r="K40" t="s">
        <v>15</v>
      </c>
    </row>
    <row r="41" spans="1:11" x14ac:dyDescent="0.2">
      <c r="A41" s="1">
        <v>45854</v>
      </c>
      <c r="B41">
        <v>28</v>
      </c>
      <c r="C41" t="s">
        <v>12</v>
      </c>
      <c r="D41" t="s">
        <v>9</v>
      </c>
      <c r="E41">
        <v>1</v>
      </c>
      <c r="F41">
        <v>6</v>
      </c>
      <c r="G41">
        <v>0.42857142857142855</v>
      </c>
      <c r="H41">
        <v>0</v>
      </c>
      <c r="I41">
        <f>H41/F41</f>
        <v>0</v>
      </c>
      <c r="J41">
        <v>0</v>
      </c>
      <c r="K41" t="s">
        <v>16</v>
      </c>
    </row>
    <row r="42" spans="1:11" x14ac:dyDescent="0.2">
      <c r="A42" s="1">
        <v>45854</v>
      </c>
      <c r="B42">
        <v>28</v>
      </c>
      <c r="C42" t="s">
        <v>12</v>
      </c>
      <c r="D42" t="s">
        <v>9</v>
      </c>
      <c r="E42">
        <v>2</v>
      </c>
      <c r="F42">
        <v>7</v>
      </c>
      <c r="G42">
        <v>0.42857142857142855</v>
      </c>
      <c r="H42">
        <v>0</v>
      </c>
      <c r="I42">
        <f>H42/F42</f>
        <v>0</v>
      </c>
      <c r="J42">
        <v>0</v>
      </c>
      <c r="K42" t="s">
        <v>15</v>
      </c>
    </row>
    <row r="43" spans="1:11" x14ac:dyDescent="0.2">
      <c r="A43" s="1">
        <v>45854</v>
      </c>
      <c r="B43">
        <v>28</v>
      </c>
      <c r="C43" t="s">
        <v>12</v>
      </c>
      <c r="D43" t="s">
        <v>9</v>
      </c>
      <c r="E43">
        <v>3</v>
      </c>
      <c r="F43">
        <v>7</v>
      </c>
      <c r="G43">
        <v>0.42857142857142855</v>
      </c>
      <c r="H43">
        <v>0</v>
      </c>
      <c r="I43">
        <f>H43/F43</f>
        <v>0</v>
      </c>
      <c r="J43">
        <v>0</v>
      </c>
      <c r="K43" t="s">
        <v>15</v>
      </c>
    </row>
    <row r="44" spans="1:11" s="3" customFormat="1" x14ac:dyDescent="0.2">
      <c r="A44" s="2">
        <v>45854</v>
      </c>
      <c r="B44" s="3">
        <v>28</v>
      </c>
      <c r="C44" s="3" t="s">
        <v>12</v>
      </c>
      <c r="D44" s="3" t="s">
        <v>9</v>
      </c>
      <c r="E44" s="3">
        <v>4</v>
      </c>
      <c r="F44" s="3">
        <v>7</v>
      </c>
      <c r="G44" s="3">
        <v>0.42857142857142855</v>
      </c>
      <c r="H44" s="3">
        <v>0</v>
      </c>
      <c r="I44" s="3">
        <f>H44/F44</f>
        <v>0</v>
      </c>
      <c r="J44" s="3">
        <v>0</v>
      </c>
      <c r="K44" s="3" t="s">
        <v>15</v>
      </c>
    </row>
    <row r="45" spans="1:11" x14ac:dyDescent="0.2">
      <c r="A45" s="1">
        <v>45882</v>
      </c>
      <c r="B45">
        <v>56</v>
      </c>
      <c r="C45" t="s">
        <v>12</v>
      </c>
      <c r="D45" t="s">
        <v>6</v>
      </c>
      <c r="E45">
        <v>1</v>
      </c>
      <c r="F45">
        <v>1</v>
      </c>
      <c r="G45">
        <v>3</v>
      </c>
      <c r="H45">
        <v>0</v>
      </c>
      <c r="I45">
        <f>H45/F45</f>
        <v>0</v>
      </c>
      <c r="J45">
        <v>0</v>
      </c>
      <c r="K45" t="s">
        <v>15</v>
      </c>
    </row>
    <row r="46" spans="1:11" x14ac:dyDescent="0.2">
      <c r="A46" s="1">
        <v>45882</v>
      </c>
      <c r="B46">
        <v>56</v>
      </c>
      <c r="C46" t="s">
        <v>12</v>
      </c>
      <c r="D46" t="s">
        <v>6</v>
      </c>
      <c r="E46">
        <v>2</v>
      </c>
      <c r="F46">
        <v>1</v>
      </c>
      <c r="G46">
        <v>3</v>
      </c>
      <c r="H46">
        <v>0</v>
      </c>
      <c r="I46">
        <f>H46/F46</f>
        <v>0</v>
      </c>
      <c r="J46">
        <v>0</v>
      </c>
      <c r="K46" t="s">
        <v>15</v>
      </c>
    </row>
    <row r="47" spans="1:11" x14ac:dyDescent="0.2">
      <c r="A47" s="1">
        <v>45882</v>
      </c>
      <c r="B47">
        <v>56</v>
      </c>
      <c r="C47" t="s">
        <v>12</v>
      </c>
      <c r="D47" t="s">
        <v>6</v>
      </c>
      <c r="E47">
        <v>3</v>
      </c>
      <c r="F47">
        <v>1</v>
      </c>
      <c r="G47">
        <v>3</v>
      </c>
      <c r="H47">
        <v>0</v>
      </c>
      <c r="I47">
        <f>H47/F47</f>
        <v>0</v>
      </c>
      <c r="J47">
        <v>0</v>
      </c>
      <c r="K47" t="s">
        <v>15</v>
      </c>
    </row>
    <row r="48" spans="1:11" x14ac:dyDescent="0.2">
      <c r="A48" s="1">
        <v>45882</v>
      </c>
      <c r="B48">
        <v>56</v>
      </c>
      <c r="C48" t="s">
        <v>12</v>
      </c>
      <c r="D48" t="s">
        <v>6</v>
      </c>
      <c r="E48">
        <v>4</v>
      </c>
      <c r="F48">
        <v>1</v>
      </c>
      <c r="G48">
        <v>3</v>
      </c>
      <c r="H48">
        <v>0</v>
      </c>
      <c r="I48">
        <f>H48/F48</f>
        <v>0</v>
      </c>
      <c r="J48">
        <v>0</v>
      </c>
      <c r="K48" t="s">
        <v>15</v>
      </c>
    </row>
    <row r="49" spans="1:11" x14ac:dyDescent="0.2">
      <c r="A49" s="1">
        <v>45882</v>
      </c>
      <c r="B49">
        <v>56</v>
      </c>
      <c r="C49" t="s">
        <v>12</v>
      </c>
      <c r="D49" t="s">
        <v>7</v>
      </c>
      <c r="E49">
        <v>1</v>
      </c>
      <c r="F49">
        <v>2</v>
      </c>
      <c r="G49">
        <v>1.5</v>
      </c>
      <c r="H49">
        <v>0</v>
      </c>
      <c r="I49">
        <f>H49/F49</f>
        <v>0</v>
      </c>
      <c r="J49">
        <v>0</v>
      </c>
      <c r="K49" t="s">
        <v>15</v>
      </c>
    </row>
    <row r="50" spans="1:11" x14ac:dyDescent="0.2">
      <c r="A50" s="1">
        <v>45882</v>
      </c>
      <c r="B50">
        <v>56</v>
      </c>
      <c r="C50" t="s">
        <v>12</v>
      </c>
      <c r="D50" t="s">
        <v>7</v>
      </c>
      <c r="E50">
        <v>2</v>
      </c>
      <c r="F50">
        <v>2</v>
      </c>
      <c r="G50">
        <v>1.5</v>
      </c>
      <c r="H50">
        <v>0</v>
      </c>
      <c r="I50">
        <f>H50/F50</f>
        <v>0</v>
      </c>
      <c r="J50">
        <v>0</v>
      </c>
      <c r="K50" t="s">
        <v>15</v>
      </c>
    </row>
    <row r="51" spans="1:11" x14ac:dyDescent="0.2">
      <c r="A51" s="1">
        <v>45882</v>
      </c>
      <c r="B51">
        <v>56</v>
      </c>
      <c r="C51" t="s">
        <v>12</v>
      </c>
      <c r="D51" t="s">
        <v>7</v>
      </c>
      <c r="E51">
        <v>3</v>
      </c>
      <c r="F51">
        <v>2</v>
      </c>
      <c r="G51">
        <v>1.5</v>
      </c>
      <c r="H51">
        <v>0</v>
      </c>
      <c r="I51">
        <f>H51/F51</f>
        <v>0</v>
      </c>
      <c r="J51">
        <v>0</v>
      </c>
      <c r="K51" t="s">
        <v>15</v>
      </c>
    </row>
    <row r="52" spans="1:11" x14ac:dyDescent="0.2">
      <c r="A52" s="1">
        <v>45882</v>
      </c>
      <c r="B52">
        <v>56</v>
      </c>
      <c r="C52" t="s">
        <v>12</v>
      </c>
      <c r="D52" t="s">
        <v>7</v>
      </c>
      <c r="E52">
        <v>4</v>
      </c>
      <c r="F52">
        <v>2</v>
      </c>
      <c r="G52">
        <v>1.5</v>
      </c>
      <c r="H52">
        <v>0</v>
      </c>
      <c r="I52">
        <f>H52/F52</f>
        <v>0</v>
      </c>
      <c r="J52">
        <v>0</v>
      </c>
      <c r="K52" t="s">
        <v>15</v>
      </c>
    </row>
    <row r="53" spans="1:11" x14ac:dyDescent="0.2">
      <c r="A53" s="1">
        <v>45882</v>
      </c>
      <c r="B53">
        <v>28</v>
      </c>
      <c r="C53" t="s">
        <v>13</v>
      </c>
      <c r="D53" t="s">
        <v>10</v>
      </c>
      <c r="E53">
        <v>3</v>
      </c>
      <c r="F53">
        <v>2</v>
      </c>
      <c r="G53">
        <v>3</v>
      </c>
      <c r="H53">
        <v>0</v>
      </c>
      <c r="I53">
        <f>H53/F53</f>
        <v>0</v>
      </c>
      <c r="J53">
        <v>0</v>
      </c>
      <c r="K53" t="s">
        <v>15</v>
      </c>
    </row>
    <row r="54" spans="1:11" x14ac:dyDescent="0.2">
      <c r="A54" s="1">
        <v>45882</v>
      </c>
      <c r="B54">
        <v>56</v>
      </c>
      <c r="C54" t="s">
        <v>12</v>
      </c>
      <c r="D54" t="s">
        <v>10</v>
      </c>
      <c r="E54">
        <v>4</v>
      </c>
      <c r="F54">
        <v>2</v>
      </c>
      <c r="G54">
        <v>3</v>
      </c>
      <c r="H54">
        <v>0</v>
      </c>
      <c r="I54">
        <f>H54/F54</f>
        <v>0</v>
      </c>
      <c r="J54">
        <v>0</v>
      </c>
      <c r="K54" t="s">
        <v>15</v>
      </c>
    </row>
    <row r="55" spans="1:11" x14ac:dyDescent="0.2">
      <c r="A55" s="1">
        <v>45882</v>
      </c>
      <c r="B55">
        <v>56</v>
      </c>
      <c r="C55" t="s">
        <v>12</v>
      </c>
      <c r="D55" t="s">
        <v>8</v>
      </c>
      <c r="E55">
        <v>1</v>
      </c>
      <c r="F55">
        <v>5</v>
      </c>
      <c r="G55">
        <v>0.6</v>
      </c>
      <c r="H55">
        <v>0</v>
      </c>
      <c r="I55">
        <f>H55/F55</f>
        <v>0</v>
      </c>
      <c r="J55">
        <v>0</v>
      </c>
      <c r="K55" t="s">
        <v>15</v>
      </c>
    </row>
    <row r="56" spans="1:11" x14ac:dyDescent="0.2">
      <c r="A56" s="1">
        <v>45882</v>
      </c>
      <c r="B56">
        <v>56</v>
      </c>
      <c r="C56" t="s">
        <v>12</v>
      </c>
      <c r="D56" t="s">
        <v>8</v>
      </c>
      <c r="E56">
        <v>2</v>
      </c>
      <c r="F56">
        <v>5</v>
      </c>
      <c r="G56">
        <v>0.6</v>
      </c>
      <c r="H56">
        <v>0</v>
      </c>
      <c r="I56">
        <f>H56/F56</f>
        <v>0</v>
      </c>
      <c r="J56">
        <v>0</v>
      </c>
      <c r="K56" t="s">
        <v>15</v>
      </c>
    </row>
    <row r="57" spans="1:11" x14ac:dyDescent="0.2">
      <c r="A57" s="1">
        <v>45882</v>
      </c>
      <c r="B57">
        <v>56</v>
      </c>
      <c r="C57" t="s">
        <v>12</v>
      </c>
      <c r="D57" t="s">
        <v>8</v>
      </c>
      <c r="E57">
        <v>3</v>
      </c>
      <c r="F57">
        <v>5</v>
      </c>
      <c r="G57">
        <v>0.6</v>
      </c>
      <c r="H57">
        <v>0</v>
      </c>
      <c r="I57">
        <f>H57/F57</f>
        <v>0</v>
      </c>
      <c r="J57">
        <v>0</v>
      </c>
      <c r="K57" t="s">
        <v>15</v>
      </c>
    </row>
    <row r="58" spans="1:11" x14ac:dyDescent="0.2">
      <c r="A58" s="1">
        <v>45882</v>
      </c>
      <c r="B58">
        <v>56</v>
      </c>
      <c r="C58" t="s">
        <v>12</v>
      </c>
      <c r="D58" t="s">
        <v>8</v>
      </c>
      <c r="E58">
        <v>4</v>
      </c>
      <c r="F58">
        <v>5</v>
      </c>
      <c r="G58">
        <v>0.6</v>
      </c>
      <c r="H58">
        <v>0</v>
      </c>
      <c r="I58">
        <f>H58/F58</f>
        <v>0</v>
      </c>
      <c r="J58">
        <v>0</v>
      </c>
      <c r="K58" t="s">
        <v>15</v>
      </c>
    </row>
    <row r="59" spans="1:11" x14ac:dyDescent="0.2">
      <c r="A59" s="1">
        <v>45882</v>
      </c>
      <c r="B59">
        <v>56</v>
      </c>
      <c r="C59" t="s">
        <v>12</v>
      </c>
      <c r="D59" t="s">
        <v>9</v>
      </c>
      <c r="E59">
        <v>1</v>
      </c>
      <c r="F59">
        <v>6</v>
      </c>
      <c r="G59">
        <v>0.42857142857142855</v>
      </c>
      <c r="H59">
        <v>0</v>
      </c>
      <c r="I59">
        <f>H59/F59</f>
        <v>0</v>
      </c>
      <c r="J59">
        <v>0</v>
      </c>
      <c r="K59" t="s">
        <v>16</v>
      </c>
    </row>
    <row r="60" spans="1:11" x14ac:dyDescent="0.2">
      <c r="A60" s="1">
        <v>45882</v>
      </c>
      <c r="B60">
        <v>56</v>
      </c>
      <c r="C60" t="s">
        <v>12</v>
      </c>
      <c r="D60" t="s">
        <v>9</v>
      </c>
      <c r="E60">
        <v>2</v>
      </c>
      <c r="F60">
        <v>7</v>
      </c>
      <c r="G60">
        <v>0.42857142857142855</v>
      </c>
      <c r="H60">
        <v>0</v>
      </c>
      <c r="I60">
        <f>H60/F60</f>
        <v>0</v>
      </c>
      <c r="J60">
        <v>0</v>
      </c>
      <c r="K60" t="s">
        <v>15</v>
      </c>
    </row>
    <row r="61" spans="1:11" x14ac:dyDescent="0.2">
      <c r="A61" s="1">
        <v>45882</v>
      </c>
      <c r="B61">
        <v>56</v>
      </c>
      <c r="C61" t="s">
        <v>12</v>
      </c>
      <c r="D61" t="s">
        <v>9</v>
      </c>
      <c r="E61">
        <v>3</v>
      </c>
      <c r="F61">
        <v>6</v>
      </c>
      <c r="G61">
        <v>0.42857142857142855</v>
      </c>
      <c r="H61">
        <v>0</v>
      </c>
      <c r="I61">
        <f>H61/F61</f>
        <v>0</v>
      </c>
      <c r="J61">
        <v>0</v>
      </c>
      <c r="K61" t="s">
        <v>16</v>
      </c>
    </row>
    <row r="62" spans="1:11" s="3" customFormat="1" x14ac:dyDescent="0.2">
      <c r="A62" s="2">
        <v>45882</v>
      </c>
      <c r="B62" s="3">
        <v>56</v>
      </c>
      <c r="C62" s="3" t="s">
        <v>12</v>
      </c>
      <c r="D62" s="3" t="s">
        <v>9</v>
      </c>
      <c r="E62" s="3">
        <v>4</v>
      </c>
      <c r="F62" s="3">
        <v>7</v>
      </c>
      <c r="G62" s="3">
        <v>0.42857142857142855</v>
      </c>
      <c r="H62" s="3">
        <v>0</v>
      </c>
      <c r="I62" s="3">
        <f>H62/F62</f>
        <v>0</v>
      </c>
      <c r="J62" s="3">
        <v>0</v>
      </c>
      <c r="K62" s="3" t="s">
        <v>15</v>
      </c>
    </row>
    <row r="63" spans="1:11" x14ac:dyDescent="0.2">
      <c r="A63" s="1">
        <v>45910</v>
      </c>
      <c r="B63">
        <v>84</v>
      </c>
      <c r="C63" t="s">
        <v>12</v>
      </c>
      <c r="D63" t="s">
        <v>6</v>
      </c>
      <c r="E63">
        <v>1</v>
      </c>
      <c r="F63">
        <v>1</v>
      </c>
      <c r="G63">
        <v>3</v>
      </c>
      <c r="H63">
        <v>0</v>
      </c>
      <c r="I63">
        <f>H63/F63</f>
        <v>0</v>
      </c>
      <c r="J63">
        <v>0</v>
      </c>
      <c r="K63" t="s">
        <v>15</v>
      </c>
    </row>
    <row r="64" spans="1:11" x14ac:dyDescent="0.2">
      <c r="A64" s="1">
        <v>45910</v>
      </c>
      <c r="B64">
        <v>84</v>
      </c>
      <c r="C64" t="s">
        <v>12</v>
      </c>
      <c r="D64" t="s">
        <v>6</v>
      </c>
      <c r="E64">
        <v>3</v>
      </c>
      <c r="F64">
        <v>1</v>
      </c>
      <c r="G64">
        <v>3</v>
      </c>
      <c r="H64">
        <v>0</v>
      </c>
      <c r="I64">
        <f>H64/F64</f>
        <v>0</v>
      </c>
      <c r="J64">
        <v>0</v>
      </c>
      <c r="K64" t="s">
        <v>15</v>
      </c>
    </row>
    <row r="65" spans="1:11" x14ac:dyDescent="0.2">
      <c r="A65" s="1">
        <v>45910</v>
      </c>
      <c r="B65">
        <v>84</v>
      </c>
      <c r="C65" t="s">
        <v>12</v>
      </c>
      <c r="D65" t="s">
        <v>7</v>
      </c>
      <c r="E65">
        <v>1</v>
      </c>
      <c r="F65">
        <v>2</v>
      </c>
      <c r="G65">
        <v>1.5</v>
      </c>
      <c r="H65">
        <v>1</v>
      </c>
      <c r="I65">
        <f>H65/F65</f>
        <v>0.5</v>
      </c>
      <c r="J65">
        <f>I65</f>
        <v>0.5</v>
      </c>
      <c r="K65" t="s">
        <v>15</v>
      </c>
    </row>
    <row r="66" spans="1:11" x14ac:dyDescent="0.2">
      <c r="A66" s="1">
        <v>45910</v>
      </c>
      <c r="B66">
        <v>84</v>
      </c>
      <c r="C66" t="s">
        <v>12</v>
      </c>
      <c r="D66" t="s">
        <v>7</v>
      </c>
      <c r="E66">
        <v>2</v>
      </c>
      <c r="F66">
        <v>2</v>
      </c>
      <c r="G66">
        <v>1.5</v>
      </c>
      <c r="H66">
        <v>1</v>
      </c>
      <c r="I66">
        <f>H66/F66</f>
        <v>0.5</v>
      </c>
      <c r="J66">
        <f t="shared" ref="J66:J78" si="0">I66</f>
        <v>0.5</v>
      </c>
      <c r="K66" t="s">
        <v>15</v>
      </c>
    </row>
    <row r="67" spans="1:11" x14ac:dyDescent="0.2">
      <c r="A67" s="1">
        <v>45910</v>
      </c>
      <c r="B67">
        <v>84</v>
      </c>
      <c r="C67" t="s">
        <v>12</v>
      </c>
      <c r="D67" t="s">
        <v>7</v>
      </c>
      <c r="E67">
        <v>3</v>
      </c>
      <c r="F67">
        <v>2</v>
      </c>
      <c r="G67">
        <v>1.5</v>
      </c>
      <c r="H67">
        <v>1</v>
      </c>
      <c r="I67">
        <f>H67/F67</f>
        <v>0.5</v>
      </c>
      <c r="J67">
        <f t="shared" si="0"/>
        <v>0.5</v>
      </c>
      <c r="K67" t="s">
        <v>15</v>
      </c>
    </row>
    <row r="68" spans="1:11" x14ac:dyDescent="0.2">
      <c r="A68" s="1">
        <v>45910</v>
      </c>
      <c r="B68">
        <v>84</v>
      </c>
      <c r="C68" t="s">
        <v>12</v>
      </c>
      <c r="D68" t="s">
        <v>7</v>
      </c>
      <c r="E68">
        <v>4</v>
      </c>
      <c r="F68">
        <v>2</v>
      </c>
      <c r="G68">
        <v>1.5</v>
      </c>
      <c r="H68">
        <v>5</v>
      </c>
      <c r="I68">
        <f>H68/F68</f>
        <v>2.5</v>
      </c>
      <c r="J68">
        <f t="shared" si="0"/>
        <v>2.5</v>
      </c>
      <c r="K68" t="s">
        <v>15</v>
      </c>
    </row>
    <row r="69" spans="1:11" x14ac:dyDescent="0.2">
      <c r="A69" s="1">
        <v>45910</v>
      </c>
      <c r="B69">
        <v>56</v>
      </c>
      <c r="C69" t="s">
        <v>13</v>
      </c>
      <c r="D69" t="s">
        <v>10</v>
      </c>
      <c r="E69">
        <v>3</v>
      </c>
      <c r="F69">
        <v>2</v>
      </c>
      <c r="G69">
        <v>3</v>
      </c>
      <c r="H69">
        <v>0</v>
      </c>
      <c r="I69">
        <f>H69/F69</f>
        <v>0</v>
      </c>
      <c r="J69">
        <f t="shared" si="0"/>
        <v>0</v>
      </c>
      <c r="K69" t="s">
        <v>15</v>
      </c>
    </row>
    <row r="70" spans="1:11" x14ac:dyDescent="0.2">
      <c r="A70" s="1">
        <v>45910</v>
      </c>
      <c r="B70">
        <v>84</v>
      </c>
      <c r="C70" t="s">
        <v>12</v>
      </c>
      <c r="D70" t="s">
        <v>10</v>
      </c>
      <c r="E70">
        <v>4</v>
      </c>
      <c r="F70">
        <v>2</v>
      </c>
      <c r="G70">
        <v>3</v>
      </c>
      <c r="H70">
        <v>0</v>
      </c>
      <c r="I70">
        <f>H70/F70</f>
        <v>0</v>
      </c>
      <c r="J70">
        <f t="shared" si="0"/>
        <v>0</v>
      </c>
      <c r="K70" t="s">
        <v>15</v>
      </c>
    </row>
    <row r="71" spans="1:11" x14ac:dyDescent="0.2">
      <c r="A71" s="1">
        <v>45910</v>
      </c>
      <c r="B71">
        <v>84</v>
      </c>
      <c r="C71" t="s">
        <v>12</v>
      </c>
      <c r="D71" t="s">
        <v>8</v>
      </c>
      <c r="E71">
        <v>1</v>
      </c>
      <c r="F71">
        <v>5</v>
      </c>
      <c r="G71">
        <v>0.6</v>
      </c>
      <c r="H71">
        <v>6</v>
      </c>
      <c r="I71">
        <f>H71/F71</f>
        <v>1.2</v>
      </c>
      <c r="J71">
        <f t="shared" si="0"/>
        <v>1.2</v>
      </c>
      <c r="K71" t="s">
        <v>15</v>
      </c>
    </row>
    <row r="72" spans="1:11" x14ac:dyDescent="0.2">
      <c r="A72" s="1">
        <v>45910</v>
      </c>
      <c r="B72">
        <v>84</v>
      </c>
      <c r="C72" t="s">
        <v>12</v>
      </c>
      <c r="D72" t="s">
        <v>8</v>
      </c>
      <c r="E72">
        <v>2</v>
      </c>
      <c r="F72">
        <v>5</v>
      </c>
      <c r="G72">
        <v>0.6</v>
      </c>
      <c r="H72">
        <v>4</v>
      </c>
      <c r="I72">
        <f>H72/F72</f>
        <v>0.8</v>
      </c>
      <c r="J72">
        <f t="shared" si="0"/>
        <v>0.8</v>
      </c>
      <c r="K72" t="s">
        <v>15</v>
      </c>
    </row>
    <row r="73" spans="1:11" x14ac:dyDescent="0.2">
      <c r="A73" s="1">
        <v>45910</v>
      </c>
      <c r="B73">
        <v>84</v>
      </c>
      <c r="C73" t="s">
        <v>12</v>
      </c>
      <c r="D73" t="s">
        <v>8</v>
      </c>
      <c r="E73">
        <v>3</v>
      </c>
      <c r="F73">
        <v>5</v>
      </c>
      <c r="G73">
        <v>0.6</v>
      </c>
      <c r="H73">
        <v>7</v>
      </c>
      <c r="I73">
        <f>H73/F73</f>
        <v>1.4</v>
      </c>
      <c r="J73">
        <f t="shared" si="0"/>
        <v>1.4</v>
      </c>
      <c r="K73" t="s">
        <v>15</v>
      </c>
    </row>
    <row r="74" spans="1:11" x14ac:dyDescent="0.2">
      <c r="A74" s="1">
        <v>45910</v>
      </c>
      <c r="B74">
        <v>84</v>
      </c>
      <c r="C74" t="s">
        <v>12</v>
      </c>
      <c r="D74" t="s">
        <v>8</v>
      </c>
      <c r="E74">
        <v>4</v>
      </c>
      <c r="F74">
        <v>5</v>
      </c>
      <c r="G74">
        <v>0.6</v>
      </c>
      <c r="H74">
        <v>0</v>
      </c>
      <c r="I74">
        <f>H74/F74</f>
        <v>0</v>
      </c>
      <c r="J74">
        <f t="shared" si="0"/>
        <v>0</v>
      </c>
      <c r="K74" t="s">
        <v>15</v>
      </c>
    </row>
    <row r="75" spans="1:11" x14ac:dyDescent="0.2">
      <c r="A75" s="1">
        <v>45910</v>
      </c>
      <c r="B75">
        <v>84</v>
      </c>
      <c r="C75" t="s">
        <v>12</v>
      </c>
      <c r="D75" t="s">
        <v>9</v>
      </c>
      <c r="E75">
        <v>1</v>
      </c>
      <c r="F75">
        <v>6</v>
      </c>
      <c r="G75">
        <v>0.42857142857142855</v>
      </c>
      <c r="H75">
        <v>0</v>
      </c>
      <c r="I75">
        <f>H75/F75</f>
        <v>0</v>
      </c>
      <c r="J75">
        <f t="shared" si="0"/>
        <v>0</v>
      </c>
      <c r="K75" t="s">
        <v>16</v>
      </c>
    </row>
    <row r="76" spans="1:11" x14ac:dyDescent="0.2">
      <c r="A76" s="1">
        <v>45910</v>
      </c>
      <c r="B76">
        <v>84</v>
      </c>
      <c r="C76" t="s">
        <v>12</v>
      </c>
      <c r="D76" t="s">
        <v>9</v>
      </c>
      <c r="E76">
        <v>2</v>
      </c>
      <c r="F76">
        <v>6</v>
      </c>
      <c r="G76">
        <v>0.42857142857142855</v>
      </c>
      <c r="H76">
        <v>1</v>
      </c>
      <c r="I76">
        <f>H76/F76</f>
        <v>0.16666666666666666</v>
      </c>
      <c r="J76">
        <f t="shared" si="0"/>
        <v>0.16666666666666666</v>
      </c>
      <c r="K76" t="s">
        <v>16</v>
      </c>
    </row>
    <row r="77" spans="1:11" x14ac:dyDescent="0.2">
      <c r="A77" s="1">
        <v>45910</v>
      </c>
      <c r="B77">
        <v>84</v>
      </c>
      <c r="C77" t="s">
        <v>12</v>
      </c>
      <c r="D77" t="s">
        <v>9</v>
      </c>
      <c r="E77">
        <v>3</v>
      </c>
      <c r="F77">
        <v>6</v>
      </c>
      <c r="G77">
        <v>0.42857142857142855</v>
      </c>
      <c r="H77">
        <v>0</v>
      </c>
      <c r="I77">
        <f>H77/F77</f>
        <v>0</v>
      </c>
      <c r="J77">
        <f t="shared" si="0"/>
        <v>0</v>
      </c>
      <c r="K77" t="s">
        <v>16</v>
      </c>
    </row>
    <row r="78" spans="1:11" s="3" customFormat="1" x14ac:dyDescent="0.2">
      <c r="A78" s="2">
        <v>45910</v>
      </c>
      <c r="B78" s="3">
        <v>84</v>
      </c>
      <c r="C78" s="3" t="s">
        <v>12</v>
      </c>
      <c r="D78" s="3" t="s">
        <v>9</v>
      </c>
      <c r="E78" s="3">
        <v>4</v>
      </c>
      <c r="F78" s="3">
        <v>6</v>
      </c>
      <c r="G78" s="3">
        <v>0.42857142857142855</v>
      </c>
      <c r="H78" s="3">
        <v>1</v>
      </c>
      <c r="I78" s="3">
        <f>H78/F78</f>
        <v>0.16666666666666666</v>
      </c>
      <c r="J78" s="3">
        <f t="shared" si="0"/>
        <v>0.16666666666666666</v>
      </c>
      <c r="K78" s="3" t="s">
        <v>16</v>
      </c>
    </row>
    <row r="79" spans="1:11" x14ac:dyDescent="0.2">
      <c r="A79" s="1">
        <v>45938</v>
      </c>
      <c r="B79">
        <v>112</v>
      </c>
      <c r="C79" t="s">
        <v>12</v>
      </c>
      <c r="D79" t="s">
        <v>6</v>
      </c>
      <c r="E79">
        <v>1</v>
      </c>
      <c r="F79">
        <v>1</v>
      </c>
      <c r="G79">
        <v>3</v>
      </c>
      <c r="H79">
        <v>0</v>
      </c>
      <c r="I79">
        <f>H79/F79</f>
        <v>0</v>
      </c>
      <c r="J79">
        <v>0</v>
      </c>
      <c r="K79" t="s">
        <v>15</v>
      </c>
    </row>
    <row r="80" spans="1:11" x14ac:dyDescent="0.2">
      <c r="A80" s="1">
        <v>45938</v>
      </c>
      <c r="B80">
        <v>112</v>
      </c>
      <c r="C80" t="s">
        <v>12</v>
      </c>
      <c r="D80" t="s">
        <v>6</v>
      </c>
      <c r="E80">
        <v>3</v>
      </c>
      <c r="F80">
        <v>1</v>
      </c>
      <c r="G80">
        <v>3</v>
      </c>
      <c r="H80">
        <v>0</v>
      </c>
      <c r="I80">
        <f>H80/F80</f>
        <v>0</v>
      </c>
      <c r="J80">
        <v>0</v>
      </c>
      <c r="K80" t="s">
        <v>15</v>
      </c>
    </row>
    <row r="81" spans="1:11" x14ac:dyDescent="0.2">
      <c r="A81" s="1">
        <v>45938</v>
      </c>
      <c r="B81">
        <v>112</v>
      </c>
      <c r="C81" t="s">
        <v>12</v>
      </c>
      <c r="D81" t="s">
        <v>7</v>
      </c>
      <c r="E81">
        <v>1</v>
      </c>
      <c r="F81">
        <v>2</v>
      </c>
      <c r="G81">
        <v>1.5</v>
      </c>
      <c r="H81">
        <v>15</v>
      </c>
      <c r="I81">
        <f>H81/F81</f>
        <v>7.5</v>
      </c>
      <c r="J81">
        <f>I81+J65</f>
        <v>8</v>
      </c>
      <c r="K81" t="s">
        <v>15</v>
      </c>
    </row>
    <row r="82" spans="1:11" x14ac:dyDescent="0.2">
      <c r="A82" s="1">
        <v>45938</v>
      </c>
      <c r="B82">
        <v>112</v>
      </c>
      <c r="C82" t="s">
        <v>12</v>
      </c>
      <c r="D82" t="s">
        <v>7</v>
      </c>
      <c r="E82">
        <v>2</v>
      </c>
      <c r="F82">
        <v>2</v>
      </c>
      <c r="G82">
        <v>1.5</v>
      </c>
      <c r="H82">
        <v>13</v>
      </c>
      <c r="I82">
        <f>H82/F82</f>
        <v>6.5</v>
      </c>
      <c r="J82">
        <f t="shared" ref="J82:J93" si="1">I82+J66</f>
        <v>7</v>
      </c>
      <c r="K82" t="s">
        <v>15</v>
      </c>
    </row>
    <row r="83" spans="1:11" x14ac:dyDescent="0.2">
      <c r="A83" s="1">
        <v>45938</v>
      </c>
      <c r="B83">
        <v>112</v>
      </c>
      <c r="C83" t="s">
        <v>12</v>
      </c>
      <c r="D83" t="s">
        <v>7</v>
      </c>
      <c r="E83">
        <v>3</v>
      </c>
      <c r="F83">
        <v>2</v>
      </c>
      <c r="G83">
        <v>1.5</v>
      </c>
      <c r="H83">
        <v>13</v>
      </c>
      <c r="I83">
        <f>H83/F83</f>
        <v>6.5</v>
      </c>
      <c r="J83">
        <f t="shared" si="1"/>
        <v>7</v>
      </c>
      <c r="K83" t="s">
        <v>15</v>
      </c>
    </row>
    <row r="84" spans="1:11" x14ac:dyDescent="0.2">
      <c r="A84" s="1">
        <v>45938</v>
      </c>
      <c r="B84">
        <v>112</v>
      </c>
      <c r="C84" t="s">
        <v>12</v>
      </c>
      <c r="D84" t="s">
        <v>7</v>
      </c>
      <c r="E84">
        <v>4</v>
      </c>
      <c r="F84">
        <v>2</v>
      </c>
      <c r="G84">
        <v>1.5</v>
      </c>
      <c r="H84">
        <v>27</v>
      </c>
      <c r="I84">
        <f>H84/F84</f>
        <v>13.5</v>
      </c>
      <c r="J84">
        <f t="shared" si="1"/>
        <v>16</v>
      </c>
      <c r="K84" t="s">
        <v>15</v>
      </c>
    </row>
    <row r="85" spans="1:11" x14ac:dyDescent="0.2">
      <c r="A85" s="1">
        <v>45938</v>
      </c>
      <c r="B85">
        <v>84</v>
      </c>
      <c r="C85" t="s">
        <v>13</v>
      </c>
      <c r="D85" t="s">
        <v>10</v>
      </c>
      <c r="E85">
        <v>3</v>
      </c>
      <c r="F85">
        <v>2</v>
      </c>
      <c r="G85">
        <v>3</v>
      </c>
      <c r="H85">
        <v>6</v>
      </c>
      <c r="I85">
        <f>H85/F85</f>
        <v>3</v>
      </c>
      <c r="J85">
        <f t="shared" si="1"/>
        <v>3</v>
      </c>
      <c r="K85" t="s">
        <v>15</v>
      </c>
    </row>
    <row r="86" spans="1:11" x14ac:dyDescent="0.2">
      <c r="A86" s="1">
        <v>45938</v>
      </c>
      <c r="B86">
        <v>112</v>
      </c>
      <c r="C86" t="s">
        <v>12</v>
      </c>
      <c r="D86" t="s">
        <v>10</v>
      </c>
      <c r="E86">
        <v>4</v>
      </c>
      <c r="F86">
        <v>2</v>
      </c>
      <c r="G86">
        <v>3</v>
      </c>
      <c r="H86">
        <v>6</v>
      </c>
      <c r="I86">
        <f>H86/F86</f>
        <v>3</v>
      </c>
      <c r="J86">
        <f t="shared" si="1"/>
        <v>3</v>
      </c>
      <c r="K86" t="s">
        <v>15</v>
      </c>
    </row>
    <row r="87" spans="1:11" x14ac:dyDescent="0.2">
      <c r="A87" s="1">
        <v>45938</v>
      </c>
      <c r="B87">
        <v>112</v>
      </c>
      <c r="C87" t="s">
        <v>12</v>
      </c>
      <c r="D87" t="s">
        <v>8</v>
      </c>
      <c r="E87">
        <v>1</v>
      </c>
      <c r="F87">
        <v>5</v>
      </c>
      <c r="G87">
        <v>0.6</v>
      </c>
      <c r="H87">
        <v>49</v>
      </c>
      <c r="I87">
        <f>H87/F87</f>
        <v>9.8000000000000007</v>
      </c>
      <c r="J87">
        <f t="shared" si="1"/>
        <v>11</v>
      </c>
      <c r="K87" t="s">
        <v>15</v>
      </c>
    </row>
    <row r="88" spans="1:11" x14ac:dyDescent="0.2">
      <c r="A88" s="1">
        <v>45938</v>
      </c>
      <c r="B88">
        <v>112</v>
      </c>
      <c r="C88" t="s">
        <v>12</v>
      </c>
      <c r="D88" t="s">
        <v>8</v>
      </c>
      <c r="E88">
        <v>2</v>
      </c>
      <c r="F88">
        <v>5</v>
      </c>
      <c r="G88">
        <v>0.6</v>
      </c>
      <c r="H88">
        <v>37</v>
      </c>
      <c r="I88">
        <f>H88/F88</f>
        <v>7.4</v>
      </c>
      <c r="J88">
        <f t="shared" si="1"/>
        <v>8.2000000000000011</v>
      </c>
      <c r="K88" t="s">
        <v>15</v>
      </c>
    </row>
    <row r="89" spans="1:11" x14ac:dyDescent="0.2">
      <c r="A89" s="1">
        <v>45938</v>
      </c>
      <c r="B89">
        <v>112</v>
      </c>
      <c r="C89" t="s">
        <v>12</v>
      </c>
      <c r="D89" t="s">
        <v>8</v>
      </c>
      <c r="E89">
        <v>3</v>
      </c>
      <c r="F89">
        <v>5</v>
      </c>
      <c r="G89">
        <v>0.6</v>
      </c>
      <c r="H89">
        <v>39</v>
      </c>
      <c r="I89">
        <f>H89/F89</f>
        <v>7.8</v>
      </c>
      <c r="J89">
        <f t="shared" si="1"/>
        <v>9.1999999999999993</v>
      </c>
      <c r="K89" t="s">
        <v>15</v>
      </c>
    </row>
    <row r="90" spans="1:11" x14ac:dyDescent="0.2">
      <c r="A90" s="1">
        <v>45938</v>
      </c>
      <c r="B90">
        <v>112</v>
      </c>
      <c r="C90" t="s">
        <v>12</v>
      </c>
      <c r="D90" t="s">
        <v>8</v>
      </c>
      <c r="E90">
        <v>4</v>
      </c>
      <c r="F90">
        <v>5</v>
      </c>
      <c r="G90">
        <v>0.6</v>
      </c>
      <c r="H90">
        <v>8</v>
      </c>
      <c r="I90">
        <f>H90/F90</f>
        <v>1.6</v>
      </c>
      <c r="J90">
        <f t="shared" si="1"/>
        <v>1.6</v>
      </c>
      <c r="K90" t="s">
        <v>15</v>
      </c>
    </row>
    <row r="91" spans="1:11" x14ac:dyDescent="0.2">
      <c r="A91" s="1">
        <v>45938</v>
      </c>
      <c r="B91">
        <v>112</v>
      </c>
      <c r="C91" t="s">
        <v>12</v>
      </c>
      <c r="D91" t="s">
        <v>9</v>
      </c>
      <c r="E91">
        <v>1</v>
      </c>
      <c r="F91">
        <v>6</v>
      </c>
      <c r="G91">
        <v>0.42857142857142855</v>
      </c>
      <c r="H91">
        <v>2</v>
      </c>
      <c r="I91">
        <f>H91/F91</f>
        <v>0.33333333333333331</v>
      </c>
      <c r="J91">
        <f t="shared" si="1"/>
        <v>0.33333333333333331</v>
      </c>
      <c r="K91" t="s">
        <v>16</v>
      </c>
    </row>
    <row r="92" spans="1:11" x14ac:dyDescent="0.2">
      <c r="A92" s="1">
        <v>45938</v>
      </c>
      <c r="B92">
        <v>112</v>
      </c>
      <c r="C92" t="s">
        <v>12</v>
      </c>
      <c r="D92" t="s">
        <v>9</v>
      </c>
      <c r="E92">
        <v>2</v>
      </c>
      <c r="F92">
        <v>6</v>
      </c>
      <c r="G92">
        <v>0.42857142857142855</v>
      </c>
      <c r="H92">
        <v>36</v>
      </c>
      <c r="I92">
        <f>H92/F92</f>
        <v>6</v>
      </c>
      <c r="J92">
        <f t="shared" si="1"/>
        <v>6.166666666666667</v>
      </c>
      <c r="K92" t="s">
        <v>16</v>
      </c>
    </row>
    <row r="93" spans="1:11" x14ac:dyDescent="0.2">
      <c r="A93" s="1">
        <v>45938</v>
      </c>
      <c r="B93">
        <v>112</v>
      </c>
      <c r="C93" t="s">
        <v>12</v>
      </c>
      <c r="D93" t="s">
        <v>9</v>
      </c>
      <c r="E93">
        <v>3</v>
      </c>
      <c r="F93">
        <v>6</v>
      </c>
      <c r="G93">
        <v>0.42857142857142855</v>
      </c>
      <c r="H93">
        <v>29</v>
      </c>
      <c r="I93">
        <f>H93/F93</f>
        <v>4.833333333333333</v>
      </c>
      <c r="J93">
        <f t="shared" si="1"/>
        <v>4.833333333333333</v>
      </c>
      <c r="K93" t="s">
        <v>16</v>
      </c>
    </row>
    <row r="94" spans="1:11" s="3" customFormat="1" x14ac:dyDescent="0.2">
      <c r="A94" s="2">
        <v>45938</v>
      </c>
      <c r="B94" s="3">
        <v>112</v>
      </c>
      <c r="C94" s="3" t="s">
        <v>12</v>
      </c>
      <c r="D94" s="3" t="s">
        <v>9</v>
      </c>
      <c r="E94" s="3">
        <v>4</v>
      </c>
      <c r="F94" s="3">
        <v>7</v>
      </c>
      <c r="G94" s="3">
        <v>0.42857142857142855</v>
      </c>
      <c r="H94" s="3">
        <v>38</v>
      </c>
      <c r="I94" s="3">
        <f>H94/F94</f>
        <v>5.4285714285714288</v>
      </c>
      <c r="J94" s="3">
        <f>I94+J78</f>
        <v>5.5952380952380958</v>
      </c>
      <c r="K94" s="3" t="s">
        <v>16</v>
      </c>
    </row>
    <row r="95" spans="1:11" x14ac:dyDescent="0.2">
      <c r="A95" s="1">
        <v>45966</v>
      </c>
      <c r="B95">
        <v>140</v>
      </c>
      <c r="C95" t="s">
        <v>12</v>
      </c>
      <c r="D95" t="s">
        <v>6</v>
      </c>
      <c r="E95">
        <v>1</v>
      </c>
      <c r="F95">
        <v>1</v>
      </c>
      <c r="G95">
        <v>3</v>
      </c>
      <c r="H95">
        <v>0</v>
      </c>
      <c r="I95">
        <f>H95/F95</f>
        <v>0</v>
      </c>
      <c r="J95">
        <v>0</v>
      </c>
      <c r="K95" t="s">
        <v>15</v>
      </c>
    </row>
    <row r="96" spans="1:11" x14ac:dyDescent="0.2">
      <c r="A96" s="1">
        <v>45966</v>
      </c>
      <c r="B96">
        <v>140</v>
      </c>
      <c r="C96" t="s">
        <v>12</v>
      </c>
      <c r="D96" t="s">
        <v>6</v>
      </c>
      <c r="E96">
        <v>3</v>
      </c>
      <c r="F96">
        <v>1</v>
      </c>
      <c r="G96">
        <v>3</v>
      </c>
      <c r="H96">
        <v>0</v>
      </c>
      <c r="I96">
        <f>H96/F96</f>
        <v>0</v>
      </c>
      <c r="J96">
        <v>0</v>
      </c>
      <c r="K96" t="s">
        <v>15</v>
      </c>
    </row>
    <row r="97" spans="1:11" x14ac:dyDescent="0.2">
      <c r="A97" s="1">
        <v>45966</v>
      </c>
      <c r="B97">
        <v>140</v>
      </c>
      <c r="C97" t="s">
        <v>12</v>
      </c>
      <c r="D97" t="s">
        <v>7</v>
      </c>
      <c r="E97">
        <v>1</v>
      </c>
      <c r="F97">
        <v>2</v>
      </c>
      <c r="G97">
        <v>1.5</v>
      </c>
      <c r="H97">
        <v>21</v>
      </c>
      <c r="I97">
        <f>H97/F97</f>
        <v>10.5</v>
      </c>
      <c r="J97">
        <f>I97+J81</f>
        <v>18.5</v>
      </c>
      <c r="K97" t="s">
        <v>15</v>
      </c>
    </row>
    <row r="98" spans="1:11" x14ac:dyDescent="0.2">
      <c r="A98" s="1">
        <v>45966</v>
      </c>
      <c r="B98">
        <v>140</v>
      </c>
      <c r="C98" t="s">
        <v>12</v>
      </c>
      <c r="D98" t="s">
        <v>7</v>
      </c>
      <c r="E98">
        <v>2</v>
      </c>
      <c r="F98">
        <v>2</v>
      </c>
      <c r="G98">
        <v>1.5</v>
      </c>
      <c r="H98">
        <v>29</v>
      </c>
      <c r="I98">
        <f>H98/F98</f>
        <v>14.5</v>
      </c>
      <c r="J98">
        <f t="shared" ref="J98:J109" si="2">I98+J82</f>
        <v>21.5</v>
      </c>
      <c r="K98" t="s">
        <v>15</v>
      </c>
    </row>
    <row r="99" spans="1:11" x14ac:dyDescent="0.2">
      <c r="A99" s="1">
        <v>45966</v>
      </c>
      <c r="B99">
        <v>140</v>
      </c>
      <c r="C99" t="s">
        <v>12</v>
      </c>
      <c r="D99" t="s">
        <v>7</v>
      </c>
      <c r="E99">
        <v>3</v>
      </c>
      <c r="F99">
        <v>2</v>
      </c>
      <c r="G99">
        <v>1.5</v>
      </c>
      <c r="H99">
        <v>37</v>
      </c>
      <c r="I99">
        <f>H99/F99</f>
        <v>18.5</v>
      </c>
      <c r="J99">
        <f t="shared" si="2"/>
        <v>25.5</v>
      </c>
      <c r="K99" t="s">
        <v>15</v>
      </c>
    </row>
    <row r="100" spans="1:11" x14ac:dyDescent="0.2">
      <c r="A100" s="1">
        <v>45966</v>
      </c>
      <c r="B100">
        <v>140</v>
      </c>
      <c r="C100" t="s">
        <v>12</v>
      </c>
      <c r="D100" t="s">
        <v>7</v>
      </c>
      <c r="E100">
        <v>4</v>
      </c>
      <c r="F100">
        <v>2</v>
      </c>
      <c r="G100">
        <v>1.5</v>
      </c>
      <c r="H100">
        <v>31</v>
      </c>
      <c r="I100">
        <f>H100/F100</f>
        <v>15.5</v>
      </c>
      <c r="J100">
        <f t="shared" si="2"/>
        <v>31.5</v>
      </c>
      <c r="K100" t="s">
        <v>15</v>
      </c>
    </row>
    <row r="101" spans="1:11" x14ac:dyDescent="0.2">
      <c r="A101" s="1">
        <v>45966</v>
      </c>
      <c r="B101">
        <v>112</v>
      </c>
      <c r="C101" t="s">
        <v>13</v>
      </c>
      <c r="D101" t="s">
        <v>10</v>
      </c>
      <c r="E101">
        <v>3</v>
      </c>
      <c r="F101">
        <v>2</v>
      </c>
      <c r="G101">
        <v>3</v>
      </c>
      <c r="H101">
        <v>28</v>
      </c>
      <c r="I101">
        <f>H101/F101</f>
        <v>14</v>
      </c>
      <c r="J101">
        <f t="shared" si="2"/>
        <v>17</v>
      </c>
      <c r="K101" t="s">
        <v>15</v>
      </c>
    </row>
    <row r="102" spans="1:11" x14ac:dyDescent="0.2">
      <c r="A102" s="1">
        <v>45966</v>
      </c>
      <c r="B102">
        <v>140</v>
      </c>
      <c r="C102" t="s">
        <v>12</v>
      </c>
      <c r="D102" t="s">
        <v>10</v>
      </c>
      <c r="E102">
        <v>4</v>
      </c>
      <c r="F102">
        <v>2</v>
      </c>
      <c r="G102">
        <v>3</v>
      </c>
      <c r="H102">
        <v>7</v>
      </c>
      <c r="I102">
        <f>H102/F102</f>
        <v>3.5</v>
      </c>
      <c r="J102">
        <f t="shared" si="2"/>
        <v>6.5</v>
      </c>
      <c r="K102" t="s">
        <v>15</v>
      </c>
    </row>
    <row r="103" spans="1:11" x14ac:dyDescent="0.2">
      <c r="A103" s="1">
        <v>45966</v>
      </c>
      <c r="B103">
        <v>140</v>
      </c>
      <c r="C103" t="s">
        <v>12</v>
      </c>
      <c r="D103" t="s">
        <v>8</v>
      </c>
      <c r="E103">
        <v>1</v>
      </c>
      <c r="F103">
        <v>5</v>
      </c>
      <c r="G103">
        <v>0.6</v>
      </c>
      <c r="H103">
        <v>45</v>
      </c>
      <c r="I103">
        <f>H103/F103</f>
        <v>9</v>
      </c>
      <c r="J103">
        <f t="shared" si="2"/>
        <v>20</v>
      </c>
      <c r="K103" t="s">
        <v>15</v>
      </c>
    </row>
    <row r="104" spans="1:11" x14ac:dyDescent="0.2">
      <c r="A104" s="1">
        <v>45966</v>
      </c>
      <c r="B104">
        <v>140</v>
      </c>
      <c r="C104" t="s">
        <v>12</v>
      </c>
      <c r="D104" t="s">
        <v>8</v>
      </c>
      <c r="E104">
        <v>2</v>
      </c>
      <c r="F104">
        <v>5</v>
      </c>
      <c r="G104">
        <v>0.6</v>
      </c>
      <c r="H104">
        <v>39</v>
      </c>
      <c r="I104">
        <f>H104/F104</f>
        <v>7.8</v>
      </c>
      <c r="J104">
        <f t="shared" si="2"/>
        <v>16</v>
      </c>
      <c r="K104" t="s">
        <v>15</v>
      </c>
    </row>
    <row r="105" spans="1:11" x14ac:dyDescent="0.2">
      <c r="A105" s="1">
        <v>45966</v>
      </c>
      <c r="B105">
        <v>140</v>
      </c>
      <c r="C105" t="s">
        <v>12</v>
      </c>
      <c r="D105" t="s">
        <v>8</v>
      </c>
      <c r="E105">
        <v>3</v>
      </c>
      <c r="F105">
        <v>5</v>
      </c>
      <c r="G105">
        <v>0.6</v>
      </c>
      <c r="H105">
        <v>38</v>
      </c>
      <c r="I105">
        <f>H105/F105</f>
        <v>7.6</v>
      </c>
      <c r="J105">
        <f t="shared" si="2"/>
        <v>16.799999999999997</v>
      </c>
      <c r="K105" t="s">
        <v>15</v>
      </c>
    </row>
    <row r="106" spans="1:11" x14ac:dyDescent="0.2">
      <c r="A106" s="1">
        <v>45966</v>
      </c>
      <c r="B106">
        <v>140</v>
      </c>
      <c r="C106" t="s">
        <v>12</v>
      </c>
      <c r="D106" t="s">
        <v>8</v>
      </c>
      <c r="E106">
        <v>4</v>
      </c>
      <c r="F106">
        <v>5</v>
      </c>
      <c r="G106">
        <v>0.6</v>
      </c>
      <c r="H106">
        <v>12</v>
      </c>
      <c r="I106">
        <f>H106/F106</f>
        <v>2.4</v>
      </c>
      <c r="J106">
        <f t="shared" si="2"/>
        <v>4</v>
      </c>
      <c r="K106" t="s">
        <v>15</v>
      </c>
    </row>
    <row r="107" spans="1:11" x14ac:dyDescent="0.2">
      <c r="A107" s="1">
        <v>45966</v>
      </c>
      <c r="B107">
        <v>140</v>
      </c>
      <c r="C107" t="s">
        <v>12</v>
      </c>
      <c r="D107" t="s">
        <v>9</v>
      </c>
      <c r="E107">
        <v>1</v>
      </c>
      <c r="F107">
        <v>5</v>
      </c>
      <c r="G107">
        <v>0.42857142857142855</v>
      </c>
      <c r="H107">
        <v>18</v>
      </c>
      <c r="I107">
        <f>H107/F107</f>
        <v>3.6</v>
      </c>
      <c r="J107">
        <f t="shared" si="2"/>
        <v>3.9333333333333336</v>
      </c>
      <c r="K107" t="s">
        <v>16</v>
      </c>
    </row>
    <row r="108" spans="1:11" x14ac:dyDescent="0.2">
      <c r="A108" s="1">
        <v>45966</v>
      </c>
      <c r="B108">
        <v>140</v>
      </c>
      <c r="C108" t="s">
        <v>12</v>
      </c>
      <c r="D108" t="s">
        <v>9</v>
      </c>
      <c r="E108">
        <v>2</v>
      </c>
      <c r="F108">
        <v>6</v>
      </c>
      <c r="G108">
        <v>0.42857142857142855</v>
      </c>
      <c r="H108">
        <v>36</v>
      </c>
      <c r="I108">
        <f>H108/F108</f>
        <v>6</v>
      </c>
      <c r="J108">
        <f t="shared" si="2"/>
        <v>12.166666666666668</v>
      </c>
      <c r="K108" t="s">
        <v>16</v>
      </c>
    </row>
    <row r="109" spans="1:11" x14ac:dyDescent="0.2">
      <c r="A109" s="1">
        <v>45966</v>
      </c>
      <c r="B109">
        <v>140</v>
      </c>
      <c r="C109" t="s">
        <v>12</v>
      </c>
      <c r="D109" t="s">
        <v>9</v>
      </c>
      <c r="E109">
        <v>3</v>
      </c>
      <c r="F109">
        <v>6</v>
      </c>
      <c r="G109">
        <v>0.42857142857142855</v>
      </c>
      <c r="H109">
        <v>40</v>
      </c>
      <c r="I109">
        <f>H109/F109</f>
        <v>6.666666666666667</v>
      </c>
      <c r="J109">
        <f t="shared" si="2"/>
        <v>11.5</v>
      </c>
      <c r="K109" t="s">
        <v>16</v>
      </c>
    </row>
    <row r="110" spans="1:11" s="3" customFormat="1" x14ac:dyDescent="0.2">
      <c r="A110" s="2">
        <v>45966</v>
      </c>
      <c r="B110" s="3">
        <v>140</v>
      </c>
      <c r="C110" s="3" t="s">
        <v>12</v>
      </c>
      <c r="D110" s="3" t="s">
        <v>9</v>
      </c>
      <c r="E110" s="3">
        <v>4</v>
      </c>
      <c r="F110" s="3">
        <v>6</v>
      </c>
      <c r="G110" s="3">
        <v>0.42857142857142855</v>
      </c>
      <c r="H110" s="3">
        <v>46</v>
      </c>
      <c r="I110" s="3">
        <f>H110/F110</f>
        <v>7.666666666666667</v>
      </c>
      <c r="J110" s="3">
        <f>I110+J94</f>
        <v>13.261904761904763</v>
      </c>
      <c r="K110" s="3" t="s">
        <v>16</v>
      </c>
    </row>
    <row r="111" spans="1:11" x14ac:dyDescent="0.2">
      <c r="A111" s="1">
        <v>45980</v>
      </c>
      <c r="B111">
        <v>154</v>
      </c>
      <c r="C111" t="s">
        <v>12</v>
      </c>
      <c r="D111" t="s">
        <v>6</v>
      </c>
      <c r="E111">
        <v>1</v>
      </c>
      <c r="F111">
        <v>1</v>
      </c>
      <c r="G111">
        <v>3</v>
      </c>
      <c r="H111">
        <v>0</v>
      </c>
      <c r="I111">
        <f>H111/F111</f>
        <v>0</v>
      </c>
      <c r="J111">
        <v>0</v>
      </c>
      <c r="K111" t="s">
        <v>15</v>
      </c>
    </row>
    <row r="112" spans="1:11" x14ac:dyDescent="0.2">
      <c r="A112" s="1">
        <v>45980</v>
      </c>
      <c r="B112">
        <v>154</v>
      </c>
      <c r="C112" t="s">
        <v>12</v>
      </c>
      <c r="D112" t="s">
        <v>6</v>
      </c>
      <c r="E112">
        <v>3</v>
      </c>
      <c r="F112">
        <v>1</v>
      </c>
      <c r="G112">
        <v>3</v>
      </c>
      <c r="H112">
        <v>0</v>
      </c>
      <c r="I112">
        <f>H112/F112</f>
        <v>0</v>
      </c>
      <c r="J112">
        <v>0</v>
      </c>
      <c r="K112" t="s">
        <v>15</v>
      </c>
    </row>
    <row r="113" spans="1:11" x14ac:dyDescent="0.2">
      <c r="A113" s="1">
        <v>45981</v>
      </c>
      <c r="B113">
        <v>154</v>
      </c>
      <c r="C113" t="s">
        <v>12</v>
      </c>
      <c r="D113" t="s">
        <v>7</v>
      </c>
      <c r="E113">
        <v>1</v>
      </c>
      <c r="F113">
        <v>2</v>
      </c>
      <c r="G113">
        <v>1.5</v>
      </c>
      <c r="H113">
        <v>8</v>
      </c>
      <c r="I113">
        <f>H113/F113</f>
        <v>4</v>
      </c>
      <c r="J113">
        <f>I113+J97</f>
        <v>22.5</v>
      </c>
      <c r="K113" t="s">
        <v>15</v>
      </c>
    </row>
    <row r="114" spans="1:11" x14ac:dyDescent="0.2">
      <c r="A114" s="1">
        <v>45982</v>
      </c>
      <c r="B114">
        <v>154</v>
      </c>
      <c r="C114" t="s">
        <v>12</v>
      </c>
      <c r="D114" t="s">
        <v>7</v>
      </c>
      <c r="E114">
        <v>2</v>
      </c>
      <c r="F114">
        <v>2</v>
      </c>
      <c r="G114">
        <v>1.5</v>
      </c>
      <c r="H114">
        <v>10</v>
      </c>
      <c r="I114">
        <f>H114/F114</f>
        <v>5</v>
      </c>
      <c r="J114">
        <f t="shared" ref="J114:J125" si="3">I114+J98</f>
        <v>26.5</v>
      </c>
      <c r="K114" t="s">
        <v>15</v>
      </c>
    </row>
    <row r="115" spans="1:11" x14ac:dyDescent="0.2">
      <c r="A115" s="1">
        <v>45983</v>
      </c>
      <c r="B115">
        <v>154</v>
      </c>
      <c r="C115" t="s">
        <v>12</v>
      </c>
      <c r="D115" t="s">
        <v>7</v>
      </c>
      <c r="E115">
        <v>3</v>
      </c>
      <c r="F115">
        <v>2</v>
      </c>
      <c r="G115">
        <v>1.5</v>
      </c>
      <c r="H115">
        <v>18</v>
      </c>
      <c r="I115">
        <f>H115/F115</f>
        <v>9</v>
      </c>
      <c r="J115">
        <f t="shared" si="3"/>
        <v>34.5</v>
      </c>
      <c r="K115" t="s">
        <v>15</v>
      </c>
    </row>
    <row r="116" spans="1:11" x14ac:dyDescent="0.2">
      <c r="A116" s="1">
        <v>45984</v>
      </c>
      <c r="B116">
        <v>154</v>
      </c>
      <c r="C116" t="s">
        <v>12</v>
      </c>
      <c r="D116" t="s">
        <v>7</v>
      </c>
      <c r="E116">
        <v>4</v>
      </c>
      <c r="F116">
        <v>2</v>
      </c>
      <c r="G116">
        <v>1.5</v>
      </c>
      <c r="H116">
        <v>10</v>
      </c>
      <c r="I116">
        <f>H116/F116</f>
        <v>5</v>
      </c>
      <c r="J116">
        <f t="shared" si="3"/>
        <v>36.5</v>
      </c>
      <c r="K116" t="s">
        <v>15</v>
      </c>
    </row>
    <row r="117" spans="1:11" x14ac:dyDescent="0.2">
      <c r="A117" s="1">
        <v>45985</v>
      </c>
      <c r="B117">
        <v>126</v>
      </c>
      <c r="C117" t="s">
        <v>13</v>
      </c>
      <c r="D117" t="s">
        <v>10</v>
      </c>
      <c r="E117">
        <v>3</v>
      </c>
      <c r="F117">
        <v>2</v>
      </c>
      <c r="G117">
        <v>3</v>
      </c>
      <c r="H117">
        <v>16</v>
      </c>
      <c r="I117">
        <f>H117/F117</f>
        <v>8</v>
      </c>
      <c r="J117">
        <f t="shared" si="3"/>
        <v>25</v>
      </c>
      <c r="K117" t="s">
        <v>15</v>
      </c>
    </row>
    <row r="118" spans="1:11" x14ac:dyDescent="0.2">
      <c r="A118" s="1">
        <v>45986</v>
      </c>
      <c r="B118">
        <v>154</v>
      </c>
      <c r="C118" t="s">
        <v>12</v>
      </c>
      <c r="D118" t="s">
        <v>10</v>
      </c>
      <c r="E118">
        <v>4</v>
      </c>
      <c r="F118">
        <v>2</v>
      </c>
      <c r="G118">
        <v>3</v>
      </c>
      <c r="H118">
        <v>8</v>
      </c>
      <c r="I118">
        <f>H118/F118</f>
        <v>4</v>
      </c>
      <c r="J118">
        <f t="shared" si="3"/>
        <v>10.5</v>
      </c>
      <c r="K118" t="s">
        <v>15</v>
      </c>
    </row>
    <row r="119" spans="1:11" x14ac:dyDescent="0.2">
      <c r="A119" s="1">
        <v>45987</v>
      </c>
      <c r="B119">
        <v>154</v>
      </c>
      <c r="C119" t="s">
        <v>12</v>
      </c>
      <c r="D119" t="s">
        <v>8</v>
      </c>
      <c r="E119">
        <v>1</v>
      </c>
      <c r="F119">
        <v>5</v>
      </c>
      <c r="G119">
        <v>0.6</v>
      </c>
      <c r="H119">
        <v>20</v>
      </c>
      <c r="I119">
        <f>H119/F119</f>
        <v>4</v>
      </c>
      <c r="J119">
        <f t="shared" si="3"/>
        <v>24</v>
      </c>
      <c r="K119" t="s">
        <v>15</v>
      </c>
    </row>
    <row r="120" spans="1:11" x14ac:dyDescent="0.2">
      <c r="A120" s="1">
        <v>45988</v>
      </c>
      <c r="B120">
        <v>154</v>
      </c>
      <c r="C120" t="s">
        <v>12</v>
      </c>
      <c r="D120" t="s">
        <v>8</v>
      </c>
      <c r="E120">
        <v>2</v>
      </c>
      <c r="F120">
        <v>5</v>
      </c>
      <c r="G120">
        <v>0.6</v>
      </c>
      <c r="H120">
        <v>14</v>
      </c>
      <c r="I120">
        <f>H120/F120</f>
        <v>2.8</v>
      </c>
      <c r="J120">
        <f t="shared" si="3"/>
        <v>18.8</v>
      </c>
      <c r="K120" t="s">
        <v>15</v>
      </c>
    </row>
    <row r="121" spans="1:11" x14ac:dyDescent="0.2">
      <c r="A121" s="1">
        <v>45989</v>
      </c>
      <c r="B121">
        <v>154</v>
      </c>
      <c r="C121" t="s">
        <v>12</v>
      </c>
      <c r="D121" t="s">
        <v>8</v>
      </c>
      <c r="E121">
        <v>3</v>
      </c>
      <c r="F121">
        <v>5</v>
      </c>
      <c r="G121">
        <v>0.6</v>
      </c>
      <c r="H121">
        <v>18</v>
      </c>
      <c r="I121">
        <f>H121/F121</f>
        <v>3.6</v>
      </c>
      <c r="J121">
        <f t="shared" si="3"/>
        <v>20.399999999999999</v>
      </c>
      <c r="K121" t="s">
        <v>15</v>
      </c>
    </row>
    <row r="122" spans="1:11" x14ac:dyDescent="0.2">
      <c r="A122" s="1">
        <v>45990</v>
      </c>
      <c r="B122">
        <v>154</v>
      </c>
      <c r="C122" t="s">
        <v>12</v>
      </c>
      <c r="D122" t="s">
        <v>8</v>
      </c>
      <c r="E122">
        <v>4</v>
      </c>
      <c r="F122">
        <v>5</v>
      </c>
      <c r="G122">
        <v>0.6</v>
      </c>
      <c r="H122">
        <v>7</v>
      </c>
      <c r="I122">
        <f>H122/F122</f>
        <v>1.4</v>
      </c>
      <c r="J122">
        <f t="shared" si="3"/>
        <v>5.4</v>
      </c>
      <c r="K122" t="s">
        <v>15</v>
      </c>
    </row>
    <row r="123" spans="1:11" x14ac:dyDescent="0.2">
      <c r="A123" s="1">
        <v>45991</v>
      </c>
      <c r="B123">
        <v>154</v>
      </c>
      <c r="C123" t="s">
        <v>12</v>
      </c>
      <c r="D123" t="s">
        <v>9</v>
      </c>
      <c r="E123">
        <v>1</v>
      </c>
      <c r="F123">
        <v>5</v>
      </c>
      <c r="G123">
        <v>0.42857142857142855</v>
      </c>
      <c r="H123">
        <v>16</v>
      </c>
      <c r="I123">
        <f>H123/F123</f>
        <v>3.2</v>
      </c>
      <c r="J123">
        <f t="shared" si="3"/>
        <v>7.1333333333333337</v>
      </c>
      <c r="K123" t="s">
        <v>16</v>
      </c>
    </row>
    <row r="124" spans="1:11" x14ac:dyDescent="0.2">
      <c r="A124" s="1">
        <v>45992</v>
      </c>
      <c r="B124">
        <v>154</v>
      </c>
      <c r="C124" t="s">
        <v>12</v>
      </c>
      <c r="D124" t="s">
        <v>9</v>
      </c>
      <c r="E124">
        <v>2</v>
      </c>
      <c r="F124">
        <v>6</v>
      </c>
      <c r="G124">
        <v>0.42857142857142855</v>
      </c>
      <c r="H124">
        <v>14</v>
      </c>
      <c r="I124">
        <f>H124/F124</f>
        <v>2.3333333333333335</v>
      </c>
      <c r="J124">
        <f t="shared" si="3"/>
        <v>14.500000000000002</v>
      </c>
      <c r="K124" t="s">
        <v>16</v>
      </c>
    </row>
    <row r="125" spans="1:11" x14ac:dyDescent="0.2">
      <c r="A125" s="1">
        <v>45993</v>
      </c>
      <c r="B125">
        <v>154</v>
      </c>
      <c r="C125" t="s">
        <v>12</v>
      </c>
      <c r="D125" t="s">
        <v>9</v>
      </c>
      <c r="E125">
        <v>3</v>
      </c>
      <c r="F125">
        <v>6</v>
      </c>
      <c r="G125">
        <v>0.42857142857142855</v>
      </c>
      <c r="H125">
        <v>19</v>
      </c>
      <c r="I125">
        <f>H125/F125</f>
        <v>3.1666666666666665</v>
      </c>
      <c r="J125">
        <f t="shared" si="3"/>
        <v>14.666666666666666</v>
      </c>
      <c r="K125" t="s">
        <v>16</v>
      </c>
    </row>
    <row r="126" spans="1:11" x14ac:dyDescent="0.2">
      <c r="A126" s="1">
        <v>45966</v>
      </c>
      <c r="B126">
        <v>154</v>
      </c>
      <c r="C126" t="s">
        <v>12</v>
      </c>
      <c r="D126" t="s">
        <v>9</v>
      </c>
      <c r="E126">
        <v>4</v>
      </c>
      <c r="F126">
        <v>6</v>
      </c>
      <c r="G126">
        <v>0.42857142857142855</v>
      </c>
      <c r="H126">
        <v>18</v>
      </c>
      <c r="I126">
        <f>H126/F126</f>
        <v>3</v>
      </c>
      <c r="J126">
        <f>I126+J110</f>
        <v>16.261904761904763</v>
      </c>
      <c r="K126" t="s">
        <v>16</v>
      </c>
    </row>
  </sheetData>
  <autoFilter ref="A1:K126" xr:uid="{A486AFCD-BF4B-1447-B360-B662B8741FD8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Frattaroli</dc:creator>
  <cp:lastModifiedBy>Lisa Gollot</cp:lastModifiedBy>
  <cp:lastPrinted>2025-09-11T10:12:26Z</cp:lastPrinted>
  <dcterms:created xsi:type="dcterms:W3CDTF">2025-06-19T12:09:56Z</dcterms:created>
  <dcterms:modified xsi:type="dcterms:W3CDTF">2026-06-03T13:00:53Z</dcterms:modified>
</cp:coreProperties>
</file>